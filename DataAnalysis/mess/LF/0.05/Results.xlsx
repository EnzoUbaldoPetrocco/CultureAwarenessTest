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LF\0.05\"/>
    </mc:Choice>
  </mc:AlternateContent>
  <xr:revisionPtr revIDLastSave="0" documentId="13_ncr:1_{E138BCD4-A70D-4A40-8B8A-B2383A050B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PARBS_DIFF_ONLY_STDAUG" sheetId="15" r:id="rId2"/>
    <sheet name="PARBS_STDAUG" sheetId="14" r:id="rId3"/>
    <sheet name="PARBS_NOAUG" sheetId="13" r:id="rId4"/>
    <sheet name="MIT_DIFF_ONLYMIN" sheetId="12" r:id="rId5"/>
    <sheet name="MIT_DIFF" sheetId="11" r:id="rId6"/>
    <sheet name="MIT_STDAUG" sheetId="10" r:id="rId7"/>
    <sheet name="MIT_NOAUG" sheetId="9" r:id="rId8"/>
    <sheet name="IMB_STDAUG" sheetId="8" r:id="rId9"/>
    <sheet name="IMB_NOAUG" sheetId="7" r:id="rId10"/>
    <sheet name="STD_DIFF" sheetId="6" r:id="rId11"/>
    <sheet name="ADV_CLSDIV" sheetId="4" r:id="rId12"/>
    <sheet name="ADV_NOCLSDIV" sheetId="5" r:id="rId13"/>
    <sheet name="STD_AUG" sheetId="3" r:id="rId14"/>
    <sheet name="STD_NOAUG" sheetId="2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" i="15" l="1"/>
  <c r="AE5" i="15"/>
  <c r="AB5" i="15"/>
  <c r="AA5" i="15"/>
  <c r="Z5" i="15"/>
  <c r="Y5" i="15"/>
  <c r="X5" i="15"/>
  <c r="W5" i="15"/>
  <c r="V5" i="15"/>
  <c r="U5" i="15"/>
  <c r="Q5" i="15"/>
  <c r="R5" i="15"/>
  <c r="S5" i="15"/>
  <c r="AC5" i="15" s="1"/>
  <c r="T5" i="15"/>
  <c r="AD5" i="15" s="1"/>
  <c r="Q6" i="15"/>
  <c r="R6" i="15"/>
  <c r="S6" i="15"/>
  <c r="T6" i="15"/>
  <c r="AC6" i="15"/>
  <c r="AD6" i="15"/>
  <c r="Q7" i="15"/>
  <c r="T7" i="15" s="1"/>
  <c r="R7" i="15"/>
  <c r="S7" i="15"/>
  <c r="Q8" i="15"/>
  <c r="T8" i="15" s="1"/>
  <c r="R8" i="15"/>
  <c r="S8" i="15"/>
  <c r="AD2" i="15"/>
  <c r="AC2" i="15"/>
  <c r="T2" i="15"/>
  <c r="S2" i="15"/>
  <c r="R2" i="15"/>
  <c r="Q2" i="15"/>
  <c r="AF2" i="14"/>
  <c r="AE2" i="14"/>
  <c r="AB2" i="14"/>
  <c r="AA2" i="14"/>
  <c r="Z2" i="14"/>
  <c r="Y2" i="14"/>
  <c r="X2" i="14"/>
  <c r="W2" i="14"/>
  <c r="V2" i="14"/>
  <c r="U2" i="14"/>
  <c r="Q3" i="14"/>
  <c r="R3" i="14"/>
  <c r="S3" i="14"/>
  <c r="T3" i="14"/>
  <c r="AC3" i="14"/>
  <c r="AD3" i="14"/>
  <c r="Q4" i="14"/>
  <c r="R4" i="14"/>
  <c r="S4" i="14"/>
  <c r="T4" i="14"/>
  <c r="AC4" i="14"/>
  <c r="AD4" i="14"/>
  <c r="Q5" i="14"/>
  <c r="AC5" i="14" s="1"/>
  <c r="R5" i="14"/>
  <c r="S5" i="14"/>
  <c r="T5" i="14"/>
  <c r="AD5" i="14" s="1"/>
  <c r="AD2" i="14"/>
  <c r="AC2" i="14"/>
  <c r="T2" i="14"/>
  <c r="S2" i="14"/>
  <c r="R2" i="14"/>
  <c r="Q2" i="14"/>
  <c r="AF5" i="13"/>
  <c r="AE5" i="13"/>
  <c r="AB5" i="13"/>
  <c r="AA5" i="13"/>
  <c r="Z5" i="13"/>
  <c r="Y5" i="13"/>
  <c r="X5" i="13"/>
  <c r="W5" i="13"/>
  <c r="V5" i="13"/>
  <c r="U5" i="13"/>
  <c r="Q5" i="13"/>
  <c r="R5" i="13"/>
  <c r="S5" i="13"/>
  <c r="T5" i="13"/>
  <c r="AD5" i="13" s="1"/>
  <c r="AC5" i="13"/>
  <c r="Q6" i="13"/>
  <c r="R6" i="13"/>
  <c r="S6" i="13"/>
  <c r="T6" i="13"/>
  <c r="AC6" i="13"/>
  <c r="AD6" i="13"/>
  <c r="Q7" i="13"/>
  <c r="R7" i="13"/>
  <c r="S7" i="13"/>
  <c r="T7" i="13"/>
  <c r="AC7" i="13"/>
  <c r="AD7" i="13"/>
  <c r="AD2" i="13"/>
  <c r="AC2" i="13"/>
  <c r="T2" i="13"/>
  <c r="S2" i="13"/>
  <c r="R2" i="13"/>
  <c r="Q2" i="13"/>
  <c r="AF6" i="12"/>
  <c r="AE6" i="12"/>
  <c r="AB6" i="12"/>
  <c r="AA6" i="12"/>
  <c r="Z6" i="12"/>
  <c r="Y6" i="12"/>
  <c r="X6" i="12"/>
  <c r="W6" i="12"/>
  <c r="V6" i="12"/>
  <c r="U6" i="12"/>
  <c r="Q3" i="12"/>
  <c r="R3" i="12"/>
  <c r="S3" i="12"/>
  <c r="T3" i="12"/>
  <c r="AC3" i="12"/>
  <c r="AD3" i="12"/>
  <c r="Q6" i="12"/>
  <c r="R6" i="12"/>
  <c r="S6" i="12"/>
  <c r="T6" i="12"/>
  <c r="AC6" i="12"/>
  <c r="AD6" i="12"/>
  <c r="Q7" i="12"/>
  <c r="R7" i="12"/>
  <c r="S7" i="12"/>
  <c r="T7" i="12"/>
  <c r="AC7" i="12"/>
  <c r="AD7" i="12" s="1"/>
  <c r="Q8" i="12"/>
  <c r="T8" i="12" s="1"/>
  <c r="R8" i="12"/>
  <c r="S8" i="12"/>
  <c r="Q9" i="12"/>
  <c r="R9" i="12"/>
  <c r="S9" i="12"/>
  <c r="T9" i="12"/>
  <c r="AC9" i="12"/>
  <c r="AD9" i="12"/>
  <c r="AD2" i="12"/>
  <c r="AC2" i="12"/>
  <c r="T2" i="12"/>
  <c r="S2" i="12"/>
  <c r="R2" i="12"/>
  <c r="Q2" i="12"/>
  <c r="AF6" i="11"/>
  <c r="AE6" i="11"/>
  <c r="AB6" i="11"/>
  <c r="AA6" i="11"/>
  <c r="Z6" i="11"/>
  <c r="Y6" i="11"/>
  <c r="X6" i="11"/>
  <c r="W6" i="11"/>
  <c r="V6" i="11"/>
  <c r="U6" i="11"/>
  <c r="Q3" i="11"/>
  <c r="R3" i="11"/>
  <c r="T3" i="11" s="1"/>
  <c r="S3" i="11"/>
  <c r="Q6" i="11"/>
  <c r="R6" i="11"/>
  <c r="S6" i="11"/>
  <c r="T6" i="11"/>
  <c r="AC6" i="11"/>
  <c r="AD6" i="11"/>
  <c r="Q7" i="11"/>
  <c r="R7" i="11"/>
  <c r="S7" i="11"/>
  <c r="T7" i="11"/>
  <c r="AC7" i="11"/>
  <c r="AD7" i="11"/>
  <c r="Q8" i="11"/>
  <c r="T8" i="11" s="1"/>
  <c r="R8" i="11"/>
  <c r="S8" i="11"/>
  <c r="Q9" i="11"/>
  <c r="R9" i="11"/>
  <c r="S9" i="11"/>
  <c r="T9" i="11" s="1"/>
  <c r="Q10" i="11"/>
  <c r="R10" i="11"/>
  <c r="S10" i="11"/>
  <c r="T10" i="11"/>
  <c r="AC10" i="11"/>
  <c r="AD10" i="11"/>
  <c r="AD2" i="11"/>
  <c r="AC2" i="11"/>
  <c r="T2" i="11"/>
  <c r="S2" i="11"/>
  <c r="R2" i="11"/>
  <c r="Q2" i="11"/>
  <c r="AF6" i="10"/>
  <c r="AE6" i="10"/>
  <c r="AB6" i="10"/>
  <c r="AA6" i="10"/>
  <c r="Z6" i="10"/>
  <c r="Y6" i="10"/>
  <c r="X6" i="10"/>
  <c r="W6" i="10"/>
  <c r="V6" i="10"/>
  <c r="U6" i="10"/>
  <c r="AE2" i="10"/>
  <c r="AA2" i="10"/>
  <c r="Y2" i="10"/>
  <c r="W2" i="10"/>
  <c r="U2" i="10"/>
  <c r="Q3" i="10"/>
  <c r="R3" i="10"/>
  <c r="S3" i="10"/>
  <c r="T3" i="10"/>
  <c r="AC3" i="10"/>
  <c r="AD3" i="10"/>
  <c r="Q6" i="10"/>
  <c r="R6" i="10"/>
  <c r="S6" i="10"/>
  <c r="T6" i="10"/>
  <c r="AC6" i="10"/>
  <c r="AD6" i="10"/>
  <c r="Q7" i="10"/>
  <c r="R7" i="10"/>
  <c r="S7" i="10"/>
  <c r="T7" i="10"/>
  <c r="AC7" i="10"/>
  <c r="AD7" i="10"/>
  <c r="Q8" i="10"/>
  <c r="R8" i="10"/>
  <c r="S8" i="10"/>
  <c r="T8" i="10"/>
  <c r="AC8" i="10"/>
  <c r="AD8" i="10"/>
  <c r="Q9" i="10"/>
  <c r="AC9" i="10" s="1"/>
  <c r="R9" i="10"/>
  <c r="S9" i="10"/>
  <c r="T9" i="10"/>
  <c r="AD9" i="10" s="1"/>
  <c r="Q10" i="10"/>
  <c r="R10" i="10"/>
  <c r="S10" i="10"/>
  <c r="T10" i="10"/>
  <c r="AC10" i="10"/>
  <c r="AD10" i="10"/>
  <c r="AD2" i="10"/>
  <c r="AC2" i="10"/>
  <c r="T2" i="10"/>
  <c r="S2" i="10"/>
  <c r="R2" i="10"/>
  <c r="Q2" i="10"/>
  <c r="Q4" i="9"/>
  <c r="V4" i="9" s="1"/>
  <c r="R4" i="9"/>
  <c r="X4" i="9" s="1"/>
  <c r="S4" i="9"/>
  <c r="Z4" i="9" s="1"/>
  <c r="T4" i="9"/>
  <c r="AC4" i="9"/>
  <c r="AD4" i="9"/>
  <c r="Q5" i="9"/>
  <c r="R5" i="9"/>
  <c r="S5" i="9"/>
  <c r="Q6" i="9"/>
  <c r="R6" i="9"/>
  <c r="S6" i="9"/>
  <c r="Q7" i="9"/>
  <c r="R7" i="9"/>
  <c r="T7" i="9" s="1"/>
  <c r="S7" i="9"/>
  <c r="AD2" i="9"/>
  <c r="AC2" i="9"/>
  <c r="T2" i="9"/>
  <c r="S2" i="9"/>
  <c r="R2" i="9"/>
  <c r="Q2" i="9"/>
  <c r="AF13" i="8"/>
  <c r="AE13" i="8"/>
  <c r="AB13" i="8"/>
  <c r="Z13" i="8"/>
  <c r="Y13" i="8"/>
  <c r="X13" i="8"/>
  <c r="W13" i="8"/>
  <c r="V13" i="8"/>
  <c r="U13" i="8"/>
  <c r="AF24" i="8"/>
  <c r="AB24" i="8"/>
  <c r="Z24" i="8"/>
  <c r="Y24" i="8"/>
  <c r="X24" i="8"/>
  <c r="W24" i="8"/>
  <c r="V24" i="8"/>
  <c r="U24" i="8"/>
  <c r="AE67" i="8"/>
  <c r="AE29" i="8"/>
  <c r="AE24" i="8"/>
  <c r="AA88" i="8"/>
  <c r="AA79" i="8"/>
  <c r="AA67" i="8"/>
  <c r="AA62" i="8"/>
  <c r="AA54" i="8"/>
  <c r="AA50" i="8"/>
  <c r="AA39" i="8"/>
  <c r="AA29" i="8"/>
  <c r="AA24" i="8"/>
  <c r="AA13" i="8"/>
  <c r="AA3" i="8"/>
  <c r="Q4" i="8"/>
  <c r="T4" i="8" s="1"/>
  <c r="R4" i="8"/>
  <c r="AC4" i="8" s="1"/>
  <c r="S4" i="8"/>
  <c r="Q5" i="8"/>
  <c r="R5" i="8"/>
  <c r="S5" i="8"/>
  <c r="T5" i="8"/>
  <c r="AC5" i="8"/>
  <c r="AD5" i="8"/>
  <c r="Q6" i="8"/>
  <c r="AC6" i="8" s="1"/>
  <c r="R6" i="8"/>
  <c r="S6" i="8"/>
  <c r="T6" i="8"/>
  <c r="AD6" i="8" s="1"/>
  <c r="Q7" i="8"/>
  <c r="R7" i="8"/>
  <c r="S7" i="8"/>
  <c r="T7" i="8"/>
  <c r="AC7" i="8"/>
  <c r="AD7" i="8"/>
  <c r="Q8" i="8"/>
  <c r="R8" i="8"/>
  <c r="T8" i="8" s="1"/>
  <c r="S8" i="8"/>
  <c r="Q9" i="8"/>
  <c r="T9" i="8" s="1"/>
  <c r="R9" i="8"/>
  <c r="S9" i="8"/>
  <c r="Q10" i="8"/>
  <c r="R10" i="8"/>
  <c r="S10" i="8"/>
  <c r="T10" i="8"/>
  <c r="AC10" i="8"/>
  <c r="AD10" i="8"/>
  <c r="Q13" i="8"/>
  <c r="R13" i="8"/>
  <c r="S13" i="8"/>
  <c r="T13" i="8"/>
  <c r="AC13" i="8"/>
  <c r="AD13" i="8"/>
  <c r="Q14" i="8"/>
  <c r="AC14" i="8" s="1"/>
  <c r="R14" i="8"/>
  <c r="S14" i="8"/>
  <c r="T14" i="8"/>
  <c r="Q15" i="8"/>
  <c r="R15" i="8"/>
  <c r="S15" i="8"/>
  <c r="T15" i="8"/>
  <c r="AC15" i="8"/>
  <c r="AD15" i="8"/>
  <c r="Q16" i="8"/>
  <c r="R16" i="8"/>
  <c r="S16" i="8"/>
  <c r="T16" i="8"/>
  <c r="AC16" i="8"/>
  <c r="AD16" i="8"/>
  <c r="Q17" i="8"/>
  <c r="T17" i="8" s="1"/>
  <c r="R17" i="8"/>
  <c r="S17" i="8"/>
  <c r="Q18" i="8"/>
  <c r="R18" i="8"/>
  <c r="S18" i="8"/>
  <c r="T18" i="8"/>
  <c r="AC18" i="8"/>
  <c r="AD18" i="8"/>
  <c r="Q19" i="8"/>
  <c r="R19" i="8"/>
  <c r="S19" i="8"/>
  <c r="T19" i="8"/>
  <c r="AC19" i="8"/>
  <c r="AD19" i="8"/>
  <c r="Q20" i="8"/>
  <c r="T20" i="8" s="1"/>
  <c r="R20" i="8"/>
  <c r="S20" i="8"/>
  <c r="Q21" i="8"/>
  <c r="R21" i="8"/>
  <c r="S21" i="8"/>
  <c r="T21" i="8"/>
  <c r="AC21" i="8"/>
  <c r="AD21" i="8"/>
  <c r="Q24" i="8"/>
  <c r="R24" i="8"/>
  <c r="S24" i="8"/>
  <c r="T24" i="8"/>
  <c r="AC24" i="8"/>
  <c r="AD24" i="8"/>
  <c r="Q25" i="8"/>
  <c r="T25" i="8" s="1"/>
  <c r="R25" i="8"/>
  <c r="S25" i="8"/>
  <c r="Q26" i="8"/>
  <c r="R26" i="8"/>
  <c r="S26" i="8"/>
  <c r="T26" i="8"/>
  <c r="AC26" i="8"/>
  <c r="AD26" i="8"/>
  <c r="Q29" i="8"/>
  <c r="R29" i="8"/>
  <c r="S29" i="8"/>
  <c r="T29" i="8"/>
  <c r="AC29" i="8"/>
  <c r="AD29" i="8"/>
  <c r="Q30" i="8"/>
  <c r="AC30" i="8" s="1"/>
  <c r="R30" i="8"/>
  <c r="S30" i="8"/>
  <c r="T30" i="8"/>
  <c r="Q31" i="8"/>
  <c r="R31" i="8"/>
  <c r="S31" i="8"/>
  <c r="T31" i="8"/>
  <c r="AC31" i="8"/>
  <c r="AD31" i="8"/>
  <c r="Q32" i="8"/>
  <c r="R32" i="8"/>
  <c r="S32" i="8"/>
  <c r="T32" i="8"/>
  <c r="AC32" i="8"/>
  <c r="AD32" i="8"/>
  <c r="Q33" i="8"/>
  <c r="T33" i="8" s="1"/>
  <c r="R33" i="8"/>
  <c r="S33" i="8"/>
  <c r="Q34" i="8"/>
  <c r="R34" i="8"/>
  <c r="S34" i="8"/>
  <c r="T34" i="8"/>
  <c r="AC34" i="8"/>
  <c r="AD34" i="8"/>
  <c r="Q35" i="8"/>
  <c r="R35" i="8"/>
  <c r="S35" i="8"/>
  <c r="T35" i="8"/>
  <c r="AC35" i="8"/>
  <c r="AD35" i="8"/>
  <c r="Q36" i="8"/>
  <c r="T36" i="8" s="1"/>
  <c r="R36" i="8"/>
  <c r="S36" i="8"/>
  <c r="Q39" i="8"/>
  <c r="R39" i="8"/>
  <c r="S39" i="8"/>
  <c r="T39" i="8"/>
  <c r="AC39" i="8"/>
  <c r="AD39" i="8"/>
  <c r="Q40" i="8"/>
  <c r="R40" i="8"/>
  <c r="S40" i="8"/>
  <c r="T40" i="8"/>
  <c r="AC40" i="8"/>
  <c r="AD40" i="8"/>
  <c r="Q41" i="8"/>
  <c r="T41" i="8" s="1"/>
  <c r="R41" i="8"/>
  <c r="S41" i="8"/>
  <c r="Q42" i="8"/>
  <c r="R42" i="8"/>
  <c r="S42" i="8"/>
  <c r="T42" i="8"/>
  <c r="AC42" i="8"/>
  <c r="AD42" i="8"/>
  <c r="Q43" i="8"/>
  <c r="R43" i="8"/>
  <c r="S43" i="8"/>
  <c r="T43" i="8"/>
  <c r="AC43" i="8"/>
  <c r="AD43" i="8"/>
  <c r="Q44" i="8"/>
  <c r="T44" i="8" s="1"/>
  <c r="R44" i="8"/>
  <c r="S44" i="8"/>
  <c r="Q45" i="8"/>
  <c r="R45" i="8"/>
  <c r="S45" i="8"/>
  <c r="T45" i="8"/>
  <c r="AC45" i="8"/>
  <c r="AD45" i="8"/>
  <c r="Q46" i="8"/>
  <c r="AC46" i="8" s="1"/>
  <c r="R46" i="8"/>
  <c r="S46" i="8"/>
  <c r="T46" i="8"/>
  <c r="Q47" i="8"/>
  <c r="R47" i="8"/>
  <c r="S47" i="8"/>
  <c r="T47" i="8"/>
  <c r="AC47" i="8"/>
  <c r="AD47" i="8"/>
  <c r="Q50" i="8"/>
  <c r="R50" i="8"/>
  <c r="S50" i="8"/>
  <c r="T50" i="8"/>
  <c r="AC50" i="8"/>
  <c r="AD50" i="8"/>
  <c r="Q51" i="8"/>
  <c r="R51" i="8"/>
  <c r="S51" i="8"/>
  <c r="T51" i="8"/>
  <c r="AC51" i="8"/>
  <c r="AD51" i="8"/>
  <c r="Q54" i="8"/>
  <c r="AC54" i="8" s="1"/>
  <c r="R54" i="8"/>
  <c r="S54" i="8"/>
  <c r="T54" i="8"/>
  <c r="AD54" i="8" s="1"/>
  <c r="Q55" i="8"/>
  <c r="R55" i="8"/>
  <c r="S55" i="8"/>
  <c r="T55" i="8"/>
  <c r="AC55" i="8"/>
  <c r="AD55" i="8"/>
  <c r="Q56" i="8"/>
  <c r="R56" i="8"/>
  <c r="S56" i="8"/>
  <c r="T56" i="8"/>
  <c r="AC56" i="8"/>
  <c r="AD56" i="8"/>
  <c r="Q57" i="8"/>
  <c r="T57" i="8" s="1"/>
  <c r="R57" i="8"/>
  <c r="S57" i="8"/>
  <c r="Q58" i="8"/>
  <c r="R58" i="8"/>
  <c r="S58" i="8"/>
  <c r="T58" i="8"/>
  <c r="AC58" i="8"/>
  <c r="AD58" i="8"/>
  <c r="Q59" i="8"/>
  <c r="R59" i="8"/>
  <c r="S59" i="8"/>
  <c r="T59" i="8"/>
  <c r="AC59" i="8"/>
  <c r="AD59" i="8"/>
  <c r="Q62" i="8"/>
  <c r="AC62" i="8" s="1"/>
  <c r="R62" i="8"/>
  <c r="S62" i="8"/>
  <c r="T62" i="8"/>
  <c r="Q63" i="8"/>
  <c r="R63" i="8"/>
  <c r="S63" i="8"/>
  <c r="T63" i="8"/>
  <c r="AC63" i="8"/>
  <c r="AD63" i="8"/>
  <c r="Q64" i="8"/>
  <c r="R64" i="8"/>
  <c r="S64" i="8"/>
  <c r="T64" i="8"/>
  <c r="AC64" i="8"/>
  <c r="AD64" i="8"/>
  <c r="Q67" i="8"/>
  <c r="R67" i="8"/>
  <c r="S67" i="8"/>
  <c r="T67" i="8"/>
  <c r="AC67" i="8"/>
  <c r="AD67" i="8"/>
  <c r="Q68" i="8"/>
  <c r="T68" i="8" s="1"/>
  <c r="R68" i="8"/>
  <c r="S68" i="8"/>
  <c r="Q69" i="8"/>
  <c r="R69" i="8"/>
  <c r="S69" i="8"/>
  <c r="T69" i="8"/>
  <c r="AC69" i="8"/>
  <c r="AD69" i="8"/>
  <c r="Q70" i="8"/>
  <c r="AC70" i="8" s="1"/>
  <c r="R70" i="8"/>
  <c r="S70" i="8"/>
  <c r="T70" i="8"/>
  <c r="AD70" i="8" s="1"/>
  <c r="Q71" i="8"/>
  <c r="R71" i="8"/>
  <c r="S71" i="8"/>
  <c r="T71" i="8"/>
  <c r="AC71" i="8"/>
  <c r="AD71" i="8"/>
  <c r="Q72" i="8"/>
  <c r="R72" i="8"/>
  <c r="S72" i="8"/>
  <c r="T72" i="8"/>
  <c r="AC72" i="8"/>
  <c r="AD72" i="8"/>
  <c r="Q73" i="8"/>
  <c r="T73" i="8" s="1"/>
  <c r="R73" i="8"/>
  <c r="S73" i="8"/>
  <c r="Q74" i="8"/>
  <c r="R74" i="8"/>
  <c r="S74" i="8"/>
  <c r="T74" i="8"/>
  <c r="AC74" i="8"/>
  <c r="AD74" i="8"/>
  <c r="Q75" i="8"/>
  <c r="R75" i="8"/>
  <c r="S75" i="8"/>
  <c r="T75" i="8"/>
  <c r="AC75" i="8"/>
  <c r="AD75" i="8"/>
  <c r="Q76" i="8"/>
  <c r="T76" i="8" s="1"/>
  <c r="R76" i="8"/>
  <c r="S76" i="8"/>
  <c r="Q79" i="8"/>
  <c r="R79" i="8"/>
  <c r="S79" i="8"/>
  <c r="T79" i="8"/>
  <c r="AC79" i="8"/>
  <c r="AD79" i="8"/>
  <c r="Q80" i="8"/>
  <c r="R80" i="8"/>
  <c r="S80" i="8"/>
  <c r="T80" i="8"/>
  <c r="AC80" i="8"/>
  <c r="AD80" i="8"/>
  <c r="Q81" i="8"/>
  <c r="T81" i="8" s="1"/>
  <c r="R81" i="8"/>
  <c r="S81" i="8"/>
  <c r="Q82" i="8"/>
  <c r="R82" i="8"/>
  <c r="S82" i="8"/>
  <c r="T82" i="8"/>
  <c r="AC82" i="8"/>
  <c r="AD82" i="8"/>
  <c r="Q83" i="8"/>
  <c r="R83" i="8"/>
  <c r="S83" i="8"/>
  <c r="T83" i="8"/>
  <c r="AC83" i="8"/>
  <c r="AD83" i="8"/>
  <c r="Q84" i="8"/>
  <c r="T84" i="8" s="1"/>
  <c r="R84" i="8"/>
  <c r="S84" i="8"/>
  <c r="Q85" i="8"/>
  <c r="R85" i="8"/>
  <c r="S85" i="8"/>
  <c r="T85" i="8"/>
  <c r="AC85" i="8"/>
  <c r="AD85" i="8"/>
  <c r="Q88" i="8"/>
  <c r="R88" i="8"/>
  <c r="S88" i="8"/>
  <c r="T88" i="8"/>
  <c r="AC88" i="8"/>
  <c r="AD88" i="8"/>
  <c r="Q89" i="8"/>
  <c r="T89" i="8" s="1"/>
  <c r="R89" i="8"/>
  <c r="S89" i="8"/>
  <c r="Q90" i="8"/>
  <c r="R90" i="8"/>
  <c r="S90" i="8"/>
  <c r="T90" i="8"/>
  <c r="AC90" i="8"/>
  <c r="AD90" i="8"/>
  <c r="Q91" i="8"/>
  <c r="R91" i="8"/>
  <c r="S91" i="8"/>
  <c r="T91" i="8"/>
  <c r="AC91" i="8"/>
  <c r="AD91" i="8"/>
  <c r="Q92" i="8"/>
  <c r="T92" i="8" s="1"/>
  <c r="R92" i="8"/>
  <c r="S92" i="8"/>
  <c r="Q93" i="8"/>
  <c r="R93" i="8"/>
  <c r="S93" i="8"/>
  <c r="T93" i="8"/>
  <c r="AC93" i="8"/>
  <c r="AD93" i="8"/>
  <c r="Q94" i="8"/>
  <c r="AC94" i="8" s="1"/>
  <c r="R94" i="8"/>
  <c r="S94" i="8"/>
  <c r="T94" i="8"/>
  <c r="Q95" i="8"/>
  <c r="R95" i="8"/>
  <c r="S95" i="8"/>
  <c r="T95" i="8"/>
  <c r="AC95" i="8"/>
  <c r="AD95" i="8"/>
  <c r="AD3" i="8"/>
  <c r="AC3" i="8"/>
  <c r="T3" i="8"/>
  <c r="S3" i="8"/>
  <c r="R3" i="8"/>
  <c r="Q3" i="8"/>
  <c r="AF2" i="7"/>
  <c r="AE2" i="7"/>
  <c r="AB2" i="7"/>
  <c r="AA2" i="7"/>
  <c r="Z2" i="7"/>
  <c r="Y2" i="7"/>
  <c r="X2" i="7"/>
  <c r="W2" i="7"/>
  <c r="V2" i="7"/>
  <c r="U2" i="7"/>
  <c r="Q3" i="7"/>
  <c r="T3" i="7" s="1"/>
  <c r="R3" i="7"/>
  <c r="AC3" i="7" s="1"/>
  <c r="S3" i="7"/>
  <c r="Q4" i="7"/>
  <c r="R4" i="7"/>
  <c r="S4" i="7"/>
  <c r="T4" i="7"/>
  <c r="AC4" i="7"/>
  <c r="AD4" i="7"/>
  <c r="Q5" i="7"/>
  <c r="AC5" i="7" s="1"/>
  <c r="R5" i="7"/>
  <c r="S5" i="7"/>
  <c r="T5" i="7"/>
  <c r="AD5" i="7" s="1"/>
  <c r="Q6" i="7"/>
  <c r="T6" i="7" s="1"/>
  <c r="R6" i="7"/>
  <c r="S6" i="7"/>
  <c r="Q7" i="7"/>
  <c r="R7" i="7"/>
  <c r="S7" i="7"/>
  <c r="T7" i="7"/>
  <c r="AC7" i="7"/>
  <c r="AD7" i="7" s="1"/>
  <c r="Q8" i="7"/>
  <c r="T8" i="7" s="1"/>
  <c r="R8" i="7"/>
  <c r="S8" i="7"/>
  <c r="Q9" i="7"/>
  <c r="R9" i="7"/>
  <c r="S9" i="7"/>
  <c r="T9" i="7"/>
  <c r="AC9" i="7"/>
  <c r="AD9" i="7"/>
  <c r="Q10" i="7"/>
  <c r="R10" i="7"/>
  <c r="S10" i="7"/>
  <c r="T10" i="7"/>
  <c r="AC10" i="7"/>
  <c r="AD10" i="7"/>
  <c r="Q11" i="7"/>
  <c r="T11" i="7" s="1"/>
  <c r="R11" i="7"/>
  <c r="AC11" i="7" s="1"/>
  <c r="S11" i="7"/>
  <c r="Q12" i="7"/>
  <c r="R12" i="7"/>
  <c r="S12" i="7"/>
  <c r="T12" i="7"/>
  <c r="AC12" i="7"/>
  <c r="AD12" i="7"/>
  <c r="Q13" i="7"/>
  <c r="AC13" i="7" s="1"/>
  <c r="R13" i="7"/>
  <c r="S13" i="7"/>
  <c r="T13" i="7"/>
  <c r="Q14" i="7"/>
  <c r="T14" i="7" s="1"/>
  <c r="R14" i="7"/>
  <c r="S14" i="7"/>
  <c r="AD2" i="7"/>
  <c r="AC2" i="7"/>
  <c r="T2" i="7"/>
  <c r="S2" i="7"/>
  <c r="R2" i="7"/>
  <c r="Q2" i="7"/>
  <c r="AF5" i="6"/>
  <c r="AE5" i="6"/>
  <c r="AB5" i="6"/>
  <c r="AA5" i="6"/>
  <c r="Z5" i="6"/>
  <c r="Y5" i="6"/>
  <c r="X5" i="6"/>
  <c r="W5" i="6"/>
  <c r="V5" i="6"/>
  <c r="U5" i="6"/>
  <c r="Q5" i="6"/>
  <c r="AC5" i="6" s="1"/>
  <c r="R5" i="6"/>
  <c r="S5" i="6"/>
  <c r="T5" i="6"/>
  <c r="AD5" i="6" s="1"/>
  <c r="Q6" i="6"/>
  <c r="R6" i="6"/>
  <c r="S6" i="6"/>
  <c r="T6" i="6"/>
  <c r="AC6" i="6"/>
  <c r="AD6" i="6"/>
  <c r="AD2" i="6"/>
  <c r="AC2" i="6"/>
  <c r="T2" i="6"/>
  <c r="S2" i="6"/>
  <c r="R2" i="6"/>
  <c r="Q2" i="6"/>
  <c r="AF50" i="5"/>
  <c r="AE50" i="5"/>
  <c r="AB50" i="5"/>
  <c r="Z50" i="5"/>
  <c r="Y50" i="5"/>
  <c r="X50" i="5"/>
  <c r="W50" i="5"/>
  <c r="V50" i="5"/>
  <c r="U50" i="5"/>
  <c r="S79" i="5"/>
  <c r="R79" i="5"/>
  <c r="Q79" i="5"/>
  <c r="T79" i="5" s="1"/>
  <c r="S78" i="5"/>
  <c r="R78" i="5"/>
  <c r="Q78" i="5"/>
  <c r="S77" i="5"/>
  <c r="R77" i="5"/>
  <c r="Q77" i="5"/>
  <c r="AC77" i="5" s="1"/>
  <c r="S76" i="5"/>
  <c r="R76" i="5"/>
  <c r="Q76" i="5"/>
  <c r="AC76" i="5" s="1"/>
  <c r="S75" i="5"/>
  <c r="R75" i="5"/>
  <c r="Q75" i="5"/>
  <c r="AC75" i="5" s="1"/>
  <c r="S74" i="5"/>
  <c r="R74" i="5"/>
  <c r="Q74" i="5"/>
  <c r="S73" i="5"/>
  <c r="R73" i="5"/>
  <c r="Q73" i="5"/>
  <c r="AC73" i="5" s="1"/>
  <c r="S72" i="5"/>
  <c r="R72" i="5"/>
  <c r="Q72" i="5"/>
  <c r="S71" i="5"/>
  <c r="R71" i="5"/>
  <c r="Q71" i="5"/>
  <c r="T71" i="5" s="1"/>
  <c r="S70" i="5"/>
  <c r="R70" i="5"/>
  <c r="Q70" i="5"/>
  <c r="S69" i="5"/>
  <c r="R69" i="5"/>
  <c r="Q69" i="5"/>
  <c r="S68" i="5"/>
  <c r="R68" i="5"/>
  <c r="Q68" i="5"/>
  <c r="AC68" i="5" s="1"/>
  <c r="S67" i="5"/>
  <c r="R67" i="5"/>
  <c r="Q67" i="5"/>
  <c r="S66" i="5"/>
  <c r="R66" i="5"/>
  <c r="Q66" i="5"/>
  <c r="AC66" i="5" s="1"/>
  <c r="S63" i="5"/>
  <c r="R63" i="5"/>
  <c r="Q63" i="5"/>
  <c r="S62" i="5"/>
  <c r="R62" i="5"/>
  <c r="Q62" i="5"/>
  <c r="S61" i="5"/>
  <c r="R61" i="5"/>
  <c r="Q61" i="5"/>
  <c r="S60" i="5"/>
  <c r="R60" i="5"/>
  <c r="Q60" i="5"/>
  <c r="S59" i="5"/>
  <c r="R59" i="5"/>
  <c r="Q59" i="5"/>
  <c r="S58" i="5"/>
  <c r="R58" i="5"/>
  <c r="Q58" i="5"/>
  <c r="S57" i="5"/>
  <c r="R57" i="5"/>
  <c r="Q57" i="5"/>
  <c r="AC57" i="5" s="1"/>
  <c r="S56" i="5"/>
  <c r="R56" i="5"/>
  <c r="Q56" i="5"/>
  <c r="S55" i="5"/>
  <c r="R55" i="5"/>
  <c r="Q55" i="5"/>
  <c r="S54" i="5"/>
  <c r="R54" i="5"/>
  <c r="Q54" i="5"/>
  <c r="S53" i="5"/>
  <c r="R53" i="5"/>
  <c r="Q53" i="5"/>
  <c r="AC53" i="5" s="1"/>
  <c r="S52" i="5"/>
  <c r="R52" i="5"/>
  <c r="Q52" i="5"/>
  <c r="S51" i="5"/>
  <c r="R51" i="5"/>
  <c r="Q51" i="5"/>
  <c r="S50" i="5"/>
  <c r="R50" i="5"/>
  <c r="Q50" i="5"/>
  <c r="S47" i="5"/>
  <c r="R47" i="5"/>
  <c r="Q47" i="5"/>
  <c r="AC47" i="5" s="1"/>
  <c r="S46" i="5"/>
  <c r="R46" i="5"/>
  <c r="Q46" i="5"/>
  <c r="T46" i="5" s="1"/>
  <c r="S45" i="5"/>
  <c r="R45" i="5"/>
  <c r="Q45" i="5"/>
  <c r="S44" i="5"/>
  <c r="R44" i="5"/>
  <c r="Q44" i="5"/>
  <c r="S43" i="5"/>
  <c r="R43" i="5"/>
  <c r="Q43" i="5"/>
  <c r="AC43" i="5" s="1"/>
  <c r="S42" i="5"/>
  <c r="R42" i="5"/>
  <c r="Q42" i="5"/>
  <c r="AC42" i="5" s="1"/>
  <c r="S41" i="5"/>
  <c r="R41" i="5"/>
  <c r="Q41" i="5"/>
  <c r="S40" i="5"/>
  <c r="R40" i="5"/>
  <c r="Q40" i="5"/>
  <c r="AC40" i="5" s="1"/>
  <c r="S39" i="5"/>
  <c r="R39" i="5"/>
  <c r="Q39" i="5"/>
  <c r="S38" i="5"/>
  <c r="R38" i="5"/>
  <c r="Q38" i="5"/>
  <c r="S37" i="5"/>
  <c r="R37" i="5"/>
  <c r="Q37" i="5"/>
  <c r="S36" i="5"/>
  <c r="R36" i="5"/>
  <c r="Q36" i="5"/>
  <c r="AC36" i="5" s="1"/>
  <c r="S35" i="5"/>
  <c r="R35" i="5"/>
  <c r="Q35" i="5"/>
  <c r="AC35" i="5" s="1"/>
  <c r="S34" i="5"/>
  <c r="R34" i="5"/>
  <c r="Q34" i="5"/>
  <c r="S31" i="5"/>
  <c r="R31" i="5"/>
  <c r="Q31" i="5"/>
  <c r="T31" i="5" s="1"/>
  <c r="S30" i="5"/>
  <c r="R30" i="5"/>
  <c r="Q30" i="5"/>
  <c r="S29" i="5"/>
  <c r="R29" i="5"/>
  <c r="Q29" i="5"/>
  <c r="AC29" i="5" s="1"/>
  <c r="S28" i="5"/>
  <c r="R28" i="5"/>
  <c r="Q28" i="5"/>
  <c r="AC28" i="5" s="1"/>
  <c r="S27" i="5"/>
  <c r="R27" i="5"/>
  <c r="Q27" i="5"/>
  <c r="S26" i="5"/>
  <c r="R26" i="5"/>
  <c r="Q26" i="5"/>
  <c r="S25" i="5"/>
  <c r="R25" i="5"/>
  <c r="Q25" i="5"/>
  <c r="S24" i="5"/>
  <c r="R24" i="5"/>
  <c r="Q24" i="5"/>
  <c r="S23" i="5"/>
  <c r="R23" i="5"/>
  <c r="Q23" i="5"/>
  <c r="AC23" i="5" s="1"/>
  <c r="S22" i="5"/>
  <c r="R22" i="5"/>
  <c r="Q22" i="5"/>
  <c r="S21" i="5"/>
  <c r="R21" i="5"/>
  <c r="Q21" i="5"/>
  <c r="S20" i="5"/>
  <c r="R20" i="5"/>
  <c r="Q20" i="5"/>
  <c r="S19" i="5"/>
  <c r="R19" i="5"/>
  <c r="Q19" i="5"/>
  <c r="S18" i="5"/>
  <c r="R18" i="5"/>
  <c r="Q18" i="5"/>
  <c r="S15" i="5"/>
  <c r="R15" i="5"/>
  <c r="Q15" i="5"/>
  <c r="AC15" i="5" s="1"/>
  <c r="S14" i="5"/>
  <c r="R14" i="5"/>
  <c r="Q14" i="5"/>
  <c r="S13" i="5"/>
  <c r="R13" i="5"/>
  <c r="Q13" i="5"/>
  <c r="S12" i="5"/>
  <c r="R12" i="5"/>
  <c r="Q12" i="5"/>
  <c r="S11" i="5"/>
  <c r="R11" i="5"/>
  <c r="Q11" i="5"/>
  <c r="AC11" i="5" s="1"/>
  <c r="S10" i="5"/>
  <c r="R10" i="5"/>
  <c r="Q10" i="5"/>
  <c r="S9" i="5"/>
  <c r="R9" i="5"/>
  <c r="Q9" i="5"/>
  <c r="AC9" i="5" s="1"/>
  <c r="S8" i="5"/>
  <c r="R8" i="5"/>
  <c r="Q8" i="5"/>
  <c r="S7" i="5"/>
  <c r="R7" i="5"/>
  <c r="Q7" i="5"/>
  <c r="AC7" i="5" s="1"/>
  <c r="S6" i="5"/>
  <c r="R6" i="5"/>
  <c r="Q6" i="5"/>
  <c r="S5" i="5"/>
  <c r="R5" i="5"/>
  <c r="Q5" i="5"/>
  <c r="T5" i="5" s="1"/>
  <c r="S4" i="5"/>
  <c r="R4" i="5"/>
  <c r="Q4" i="5"/>
  <c r="S3" i="5"/>
  <c r="R3" i="5"/>
  <c r="Q3" i="5"/>
  <c r="S2" i="5"/>
  <c r="R2" i="5"/>
  <c r="Q2" i="5"/>
  <c r="AA66" i="4"/>
  <c r="AA50" i="4"/>
  <c r="AA34" i="4"/>
  <c r="AA18" i="4"/>
  <c r="AF2" i="4"/>
  <c r="AE2" i="4"/>
  <c r="AB2" i="4"/>
  <c r="AA2" i="4"/>
  <c r="Z2" i="4"/>
  <c r="Y2" i="4"/>
  <c r="X2" i="4"/>
  <c r="W2" i="4"/>
  <c r="V2" i="4"/>
  <c r="U2" i="4"/>
  <c r="Q3" i="4"/>
  <c r="T3" i="4" s="1"/>
  <c r="AD3" i="4" s="1"/>
  <c r="R3" i="4"/>
  <c r="S3" i="4"/>
  <c r="AC3" i="4"/>
  <c r="Q4" i="4"/>
  <c r="T4" i="4" s="1"/>
  <c r="R4" i="4"/>
  <c r="S4" i="4"/>
  <c r="Q5" i="4"/>
  <c r="AC5" i="4" s="1"/>
  <c r="R5" i="4"/>
  <c r="S5" i="4"/>
  <c r="T5" i="4"/>
  <c r="AD5" i="4" s="1"/>
  <c r="Q6" i="4"/>
  <c r="R6" i="4"/>
  <c r="S6" i="4"/>
  <c r="T6" i="4"/>
  <c r="AC6" i="4"/>
  <c r="AD6" i="4"/>
  <c r="Q7" i="4"/>
  <c r="T7" i="4" s="1"/>
  <c r="R7" i="4"/>
  <c r="S7" i="4"/>
  <c r="Q8" i="4"/>
  <c r="T8" i="4" s="1"/>
  <c r="R8" i="4"/>
  <c r="S8" i="4"/>
  <c r="Q9" i="4"/>
  <c r="R9" i="4"/>
  <c r="S9" i="4"/>
  <c r="T9" i="4"/>
  <c r="AD9" i="4" s="1"/>
  <c r="AC9" i="4"/>
  <c r="Q10" i="4"/>
  <c r="R10" i="4"/>
  <c r="S10" i="4"/>
  <c r="T10" i="4"/>
  <c r="AC10" i="4"/>
  <c r="AD10" i="4"/>
  <c r="Q11" i="4"/>
  <c r="R11" i="4"/>
  <c r="S11" i="4"/>
  <c r="T11" i="4"/>
  <c r="AC11" i="4"/>
  <c r="AD11" i="4"/>
  <c r="Q12" i="4"/>
  <c r="T12" i="4" s="1"/>
  <c r="R12" i="4"/>
  <c r="S12" i="4"/>
  <c r="Q13" i="4"/>
  <c r="AC13" i="4" s="1"/>
  <c r="R13" i="4"/>
  <c r="S13" i="4"/>
  <c r="T13" i="4"/>
  <c r="AD13" i="4" s="1"/>
  <c r="Q14" i="4"/>
  <c r="R14" i="4"/>
  <c r="S14" i="4"/>
  <c r="T14" i="4"/>
  <c r="AC14" i="4"/>
  <c r="AD14" i="4"/>
  <c r="Q15" i="4"/>
  <c r="T15" i="4" s="1"/>
  <c r="R15" i="4"/>
  <c r="S15" i="4"/>
  <c r="Q18" i="4"/>
  <c r="R18" i="4"/>
  <c r="S18" i="4"/>
  <c r="T18" i="4"/>
  <c r="AC18" i="4"/>
  <c r="AD18" i="4"/>
  <c r="Q19" i="4"/>
  <c r="R19" i="4"/>
  <c r="S19" i="4"/>
  <c r="T19" i="4"/>
  <c r="AC19" i="4"/>
  <c r="AD19" i="4"/>
  <c r="Q20" i="4"/>
  <c r="T20" i="4" s="1"/>
  <c r="R20" i="4"/>
  <c r="S20" i="4"/>
  <c r="Q21" i="4"/>
  <c r="AC21" i="4" s="1"/>
  <c r="R21" i="4"/>
  <c r="S21" i="4"/>
  <c r="T21" i="4"/>
  <c r="Q22" i="4"/>
  <c r="R22" i="4"/>
  <c r="S22" i="4"/>
  <c r="T22" i="4"/>
  <c r="AC22" i="4"/>
  <c r="AD22" i="4"/>
  <c r="Q23" i="4"/>
  <c r="T23" i="4" s="1"/>
  <c r="R23" i="4"/>
  <c r="S23" i="4"/>
  <c r="Q24" i="4"/>
  <c r="T24" i="4" s="1"/>
  <c r="R24" i="4"/>
  <c r="S24" i="4"/>
  <c r="Q25" i="4"/>
  <c r="R25" i="4"/>
  <c r="S25" i="4"/>
  <c r="T25" i="4"/>
  <c r="AD25" i="4" s="1"/>
  <c r="AC25" i="4"/>
  <c r="Q26" i="4"/>
  <c r="R26" i="4"/>
  <c r="S26" i="4"/>
  <c r="T26" i="4"/>
  <c r="AC26" i="4"/>
  <c r="AD26" i="4"/>
  <c r="Q27" i="4"/>
  <c r="R27" i="4"/>
  <c r="S27" i="4"/>
  <c r="T27" i="4"/>
  <c r="AC27" i="4"/>
  <c r="AD27" i="4"/>
  <c r="Q28" i="4"/>
  <c r="T28" i="4" s="1"/>
  <c r="R28" i="4"/>
  <c r="S28" i="4"/>
  <c r="Q29" i="4"/>
  <c r="AC29" i="4" s="1"/>
  <c r="R29" i="4"/>
  <c r="S29" i="4"/>
  <c r="T29" i="4"/>
  <c r="AD29" i="4" s="1"/>
  <c r="Q30" i="4"/>
  <c r="R30" i="4"/>
  <c r="S30" i="4"/>
  <c r="T30" i="4"/>
  <c r="AC30" i="4"/>
  <c r="AD30" i="4"/>
  <c r="Q31" i="4"/>
  <c r="T31" i="4" s="1"/>
  <c r="R31" i="4"/>
  <c r="S31" i="4"/>
  <c r="Q34" i="4"/>
  <c r="R34" i="4"/>
  <c r="S34" i="4"/>
  <c r="T34" i="4"/>
  <c r="AC34" i="4"/>
  <c r="AD34" i="4"/>
  <c r="Q35" i="4"/>
  <c r="R35" i="4"/>
  <c r="S35" i="4"/>
  <c r="T35" i="4"/>
  <c r="AC35" i="4"/>
  <c r="AD35" i="4"/>
  <c r="Q36" i="4"/>
  <c r="T36" i="4" s="1"/>
  <c r="R36" i="4"/>
  <c r="S36" i="4"/>
  <c r="Q37" i="4"/>
  <c r="AC37" i="4" s="1"/>
  <c r="R37" i="4"/>
  <c r="S37" i="4"/>
  <c r="T37" i="4"/>
  <c r="AD37" i="4" s="1"/>
  <c r="Q38" i="4"/>
  <c r="R38" i="4"/>
  <c r="S38" i="4"/>
  <c r="T38" i="4"/>
  <c r="AC38" i="4"/>
  <c r="AD38" i="4"/>
  <c r="Q39" i="4"/>
  <c r="T39" i="4" s="1"/>
  <c r="R39" i="4"/>
  <c r="S39" i="4"/>
  <c r="Q40" i="4"/>
  <c r="T40" i="4" s="1"/>
  <c r="R40" i="4"/>
  <c r="S40" i="4"/>
  <c r="Q41" i="4"/>
  <c r="R41" i="4"/>
  <c r="S41" i="4"/>
  <c r="T41" i="4"/>
  <c r="AD41" i="4" s="1"/>
  <c r="AC41" i="4"/>
  <c r="Q42" i="4"/>
  <c r="R42" i="4"/>
  <c r="S42" i="4"/>
  <c r="T42" i="4"/>
  <c r="AC42" i="4"/>
  <c r="AD42" i="4"/>
  <c r="Q43" i="4"/>
  <c r="R43" i="4"/>
  <c r="S43" i="4"/>
  <c r="T43" i="4"/>
  <c r="AC43" i="4"/>
  <c r="AD43" i="4"/>
  <c r="Q44" i="4"/>
  <c r="T44" i="4" s="1"/>
  <c r="R44" i="4"/>
  <c r="S44" i="4"/>
  <c r="Q45" i="4"/>
  <c r="AC45" i="4" s="1"/>
  <c r="R45" i="4"/>
  <c r="S45" i="4"/>
  <c r="T45" i="4"/>
  <c r="AD45" i="4" s="1"/>
  <c r="Q46" i="4"/>
  <c r="R46" i="4"/>
  <c r="S46" i="4"/>
  <c r="T46" i="4"/>
  <c r="AC46" i="4"/>
  <c r="AD46" i="4"/>
  <c r="Q47" i="4"/>
  <c r="T47" i="4" s="1"/>
  <c r="R47" i="4"/>
  <c r="S47" i="4"/>
  <c r="Q50" i="4"/>
  <c r="R50" i="4"/>
  <c r="S50" i="4"/>
  <c r="T50" i="4"/>
  <c r="AC50" i="4"/>
  <c r="AD50" i="4"/>
  <c r="Q51" i="4"/>
  <c r="R51" i="4"/>
  <c r="S51" i="4"/>
  <c r="T51" i="4"/>
  <c r="AC51" i="4"/>
  <c r="AD51" i="4"/>
  <c r="Q52" i="4"/>
  <c r="T52" i="4" s="1"/>
  <c r="R52" i="4"/>
  <c r="S52" i="4"/>
  <c r="Q53" i="4"/>
  <c r="AC53" i="4" s="1"/>
  <c r="R53" i="4"/>
  <c r="S53" i="4"/>
  <c r="T53" i="4"/>
  <c r="Q54" i="4"/>
  <c r="R54" i="4"/>
  <c r="S54" i="4"/>
  <c r="T54" i="4"/>
  <c r="AC54" i="4"/>
  <c r="AD54" i="4"/>
  <c r="Q55" i="4"/>
  <c r="T55" i="4" s="1"/>
  <c r="R55" i="4"/>
  <c r="S55" i="4"/>
  <c r="Q56" i="4"/>
  <c r="T56" i="4" s="1"/>
  <c r="R56" i="4"/>
  <c r="S56" i="4"/>
  <c r="Q57" i="4"/>
  <c r="R57" i="4"/>
  <c r="S57" i="4"/>
  <c r="T57" i="4"/>
  <c r="AD57" i="4" s="1"/>
  <c r="AC57" i="4"/>
  <c r="Q58" i="4"/>
  <c r="R58" i="4"/>
  <c r="S58" i="4"/>
  <c r="T58" i="4"/>
  <c r="AC58" i="4"/>
  <c r="AD58" i="4"/>
  <c r="Q59" i="4"/>
  <c r="R59" i="4"/>
  <c r="S59" i="4"/>
  <c r="T59" i="4"/>
  <c r="AC59" i="4"/>
  <c r="AD59" i="4"/>
  <c r="Q60" i="4"/>
  <c r="T60" i="4" s="1"/>
  <c r="R60" i="4"/>
  <c r="S60" i="4"/>
  <c r="Q61" i="4"/>
  <c r="AC61" i="4" s="1"/>
  <c r="R61" i="4"/>
  <c r="S61" i="4"/>
  <c r="T61" i="4"/>
  <c r="AD61" i="4" s="1"/>
  <c r="Q62" i="4"/>
  <c r="R62" i="4"/>
  <c r="S62" i="4"/>
  <c r="T62" i="4"/>
  <c r="AC62" i="4"/>
  <c r="AD62" i="4"/>
  <c r="Q63" i="4"/>
  <c r="T63" i="4" s="1"/>
  <c r="R63" i="4"/>
  <c r="S63" i="4"/>
  <c r="Q66" i="4"/>
  <c r="R66" i="4"/>
  <c r="S66" i="4"/>
  <c r="T66" i="4"/>
  <c r="AC66" i="4"/>
  <c r="AD66" i="4"/>
  <c r="Q67" i="4"/>
  <c r="R67" i="4"/>
  <c r="S67" i="4"/>
  <c r="T67" i="4"/>
  <c r="AC67" i="4"/>
  <c r="AD67" i="4"/>
  <c r="Q68" i="4"/>
  <c r="T68" i="4" s="1"/>
  <c r="R68" i="4"/>
  <c r="S68" i="4"/>
  <c r="Q69" i="4"/>
  <c r="AC69" i="4" s="1"/>
  <c r="R69" i="4"/>
  <c r="S69" i="4"/>
  <c r="T69" i="4"/>
  <c r="AD69" i="4" s="1"/>
  <c r="Q70" i="4"/>
  <c r="R70" i="4"/>
  <c r="S70" i="4"/>
  <c r="T70" i="4"/>
  <c r="AC70" i="4"/>
  <c r="AD70" i="4"/>
  <c r="Q71" i="4"/>
  <c r="T71" i="4" s="1"/>
  <c r="R71" i="4"/>
  <c r="S71" i="4"/>
  <c r="Q72" i="4"/>
  <c r="T72" i="4" s="1"/>
  <c r="R72" i="4"/>
  <c r="S72" i="4"/>
  <c r="Q73" i="4"/>
  <c r="R73" i="4"/>
  <c r="S73" i="4"/>
  <c r="T73" i="4"/>
  <c r="AD73" i="4" s="1"/>
  <c r="AC73" i="4"/>
  <c r="Q74" i="4"/>
  <c r="R74" i="4"/>
  <c r="S74" i="4"/>
  <c r="T74" i="4"/>
  <c r="AC74" i="4"/>
  <c r="AD74" i="4"/>
  <c r="Q75" i="4"/>
  <c r="R75" i="4"/>
  <c r="S75" i="4"/>
  <c r="T75" i="4"/>
  <c r="AC75" i="4"/>
  <c r="AD75" i="4"/>
  <c r="Q76" i="4"/>
  <c r="T76" i="4" s="1"/>
  <c r="R76" i="4"/>
  <c r="S76" i="4"/>
  <c r="Q77" i="4"/>
  <c r="AC77" i="4" s="1"/>
  <c r="R77" i="4"/>
  <c r="S77" i="4"/>
  <c r="T77" i="4"/>
  <c r="AD77" i="4" s="1"/>
  <c r="Q78" i="4"/>
  <c r="R78" i="4"/>
  <c r="S78" i="4"/>
  <c r="T78" i="4"/>
  <c r="AC78" i="4"/>
  <c r="AD78" i="4"/>
  <c r="Q79" i="4"/>
  <c r="T79" i="4" s="1"/>
  <c r="R79" i="4"/>
  <c r="S79" i="4"/>
  <c r="AD2" i="4"/>
  <c r="AC2" i="4"/>
  <c r="T2" i="4"/>
  <c r="S2" i="4"/>
  <c r="R2" i="4"/>
  <c r="Q2" i="4"/>
  <c r="AF23" i="3"/>
  <c r="AB23" i="3"/>
  <c r="Z23" i="3"/>
  <c r="Y23" i="3"/>
  <c r="X23" i="3"/>
  <c r="W23" i="3"/>
  <c r="V23" i="3"/>
  <c r="U23" i="3"/>
  <c r="AF12" i="3"/>
  <c r="AB12" i="3"/>
  <c r="Z12" i="3"/>
  <c r="Y12" i="3"/>
  <c r="X12" i="3"/>
  <c r="W12" i="3"/>
  <c r="V12" i="3"/>
  <c r="U12" i="3"/>
  <c r="AE23" i="3"/>
  <c r="AE86" i="3"/>
  <c r="AE12" i="3"/>
  <c r="AA86" i="3"/>
  <c r="AA77" i="3"/>
  <c r="AA65" i="3"/>
  <c r="AA59" i="3"/>
  <c r="AA51" i="3"/>
  <c r="AA47" i="3"/>
  <c r="AA37" i="3"/>
  <c r="AA28" i="3"/>
  <c r="AA23" i="3"/>
  <c r="AA12" i="3"/>
  <c r="AA2" i="3"/>
  <c r="Q3" i="3"/>
  <c r="T3" i="3" s="1"/>
  <c r="R3" i="3"/>
  <c r="S3" i="3"/>
  <c r="Q4" i="3"/>
  <c r="R4" i="3"/>
  <c r="S4" i="3"/>
  <c r="T4" i="3"/>
  <c r="AC4" i="3"/>
  <c r="AD4" i="3"/>
  <c r="Q5" i="3"/>
  <c r="R5" i="3"/>
  <c r="S5" i="3"/>
  <c r="T5" i="3"/>
  <c r="AD5" i="3" s="1"/>
  <c r="AC5" i="3"/>
  <c r="Q6" i="3"/>
  <c r="R6" i="3"/>
  <c r="S6" i="3"/>
  <c r="T6" i="3"/>
  <c r="AC6" i="3"/>
  <c r="AD6" i="3"/>
  <c r="Q7" i="3"/>
  <c r="R7" i="3"/>
  <c r="S7" i="3"/>
  <c r="T7" i="3"/>
  <c r="AC7" i="3"/>
  <c r="AD7" i="3"/>
  <c r="Q8" i="3"/>
  <c r="T8" i="3" s="1"/>
  <c r="R8" i="3"/>
  <c r="S8" i="3"/>
  <c r="Q9" i="3"/>
  <c r="R9" i="3"/>
  <c r="S9" i="3"/>
  <c r="T9" i="3"/>
  <c r="AC9" i="3"/>
  <c r="AD9" i="3"/>
  <c r="Q12" i="3"/>
  <c r="R12" i="3"/>
  <c r="S12" i="3"/>
  <c r="T12" i="3"/>
  <c r="AC12" i="3"/>
  <c r="AD12" i="3"/>
  <c r="Q13" i="3"/>
  <c r="R13" i="3"/>
  <c r="S13" i="3"/>
  <c r="T13" i="3"/>
  <c r="AD13" i="3" s="1"/>
  <c r="AC13" i="3"/>
  <c r="Q14" i="3"/>
  <c r="R14" i="3"/>
  <c r="S14" i="3"/>
  <c r="T14" i="3"/>
  <c r="AC14" i="3"/>
  <c r="AD14" i="3"/>
  <c r="Q15" i="3"/>
  <c r="R15" i="3"/>
  <c r="S15" i="3"/>
  <c r="T15" i="3"/>
  <c r="AC15" i="3"/>
  <c r="AD15" i="3"/>
  <c r="Q16" i="3"/>
  <c r="T16" i="3" s="1"/>
  <c r="R16" i="3"/>
  <c r="S16" i="3"/>
  <c r="Q17" i="3"/>
  <c r="R17" i="3"/>
  <c r="S17" i="3"/>
  <c r="T17" i="3"/>
  <c r="AC17" i="3"/>
  <c r="AD17" i="3"/>
  <c r="Q18" i="3"/>
  <c r="R18" i="3"/>
  <c r="S18" i="3"/>
  <c r="T18" i="3"/>
  <c r="AC18" i="3"/>
  <c r="AD18" i="3"/>
  <c r="Q19" i="3"/>
  <c r="T19" i="3" s="1"/>
  <c r="R19" i="3"/>
  <c r="S19" i="3"/>
  <c r="Q20" i="3"/>
  <c r="R20" i="3"/>
  <c r="S20" i="3"/>
  <c r="T20" i="3"/>
  <c r="AC20" i="3"/>
  <c r="AD20" i="3"/>
  <c r="Q23" i="3"/>
  <c r="R23" i="3"/>
  <c r="S23" i="3"/>
  <c r="T23" i="3"/>
  <c r="AC23" i="3"/>
  <c r="AD23" i="3"/>
  <c r="Q24" i="3"/>
  <c r="T24" i="3" s="1"/>
  <c r="R24" i="3"/>
  <c r="S24" i="3"/>
  <c r="Q25" i="3"/>
  <c r="R25" i="3"/>
  <c r="S25" i="3"/>
  <c r="T25" i="3"/>
  <c r="AC25" i="3"/>
  <c r="AD25" i="3"/>
  <c r="Q28" i="3"/>
  <c r="R28" i="3"/>
  <c r="S28" i="3"/>
  <c r="T28" i="3"/>
  <c r="AC28" i="3"/>
  <c r="AD28" i="3"/>
  <c r="Q29" i="3"/>
  <c r="R29" i="3"/>
  <c r="S29" i="3"/>
  <c r="T29" i="3"/>
  <c r="AD29" i="3" s="1"/>
  <c r="AC29" i="3"/>
  <c r="Q30" i="3"/>
  <c r="R30" i="3"/>
  <c r="S30" i="3"/>
  <c r="T30" i="3"/>
  <c r="AC30" i="3"/>
  <c r="AD30" i="3"/>
  <c r="Q31" i="3"/>
  <c r="R31" i="3"/>
  <c r="S31" i="3"/>
  <c r="T31" i="3"/>
  <c r="AC31" i="3"/>
  <c r="AD31" i="3"/>
  <c r="Q32" i="3"/>
  <c r="T32" i="3" s="1"/>
  <c r="R32" i="3"/>
  <c r="S32" i="3"/>
  <c r="Q33" i="3"/>
  <c r="R33" i="3"/>
  <c r="S33" i="3"/>
  <c r="T33" i="3"/>
  <c r="AC33" i="3"/>
  <c r="AD33" i="3"/>
  <c r="Q34" i="3"/>
  <c r="R34" i="3"/>
  <c r="S34" i="3"/>
  <c r="T34" i="3"/>
  <c r="AC34" i="3"/>
  <c r="AD34" i="3"/>
  <c r="Q37" i="3"/>
  <c r="R37" i="3"/>
  <c r="S37" i="3"/>
  <c r="T37" i="3"/>
  <c r="AD37" i="3" s="1"/>
  <c r="AC37" i="3"/>
  <c r="Q38" i="3"/>
  <c r="R38" i="3"/>
  <c r="S38" i="3"/>
  <c r="T38" i="3"/>
  <c r="AC38" i="3"/>
  <c r="AD38" i="3"/>
  <c r="Q39" i="3"/>
  <c r="R39" i="3"/>
  <c r="S39" i="3"/>
  <c r="T39" i="3"/>
  <c r="AC39" i="3"/>
  <c r="AD39" i="3"/>
  <c r="Q40" i="3"/>
  <c r="T40" i="3" s="1"/>
  <c r="R40" i="3"/>
  <c r="S40" i="3"/>
  <c r="Q41" i="3"/>
  <c r="R41" i="3"/>
  <c r="S41" i="3"/>
  <c r="T41" i="3"/>
  <c r="AC41" i="3"/>
  <c r="AD41" i="3"/>
  <c r="Q42" i="3"/>
  <c r="R42" i="3"/>
  <c r="S42" i="3"/>
  <c r="T42" i="3"/>
  <c r="AC42" i="3"/>
  <c r="AD42" i="3"/>
  <c r="Q43" i="3"/>
  <c r="T43" i="3" s="1"/>
  <c r="R43" i="3"/>
  <c r="S43" i="3"/>
  <c r="Q44" i="3"/>
  <c r="R44" i="3"/>
  <c r="S44" i="3"/>
  <c r="T44" i="3"/>
  <c r="AC44" i="3"/>
  <c r="AD44" i="3"/>
  <c r="Q47" i="3"/>
  <c r="R47" i="3"/>
  <c r="S47" i="3"/>
  <c r="T47" i="3"/>
  <c r="AC47" i="3"/>
  <c r="AD47" i="3"/>
  <c r="Q48" i="3"/>
  <c r="T48" i="3" s="1"/>
  <c r="R48" i="3"/>
  <c r="S48" i="3"/>
  <c r="Q51" i="3"/>
  <c r="T51" i="3" s="1"/>
  <c r="R51" i="3"/>
  <c r="S51" i="3"/>
  <c r="Q52" i="3"/>
  <c r="R52" i="3"/>
  <c r="S52" i="3"/>
  <c r="T52" i="3"/>
  <c r="AC52" i="3"/>
  <c r="AD52" i="3"/>
  <c r="Q53" i="3"/>
  <c r="R53" i="3"/>
  <c r="S53" i="3"/>
  <c r="T53" i="3"/>
  <c r="AD53" i="3" s="1"/>
  <c r="AC53" i="3"/>
  <c r="Q54" i="3"/>
  <c r="R54" i="3"/>
  <c r="S54" i="3"/>
  <c r="T54" i="3"/>
  <c r="AC54" i="3"/>
  <c r="AD54" i="3"/>
  <c r="Q55" i="3"/>
  <c r="R55" i="3"/>
  <c r="S55" i="3"/>
  <c r="T55" i="3"/>
  <c r="AC55" i="3"/>
  <c r="AD55" i="3"/>
  <c r="Q56" i="3"/>
  <c r="T56" i="3" s="1"/>
  <c r="R56" i="3"/>
  <c r="S56" i="3"/>
  <c r="Q59" i="3"/>
  <c r="T59" i="3" s="1"/>
  <c r="R59" i="3"/>
  <c r="S59" i="3"/>
  <c r="Q60" i="3"/>
  <c r="R60" i="3"/>
  <c r="S60" i="3"/>
  <c r="T60" i="3"/>
  <c r="AC60" i="3"/>
  <c r="AD60" i="3"/>
  <c r="Q61" i="3"/>
  <c r="R61" i="3"/>
  <c r="S61" i="3"/>
  <c r="T61" i="3"/>
  <c r="AD61" i="3" s="1"/>
  <c r="AC61" i="3"/>
  <c r="Q65" i="3"/>
  <c r="R65" i="3"/>
  <c r="S65" i="3"/>
  <c r="T65" i="3"/>
  <c r="AC65" i="3"/>
  <c r="AD65" i="3"/>
  <c r="Q66" i="3"/>
  <c r="R66" i="3"/>
  <c r="S66" i="3"/>
  <c r="T66" i="3"/>
  <c r="AC66" i="3"/>
  <c r="AD66" i="3"/>
  <c r="Q67" i="3"/>
  <c r="T67" i="3" s="1"/>
  <c r="R67" i="3"/>
  <c r="S67" i="3"/>
  <c r="Q68" i="3"/>
  <c r="R68" i="3"/>
  <c r="S68" i="3"/>
  <c r="T68" i="3"/>
  <c r="AC68" i="3"/>
  <c r="AD68" i="3"/>
  <c r="Q69" i="3"/>
  <c r="R69" i="3"/>
  <c r="S69" i="3"/>
  <c r="T69" i="3"/>
  <c r="AD69" i="3" s="1"/>
  <c r="AC69" i="3"/>
  <c r="Q70" i="3"/>
  <c r="R70" i="3"/>
  <c r="S70" i="3"/>
  <c r="T70" i="3"/>
  <c r="AC70" i="3"/>
  <c r="AD70" i="3"/>
  <c r="Q71" i="3"/>
  <c r="R71" i="3"/>
  <c r="S71" i="3"/>
  <c r="T71" i="3"/>
  <c r="AC71" i="3"/>
  <c r="AD71" i="3"/>
  <c r="Q72" i="3"/>
  <c r="T72" i="3" s="1"/>
  <c r="R72" i="3"/>
  <c r="S72" i="3"/>
  <c r="Q73" i="3"/>
  <c r="R73" i="3"/>
  <c r="S73" i="3"/>
  <c r="T73" i="3"/>
  <c r="AC73" i="3"/>
  <c r="AD73" i="3"/>
  <c r="Q74" i="3"/>
  <c r="R74" i="3"/>
  <c r="S74" i="3"/>
  <c r="T74" i="3"/>
  <c r="AC74" i="3"/>
  <c r="AD74" i="3"/>
  <c r="Q77" i="3"/>
  <c r="R77" i="3"/>
  <c r="S77" i="3"/>
  <c r="T77" i="3"/>
  <c r="AD77" i="3" s="1"/>
  <c r="AC77" i="3"/>
  <c r="Q78" i="3"/>
  <c r="R78" i="3"/>
  <c r="S78" i="3"/>
  <c r="T78" i="3"/>
  <c r="AC78" i="3"/>
  <c r="AD78" i="3"/>
  <c r="Q79" i="3"/>
  <c r="R79" i="3"/>
  <c r="S79" i="3"/>
  <c r="T79" i="3"/>
  <c r="AC79" i="3"/>
  <c r="AD79" i="3"/>
  <c r="Q80" i="3"/>
  <c r="T80" i="3" s="1"/>
  <c r="R80" i="3"/>
  <c r="S80" i="3"/>
  <c r="Q81" i="3"/>
  <c r="R81" i="3"/>
  <c r="S81" i="3"/>
  <c r="T81" i="3"/>
  <c r="AC81" i="3"/>
  <c r="AD81" i="3"/>
  <c r="Q82" i="3"/>
  <c r="R82" i="3"/>
  <c r="S82" i="3"/>
  <c r="T82" i="3"/>
  <c r="AC82" i="3"/>
  <c r="AD82" i="3"/>
  <c r="Q83" i="3"/>
  <c r="T83" i="3" s="1"/>
  <c r="R83" i="3"/>
  <c r="S83" i="3"/>
  <c r="Q86" i="3"/>
  <c r="R86" i="3"/>
  <c r="S86" i="3"/>
  <c r="T86" i="3"/>
  <c r="AC86" i="3"/>
  <c r="AD86" i="3"/>
  <c r="Q87" i="3"/>
  <c r="R87" i="3"/>
  <c r="S87" i="3"/>
  <c r="T87" i="3"/>
  <c r="AC87" i="3"/>
  <c r="AD87" i="3"/>
  <c r="Q88" i="3"/>
  <c r="T88" i="3" s="1"/>
  <c r="R88" i="3"/>
  <c r="S88" i="3"/>
  <c r="Q89" i="3"/>
  <c r="R89" i="3"/>
  <c r="S89" i="3"/>
  <c r="T89" i="3"/>
  <c r="AC89" i="3"/>
  <c r="AD89" i="3"/>
  <c r="Q90" i="3"/>
  <c r="R90" i="3"/>
  <c r="S90" i="3"/>
  <c r="T90" i="3"/>
  <c r="AC90" i="3"/>
  <c r="AD90" i="3"/>
  <c r="Q91" i="3"/>
  <c r="T91" i="3" s="1"/>
  <c r="R91" i="3"/>
  <c r="S91" i="3"/>
  <c r="Q92" i="3"/>
  <c r="R92" i="3"/>
  <c r="S92" i="3"/>
  <c r="T92" i="3"/>
  <c r="AC92" i="3"/>
  <c r="AD92" i="3"/>
  <c r="Q93" i="3"/>
  <c r="R93" i="3"/>
  <c r="S93" i="3"/>
  <c r="T93" i="3"/>
  <c r="AD93" i="3" s="1"/>
  <c r="AC93" i="3"/>
  <c r="AD2" i="3"/>
  <c r="AC2" i="3"/>
  <c r="T2" i="3"/>
  <c r="S2" i="3"/>
  <c r="R2" i="3"/>
  <c r="Q2" i="3"/>
  <c r="AF2" i="2"/>
  <c r="AE2" i="2"/>
  <c r="AB2" i="2"/>
  <c r="AA2" i="2"/>
  <c r="Z2" i="2"/>
  <c r="Y2" i="2"/>
  <c r="X2" i="2"/>
  <c r="W2" i="2"/>
  <c r="V2" i="2"/>
  <c r="U2" i="2"/>
  <c r="Q3" i="2"/>
  <c r="T3" i="2" s="1"/>
  <c r="R3" i="2"/>
  <c r="S3" i="2"/>
  <c r="Q4" i="2"/>
  <c r="R4" i="2"/>
  <c r="S4" i="2"/>
  <c r="T4" i="2"/>
  <c r="AC4" i="2"/>
  <c r="AD4" i="2"/>
  <c r="Q5" i="2"/>
  <c r="R5" i="2"/>
  <c r="S5" i="2"/>
  <c r="T5" i="2"/>
  <c r="AD5" i="2" s="1"/>
  <c r="AC5" i="2"/>
  <c r="Q6" i="2"/>
  <c r="R6" i="2"/>
  <c r="S6" i="2"/>
  <c r="T6" i="2"/>
  <c r="AC6" i="2"/>
  <c r="AD6" i="2"/>
  <c r="Q7" i="2"/>
  <c r="R7" i="2"/>
  <c r="S7" i="2"/>
  <c r="T7" i="2"/>
  <c r="AC7" i="2"/>
  <c r="AD7" i="2"/>
  <c r="Q8" i="2"/>
  <c r="T8" i="2" s="1"/>
  <c r="R8" i="2"/>
  <c r="S8" i="2"/>
  <c r="Q9" i="2"/>
  <c r="R9" i="2"/>
  <c r="S9" i="2"/>
  <c r="T9" i="2"/>
  <c r="AC9" i="2"/>
  <c r="AD9" i="2"/>
  <c r="Q10" i="2"/>
  <c r="R10" i="2"/>
  <c r="S10" i="2"/>
  <c r="T10" i="2"/>
  <c r="AC10" i="2"/>
  <c r="AD10" i="2"/>
  <c r="Q11" i="2"/>
  <c r="T11" i="2" s="1"/>
  <c r="R11" i="2"/>
  <c r="S11" i="2"/>
  <c r="Q12" i="2"/>
  <c r="R12" i="2"/>
  <c r="S12" i="2"/>
  <c r="T12" i="2"/>
  <c r="AC12" i="2"/>
  <c r="AD12" i="2"/>
  <c r="Q13" i="2"/>
  <c r="R13" i="2"/>
  <c r="S13" i="2"/>
  <c r="T13" i="2"/>
  <c r="AD13" i="2" s="1"/>
  <c r="AC13" i="2"/>
  <c r="Q14" i="2"/>
  <c r="R14" i="2"/>
  <c r="S14" i="2"/>
  <c r="T14" i="2"/>
  <c r="AC14" i="2"/>
  <c r="AD14" i="2"/>
  <c r="AD2" i="2"/>
  <c r="AC2" i="2"/>
  <c r="T2" i="2"/>
  <c r="S2" i="2"/>
  <c r="R2" i="2"/>
  <c r="Q2" i="2"/>
  <c r="AC7" i="15" l="1"/>
  <c r="AD7" i="15" s="1"/>
  <c r="AC8" i="15"/>
  <c r="AD8" i="15" s="1"/>
  <c r="AC8" i="12"/>
  <c r="AD8" i="12" s="1"/>
  <c r="AC9" i="11"/>
  <c r="AD9" i="11" s="1"/>
  <c r="AC3" i="11"/>
  <c r="AD3" i="11" s="1"/>
  <c r="AC8" i="11"/>
  <c r="AD8" i="11" s="1"/>
  <c r="Y4" i="9"/>
  <c r="AC7" i="9"/>
  <c r="AD7" i="9" s="1"/>
  <c r="W4" i="9"/>
  <c r="T6" i="9"/>
  <c r="AC5" i="9"/>
  <c r="U4" i="9"/>
  <c r="T5" i="9"/>
  <c r="AD5" i="9" s="1"/>
  <c r="AA4" i="9"/>
  <c r="AC6" i="9"/>
  <c r="AD6" i="9" s="1"/>
  <c r="AD33" i="8"/>
  <c r="AD68" i="8"/>
  <c r="AD41" i="8"/>
  <c r="AD25" i="8"/>
  <c r="AD36" i="8"/>
  <c r="AD94" i="8"/>
  <c r="AD62" i="8"/>
  <c r="AD46" i="8"/>
  <c r="AD30" i="8"/>
  <c r="AD14" i="8"/>
  <c r="AD84" i="8"/>
  <c r="AD76" i="8"/>
  <c r="AD44" i="8"/>
  <c r="AD4" i="8"/>
  <c r="AC8" i="8"/>
  <c r="AD8" i="8" s="1"/>
  <c r="AC92" i="8"/>
  <c r="AD92" i="8" s="1"/>
  <c r="AC84" i="8"/>
  <c r="AC76" i="8"/>
  <c r="AC68" i="8"/>
  <c r="AC44" i="8"/>
  <c r="AC36" i="8"/>
  <c r="AC20" i="8"/>
  <c r="AD20" i="8" s="1"/>
  <c r="AC89" i="8"/>
  <c r="AD89" i="8" s="1"/>
  <c r="AC81" i="8"/>
  <c r="AD81" i="8" s="1"/>
  <c r="AC73" i="8"/>
  <c r="AD73" i="8" s="1"/>
  <c r="AC57" i="8"/>
  <c r="AD57" i="8" s="1"/>
  <c r="AC41" i="8"/>
  <c r="AC33" i="8"/>
  <c r="AC25" i="8"/>
  <c r="AC17" i="8"/>
  <c r="AD17" i="8" s="1"/>
  <c r="AC9" i="8"/>
  <c r="AD9" i="8" s="1"/>
  <c r="AD11" i="7"/>
  <c r="AD13" i="7"/>
  <c r="AD3" i="7"/>
  <c r="AC14" i="7"/>
  <c r="AD14" i="7" s="1"/>
  <c r="AC6" i="7"/>
  <c r="AD6" i="7" s="1"/>
  <c r="AC8" i="7"/>
  <c r="AD8" i="7" s="1"/>
  <c r="T72" i="5"/>
  <c r="AC67" i="5"/>
  <c r="AC72" i="5"/>
  <c r="AD72" i="5" s="1"/>
  <c r="AC50" i="5"/>
  <c r="AC61" i="5"/>
  <c r="AC56" i="5"/>
  <c r="AD56" i="5" s="1"/>
  <c r="AC54" i="5"/>
  <c r="T62" i="5"/>
  <c r="AC58" i="5"/>
  <c r="T56" i="5"/>
  <c r="AC39" i="5"/>
  <c r="T38" i="5"/>
  <c r="AC34" i="5"/>
  <c r="AC25" i="5"/>
  <c r="AC20" i="5"/>
  <c r="AC21" i="5"/>
  <c r="AC24" i="5"/>
  <c r="T23" i="5"/>
  <c r="AD23" i="5" s="1"/>
  <c r="AC6" i="5"/>
  <c r="AC10" i="5"/>
  <c r="T13" i="5"/>
  <c r="AC3" i="5"/>
  <c r="X2" i="5"/>
  <c r="AC14" i="5"/>
  <c r="AC8" i="5"/>
  <c r="AC13" i="5"/>
  <c r="AD13" i="5" s="1"/>
  <c r="AC5" i="5"/>
  <c r="AD5" i="5" s="1"/>
  <c r="T47" i="5"/>
  <c r="AD47" i="5" s="1"/>
  <c r="AC59" i="5"/>
  <c r="T66" i="5"/>
  <c r="AD66" i="5" s="1"/>
  <c r="AC71" i="5"/>
  <c r="AD71" i="5" s="1"/>
  <c r="AC38" i="5"/>
  <c r="AD38" i="5" s="1"/>
  <c r="AC44" i="5"/>
  <c r="AC51" i="5"/>
  <c r="AC69" i="5"/>
  <c r="AC41" i="5"/>
  <c r="AC46" i="5"/>
  <c r="AD46" i="5" s="1"/>
  <c r="T74" i="5"/>
  <c r="AC79" i="5"/>
  <c r="AD79" i="5" s="1"/>
  <c r="AC31" i="5"/>
  <c r="AD31" i="5" s="1"/>
  <c r="T25" i="5"/>
  <c r="AD25" i="5" s="1"/>
  <c r="AC26" i="5"/>
  <c r="AC18" i="5"/>
  <c r="T11" i="5"/>
  <c r="AD11" i="5" s="1"/>
  <c r="AD62" i="5"/>
  <c r="T18" i="5"/>
  <c r="AC60" i="5"/>
  <c r="T60" i="5"/>
  <c r="AD60" i="5" s="1"/>
  <c r="Z2" i="5"/>
  <c r="Y2" i="5"/>
  <c r="T8" i="5"/>
  <c r="AC12" i="5"/>
  <c r="T12" i="5"/>
  <c r="AD12" i="5" s="1"/>
  <c r="AC37" i="5"/>
  <c r="T37" i="5"/>
  <c r="T69" i="5"/>
  <c r="T2" i="5"/>
  <c r="T24" i="5"/>
  <c r="AD24" i="5" s="1"/>
  <c r="T44" i="5"/>
  <c r="U2" i="5"/>
  <c r="T21" i="5"/>
  <c r="AD21" i="5" s="1"/>
  <c r="V2" i="5"/>
  <c r="AC70" i="5"/>
  <c r="T70" i="5"/>
  <c r="W2" i="5"/>
  <c r="T41" i="5"/>
  <c r="AC45" i="5"/>
  <c r="T45" i="5"/>
  <c r="AD45" i="5" s="1"/>
  <c r="T57" i="5"/>
  <c r="AD57" i="5" s="1"/>
  <c r="T77" i="5"/>
  <c r="AD77" i="5" s="1"/>
  <c r="AC22" i="5"/>
  <c r="T22" i="5"/>
  <c r="AD22" i="5" s="1"/>
  <c r="T34" i="5"/>
  <c r="T54" i="5"/>
  <c r="T9" i="5"/>
  <c r="AD9" i="5" s="1"/>
  <c r="T29" i="5"/>
  <c r="AD29" i="5" s="1"/>
  <c r="T6" i="5"/>
  <c r="AC78" i="5"/>
  <c r="T78" i="5"/>
  <c r="AD78" i="5" s="1"/>
  <c r="AC19" i="5"/>
  <c r="T19" i="5"/>
  <c r="T51" i="5"/>
  <c r="AD51" i="5" s="1"/>
  <c r="AC55" i="5"/>
  <c r="T55" i="5"/>
  <c r="AC74" i="5"/>
  <c r="T3" i="5"/>
  <c r="AD3" i="5" s="1"/>
  <c r="T26" i="5"/>
  <c r="AC30" i="5"/>
  <c r="T30" i="5"/>
  <c r="AD30" i="5" s="1"/>
  <c r="T67" i="5"/>
  <c r="AD67" i="5" s="1"/>
  <c r="T42" i="5"/>
  <c r="AD42" i="5" s="1"/>
  <c r="AC62" i="5"/>
  <c r="T14" i="5"/>
  <c r="T39" i="5"/>
  <c r="AD39" i="5" s="1"/>
  <c r="AC52" i="5"/>
  <c r="T52" i="5"/>
  <c r="AD52" i="5" s="1"/>
  <c r="AC4" i="5"/>
  <c r="T4" i="5"/>
  <c r="AD4" i="5" s="1"/>
  <c r="AC27" i="5"/>
  <c r="T27" i="5"/>
  <c r="AD27" i="5" s="1"/>
  <c r="T59" i="5"/>
  <c r="AC63" i="5"/>
  <c r="T63" i="5"/>
  <c r="AD63" i="5" s="1"/>
  <c r="T36" i="5"/>
  <c r="AD36" i="5" s="1"/>
  <c r="T75" i="5"/>
  <c r="AD75" i="5" s="1"/>
  <c r="AC2" i="5"/>
  <c r="T7" i="5"/>
  <c r="AD7" i="5" s="1"/>
  <c r="T15" i="5"/>
  <c r="AD15" i="5" s="1"/>
  <c r="T40" i="5"/>
  <c r="AD40" i="5" s="1"/>
  <c r="T50" i="5"/>
  <c r="T73" i="5"/>
  <c r="AD73" i="5" s="1"/>
  <c r="T58" i="5"/>
  <c r="AD58" i="5" s="1"/>
  <c r="T10" i="5"/>
  <c r="AD10" i="5" s="1"/>
  <c r="T35" i="5"/>
  <c r="AD35" i="5" s="1"/>
  <c r="T43" i="5"/>
  <c r="AD43" i="5" s="1"/>
  <c r="T68" i="5"/>
  <c r="AD68" i="5" s="1"/>
  <c r="T76" i="5"/>
  <c r="AD76" i="5" s="1"/>
  <c r="T20" i="5"/>
  <c r="AD20" i="5" s="1"/>
  <c r="T28" i="5"/>
  <c r="AD28" i="5" s="1"/>
  <c r="T53" i="5"/>
  <c r="AD53" i="5" s="1"/>
  <c r="T61" i="5"/>
  <c r="AD63" i="4"/>
  <c r="AD56" i="4"/>
  <c r="AD20" i="4"/>
  <c r="AD23" i="4"/>
  <c r="AD76" i="4"/>
  <c r="AD12" i="4"/>
  <c r="AD4" i="4"/>
  <c r="AD53" i="4"/>
  <c r="AD21" i="4"/>
  <c r="AD71" i="4"/>
  <c r="AD60" i="4"/>
  <c r="AC79" i="4"/>
  <c r="AD79" i="4" s="1"/>
  <c r="AC71" i="4"/>
  <c r="AC63" i="4"/>
  <c r="AC55" i="4"/>
  <c r="AD55" i="4" s="1"/>
  <c r="AC47" i="4"/>
  <c r="AD47" i="4" s="1"/>
  <c r="AC39" i="4"/>
  <c r="AD39" i="4" s="1"/>
  <c r="AC31" i="4"/>
  <c r="AD31" i="4" s="1"/>
  <c r="AC23" i="4"/>
  <c r="AC15" i="4"/>
  <c r="AD15" i="4" s="1"/>
  <c r="AC7" i="4"/>
  <c r="AD7" i="4" s="1"/>
  <c r="AC76" i="4"/>
  <c r="AC68" i="4"/>
  <c r="AD68" i="4" s="1"/>
  <c r="AC60" i="4"/>
  <c r="AC52" i="4"/>
  <c r="AD52" i="4" s="1"/>
  <c r="AC44" i="4"/>
  <c r="AD44" i="4" s="1"/>
  <c r="AC36" i="4"/>
  <c r="AD36" i="4" s="1"/>
  <c r="AC28" i="4"/>
  <c r="AD28" i="4" s="1"/>
  <c r="AC20" i="4"/>
  <c r="AC12" i="4"/>
  <c r="AC4" i="4"/>
  <c r="AC72" i="4"/>
  <c r="AD72" i="4" s="1"/>
  <c r="AC56" i="4"/>
  <c r="AC40" i="4"/>
  <c r="AD40" i="4" s="1"/>
  <c r="AC24" i="4"/>
  <c r="AD24" i="4" s="1"/>
  <c r="AC8" i="4"/>
  <c r="AD8" i="4" s="1"/>
  <c r="AD80" i="3"/>
  <c r="AD48" i="3"/>
  <c r="AD32" i="3"/>
  <c r="AD88" i="3"/>
  <c r="AD19" i="3"/>
  <c r="AD3" i="3"/>
  <c r="AC91" i="3"/>
  <c r="AD91" i="3" s="1"/>
  <c r="AC83" i="3"/>
  <c r="AD83" i="3" s="1"/>
  <c r="AC67" i="3"/>
  <c r="AD67" i="3" s="1"/>
  <c r="AC59" i="3"/>
  <c r="AD59" i="3" s="1"/>
  <c r="AC51" i="3"/>
  <c r="AD51" i="3" s="1"/>
  <c r="AC43" i="3"/>
  <c r="AD43" i="3" s="1"/>
  <c r="AC19" i="3"/>
  <c r="AC3" i="3"/>
  <c r="AC88" i="3"/>
  <c r="AC80" i="3"/>
  <c r="AC72" i="3"/>
  <c r="AD72" i="3" s="1"/>
  <c r="AC56" i="3"/>
  <c r="AD56" i="3" s="1"/>
  <c r="AC48" i="3"/>
  <c r="AC40" i="3"/>
  <c r="AD40" i="3" s="1"/>
  <c r="AC32" i="3"/>
  <c r="AC24" i="3"/>
  <c r="AD24" i="3" s="1"/>
  <c r="AC16" i="3"/>
  <c r="AD16" i="3" s="1"/>
  <c r="AC8" i="3"/>
  <c r="AD8" i="3" s="1"/>
  <c r="AD3" i="2"/>
  <c r="AD8" i="2"/>
  <c r="AC11" i="2"/>
  <c r="AD11" i="2" s="1"/>
  <c r="AC3" i="2"/>
  <c r="AC8" i="2"/>
  <c r="AF4" i="9" l="1"/>
  <c r="AB4" i="9"/>
  <c r="AE4" i="9"/>
  <c r="AD70" i="5"/>
  <c r="AD74" i="5"/>
  <c r="AD54" i="5"/>
  <c r="AD61" i="5"/>
  <c r="AD55" i="5"/>
  <c r="AD41" i="5"/>
  <c r="AD19" i="5"/>
  <c r="AD14" i="5"/>
  <c r="AD6" i="5"/>
  <c r="AD8" i="5"/>
  <c r="AD59" i="5"/>
  <c r="AD69" i="5"/>
  <c r="AD37" i="5"/>
  <c r="AD44" i="5"/>
  <c r="AD26" i="5"/>
  <c r="AD34" i="5"/>
  <c r="AA34" i="5"/>
  <c r="AD50" i="5"/>
  <c r="AA50" i="5"/>
  <c r="AD18" i="5"/>
  <c r="AA18" i="5"/>
  <c r="AD2" i="5"/>
  <c r="AB2" i="5"/>
  <c r="AA2" i="5"/>
  <c r="AA66" i="5"/>
  <c r="AF2" i="5" l="1"/>
  <c r="AE2" i="5"/>
</calcChain>
</file>

<file path=xl/sharedStrings.xml><?xml version="1.0" encoding="utf-8"?>
<sst xmlns="http://schemas.openxmlformats.org/spreadsheetml/2006/main" count="413" uniqueCount="53">
  <si>
    <t>STD</t>
  </si>
  <si>
    <t>BAL</t>
  </si>
  <si>
    <t>NOAUG</t>
  </si>
  <si>
    <t>g=0.0001</t>
  </si>
  <si>
    <t>tau=10%</t>
  </si>
  <si>
    <t>g=0.000199</t>
  </si>
  <si>
    <t>tau=20%</t>
  </si>
  <si>
    <t>ADV</t>
  </si>
  <si>
    <t>CLSDIV</t>
  </si>
  <si>
    <t>eps=0.0056</t>
  </si>
  <si>
    <t>NOCLSDIV</t>
  </si>
  <si>
    <t>eps=0.1</t>
  </si>
  <si>
    <t>DIFF</t>
  </si>
  <si>
    <t>IMB</t>
  </si>
  <si>
    <t>MIT</t>
  </si>
  <si>
    <t>STDAUG</t>
  </si>
  <si>
    <t>ONLYMIN</t>
  </si>
  <si>
    <t>PARBS</t>
  </si>
  <si>
    <t>ERR_0</t>
  </si>
  <si>
    <t>ERR0_STD</t>
  </si>
  <si>
    <t>ERR_1</t>
  </si>
  <si>
    <t>ERR1_STD</t>
  </si>
  <si>
    <t>ERR_2</t>
  </si>
  <si>
    <t>ERR2_STD</t>
  </si>
  <si>
    <t>ERR</t>
  </si>
  <si>
    <t>ERR_STD</t>
  </si>
  <si>
    <t>CIC</t>
  </si>
  <si>
    <t>CIC_STD</t>
  </si>
  <si>
    <t>ERR_i_0</t>
  </si>
  <si>
    <t>ERR_i_1</t>
  </si>
  <si>
    <t>ERR_i_2</t>
  </si>
  <si>
    <t>ERR_i</t>
  </si>
  <si>
    <t>MIN_ERR_i</t>
  </si>
  <si>
    <t>CIC_i</t>
  </si>
  <si>
    <t>BEST with tau=10%</t>
  </si>
  <si>
    <t>BEST with tau=20%</t>
  </si>
  <si>
    <t>g=0.1</t>
  </si>
  <si>
    <t>g=0.05</t>
  </si>
  <si>
    <t>g=0.006</t>
  </si>
  <si>
    <t>g=0.001</t>
  </si>
  <si>
    <t>g=0.00079</t>
  </si>
  <si>
    <t>g=0.0125</t>
  </si>
  <si>
    <t>g=0.025</t>
  </si>
  <si>
    <t>g=0.003</t>
  </si>
  <si>
    <t>g=0.00039</t>
  </si>
  <si>
    <t>n=11 -&gt; 1.1 -&gt; 2</t>
  </si>
  <si>
    <t>n=11 -&gt; 2.2 -&gt; 3</t>
  </si>
  <si>
    <t>eps=0.0003</t>
  </si>
  <si>
    <t>eps=1.77e-5</t>
  </si>
  <si>
    <t>eps=1e-6</t>
  </si>
  <si>
    <t>without</t>
  </si>
  <si>
    <t>with</t>
  </si>
  <si>
    <t>g=0.0007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</si>
</sst>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"/>
  <sheetViews>
    <sheetView tabSelected="1" topLeftCell="A6" zoomScale="77" workbookViewId="0">
      <selection sqref="A1:E38"/>
    </sheetView>
  </sheetViews>
  <sheetFormatPr defaultRowHeight="14.4" x14ac:dyDescent="0.3"/>
  <sheetData>
    <row r="1" spans="1:17" x14ac:dyDescent="0.3"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</row>
    <row r="2" spans="1:17" x14ac:dyDescent="0.3">
      <c r="A2" t="s">
        <v>0</v>
      </c>
    </row>
    <row r="3" spans="1:17" x14ac:dyDescent="0.3">
      <c r="B3" t="s">
        <v>1</v>
      </c>
    </row>
    <row r="4" spans="1:17" x14ac:dyDescent="0.3">
      <c r="C4" t="s">
        <v>2</v>
      </c>
      <c r="H4">
        <v>19.03846153846154</v>
      </c>
      <c r="I4">
        <v>2.5776405430608031</v>
      </c>
      <c r="J4">
        <v>9.7692307692307701</v>
      </c>
      <c r="K4">
        <v>1.9959895688540972</v>
      </c>
      <c r="L4">
        <v>31.307692307692307</v>
      </c>
      <c r="M4">
        <v>4.4137024402160607</v>
      </c>
      <c r="N4">
        <v>20.03846153846154</v>
      </c>
      <c r="O4">
        <v>1.4420180145948087</v>
      </c>
      <c r="P4">
        <v>3.4230769230769229</v>
      </c>
      <c r="Q4">
        <v>0.67606738557993451</v>
      </c>
    </row>
    <row r="5" spans="1:17" x14ac:dyDescent="0.3">
      <c r="C5" t="s">
        <v>0</v>
      </c>
      <c r="E5" t="s">
        <v>3</v>
      </c>
      <c r="H5">
        <v>17.222222222222221</v>
      </c>
      <c r="I5">
        <v>3.1534813214040853</v>
      </c>
      <c r="J5">
        <v>9.1666666666666661</v>
      </c>
      <c r="K5">
        <v>2.5860201081971503</v>
      </c>
      <c r="L5">
        <v>28</v>
      </c>
      <c r="M5">
        <v>3.9764934301467165</v>
      </c>
      <c r="N5">
        <v>18.12962962962963</v>
      </c>
      <c r="O5">
        <v>2.1647070910687889</v>
      </c>
      <c r="P5">
        <v>2.9876543209876543</v>
      </c>
      <c r="Q5">
        <v>0.55540121312847546</v>
      </c>
    </row>
    <row r="6" spans="1:17" x14ac:dyDescent="0.3">
      <c r="E6" t="s">
        <v>4</v>
      </c>
      <c r="F6" t="s">
        <v>3</v>
      </c>
      <c r="H6">
        <v>17.222222222222221</v>
      </c>
      <c r="I6">
        <v>3.1534813214040853</v>
      </c>
      <c r="J6">
        <v>9.1666666666666661</v>
      </c>
      <c r="K6">
        <v>2.5860201081971503</v>
      </c>
      <c r="L6">
        <v>28</v>
      </c>
      <c r="M6">
        <v>3.9764934301467165</v>
      </c>
      <c r="N6">
        <v>18.12962962962963</v>
      </c>
      <c r="O6">
        <v>2.1647070910687889</v>
      </c>
      <c r="P6">
        <v>2.9876543209876543</v>
      </c>
      <c r="Q6">
        <v>0.55540121312847546</v>
      </c>
    </row>
    <row r="7" spans="1:17" x14ac:dyDescent="0.3">
      <c r="E7" t="s">
        <v>6</v>
      </c>
      <c r="F7" t="s">
        <v>37</v>
      </c>
      <c r="H7">
        <v>17.833333333333332</v>
      </c>
      <c r="I7">
        <v>2.7537852736430475</v>
      </c>
      <c r="J7">
        <v>10.5</v>
      </c>
      <c r="K7">
        <v>1</v>
      </c>
      <c r="L7">
        <v>29.333333333333332</v>
      </c>
      <c r="M7">
        <v>3.2145502536643185</v>
      </c>
      <c r="N7">
        <v>19.222222222222225</v>
      </c>
      <c r="O7">
        <v>1.6859989894992806</v>
      </c>
      <c r="P7">
        <v>2.907407407407407</v>
      </c>
      <c r="Q7">
        <v>0.87194499014767157</v>
      </c>
    </row>
    <row r="8" spans="1:17" x14ac:dyDescent="0.3">
      <c r="C8" t="s">
        <v>7</v>
      </c>
    </row>
    <row r="9" spans="1:17" x14ac:dyDescent="0.3">
      <c r="D9" t="s">
        <v>8</v>
      </c>
    </row>
    <row r="10" spans="1:17" x14ac:dyDescent="0.3">
      <c r="E10" t="s">
        <v>4</v>
      </c>
      <c r="F10" t="s">
        <v>11</v>
      </c>
      <c r="H10">
        <v>21.857142857142858</v>
      </c>
      <c r="I10">
        <v>3.313309822220365</v>
      </c>
      <c r="J10">
        <v>16.142857142857142</v>
      </c>
      <c r="K10">
        <v>2.9445423532918786</v>
      </c>
      <c r="L10">
        <v>30.714285714285715</v>
      </c>
      <c r="M10">
        <v>4.0416784675633037</v>
      </c>
      <c r="N10">
        <v>22.904761904761905</v>
      </c>
      <c r="O10">
        <v>2.2165985007007727</v>
      </c>
      <c r="P10">
        <v>2.2539682539682535</v>
      </c>
      <c r="Q10">
        <v>0.72229266116537316</v>
      </c>
    </row>
    <row r="11" spans="1:17" x14ac:dyDescent="0.3">
      <c r="E11" t="s">
        <v>6</v>
      </c>
      <c r="F11" t="s">
        <v>11</v>
      </c>
      <c r="H11">
        <v>21.857142857142858</v>
      </c>
      <c r="I11">
        <v>3.313309822220365</v>
      </c>
      <c r="J11">
        <v>16.142857142857142</v>
      </c>
      <c r="K11">
        <v>2.9445423532918786</v>
      </c>
      <c r="L11">
        <v>30.714285714285715</v>
      </c>
      <c r="M11">
        <v>4.0416784675633037</v>
      </c>
      <c r="N11">
        <v>22.904761904761905</v>
      </c>
      <c r="O11">
        <v>2.2165985007007727</v>
      </c>
      <c r="P11">
        <v>2.2539682539682535</v>
      </c>
      <c r="Q11">
        <v>0.72229266116537316</v>
      </c>
    </row>
    <row r="12" spans="1:17" x14ac:dyDescent="0.3">
      <c r="D12" t="s">
        <v>10</v>
      </c>
    </row>
    <row r="13" spans="1:17" x14ac:dyDescent="0.3">
      <c r="E13" t="s">
        <v>4</v>
      </c>
      <c r="H13">
        <v>22.392857142857142</v>
      </c>
      <c r="I13">
        <v>3.4091425237517892</v>
      </c>
      <c r="J13">
        <v>16.821428571428573</v>
      </c>
      <c r="K13">
        <v>3.1901720646695235</v>
      </c>
      <c r="L13">
        <v>30.821428571428573</v>
      </c>
      <c r="M13">
        <v>4.6970004456901133</v>
      </c>
      <c r="N13">
        <v>23.345238095238095</v>
      </c>
      <c r="O13">
        <v>2.2230958295033227</v>
      </c>
      <c r="P13">
        <v>2.2936507936507939</v>
      </c>
      <c r="Q13">
        <v>0.98116850202108297</v>
      </c>
    </row>
    <row r="14" spans="1:17" x14ac:dyDescent="0.3">
      <c r="E14" t="s">
        <v>6</v>
      </c>
      <c r="H14">
        <v>22.392857142857142</v>
      </c>
      <c r="I14">
        <v>3.4091425237517892</v>
      </c>
      <c r="J14">
        <v>16.821428571428573</v>
      </c>
      <c r="K14">
        <v>3.1901720646695235</v>
      </c>
      <c r="L14">
        <v>30.821428571428573</v>
      </c>
      <c r="M14">
        <v>4.6970004456901133</v>
      </c>
      <c r="N14">
        <v>23.345238095238095</v>
      </c>
      <c r="O14">
        <v>2.2230958295033227</v>
      </c>
      <c r="P14">
        <v>2.2936507936507939</v>
      </c>
      <c r="Q14">
        <v>0.98116850202108297</v>
      </c>
    </row>
    <row r="15" spans="1:17" x14ac:dyDescent="0.3">
      <c r="C15" t="s">
        <v>12</v>
      </c>
    </row>
    <row r="16" spans="1:17" x14ac:dyDescent="0.3">
      <c r="H16">
        <v>18</v>
      </c>
      <c r="I16">
        <v>0.70710678118654757</v>
      </c>
      <c r="J16">
        <v>11.75</v>
      </c>
      <c r="K16">
        <v>3.8890872965260113</v>
      </c>
      <c r="L16">
        <v>19.833333333333336</v>
      </c>
      <c r="M16">
        <v>1.8856180831641276</v>
      </c>
      <c r="N16">
        <v>19.833333333333336</v>
      </c>
      <c r="O16">
        <v>1.8856180831641276</v>
      </c>
      <c r="P16">
        <v>2.6944444444444446</v>
      </c>
      <c r="Q16">
        <v>0.66782307112062667</v>
      </c>
    </row>
    <row r="17" spans="1:17" x14ac:dyDescent="0.3">
      <c r="B17" t="s">
        <v>13</v>
      </c>
    </row>
    <row r="18" spans="1:17" x14ac:dyDescent="0.3">
      <c r="C18" t="s">
        <v>2</v>
      </c>
    </row>
    <row r="19" spans="1:17" x14ac:dyDescent="0.3">
      <c r="H19">
        <v>18.384615384615383</v>
      </c>
      <c r="I19">
        <v>3.4287622047045256</v>
      </c>
      <c r="J19">
        <v>10.461538461538462</v>
      </c>
      <c r="K19">
        <v>2.8318246360307646</v>
      </c>
      <c r="L19">
        <v>24.923076923076923</v>
      </c>
      <c r="M19">
        <v>4.3581635746710745</v>
      </c>
      <c r="N19">
        <v>17.923076923076927</v>
      </c>
      <c r="O19">
        <v>1.6081611661093969</v>
      </c>
      <c r="P19">
        <v>2.589743589743589</v>
      </c>
      <c r="Q19">
        <v>0.78125494616984537</v>
      </c>
    </row>
    <row r="20" spans="1:17" x14ac:dyDescent="0.3">
      <c r="C20" t="s">
        <v>0</v>
      </c>
    </row>
    <row r="21" spans="1:17" x14ac:dyDescent="0.3">
      <c r="E21" t="s">
        <v>3</v>
      </c>
      <c r="H21">
        <v>16.055555555555557</v>
      </c>
      <c r="I21">
        <v>3.3675328918627909</v>
      </c>
      <c r="J21">
        <v>10.444444444444445</v>
      </c>
      <c r="K21">
        <v>2.2561643951134793</v>
      </c>
      <c r="L21">
        <v>26.277777777777779</v>
      </c>
      <c r="M21">
        <v>5.8795785941208791</v>
      </c>
      <c r="N21">
        <v>17.592592592592595</v>
      </c>
      <c r="O21">
        <v>2.3660079938919165</v>
      </c>
      <c r="P21">
        <v>2.4938271604938271</v>
      </c>
      <c r="Q21">
        <v>1.1407317219460704</v>
      </c>
    </row>
    <row r="22" spans="1:17" x14ac:dyDescent="0.3">
      <c r="E22" t="s">
        <v>4</v>
      </c>
      <c r="F22" t="s">
        <v>37</v>
      </c>
      <c r="H22">
        <v>14.333333333333334</v>
      </c>
      <c r="I22">
        <v>3.617089069035115</v>
      </c>
      <c r="J22">
        <v>9</v>
      </c>
      <c r="K22">
        <v>1.7320508075688772</v>
      </c>
      <c r="L22">
        <v>20</v>
      </c>
      <c r="M22">
        <v>5.2678268764263692</v>
      </c>
      <c r="N22">
        <v>14.444444444444443</v>
      </c>
      <c r="O22">
        <v>0.85526690657448035</v>
      </c>
      <c r="P22">
        <v>1.8148148148148147</v>
      </c>
      <c r="Q22">
        <v>0.58355375024402611</v>
      </c>
    </row>
    <row r="23" spans="1:17" x14ac:dyDescent="0.3">
      <c r="E23" t="s">
        <v>6</v>
      </c>
      <c r="F23" t="s">
        <v>37</v>
      </c>
      <c r="H23">
        <v>14.333333333333334</v>
      </c>
      <c r="I23">
        <v>3.617089069035115</v>
      </c>
      <c r="J23">
        <v>9</v>
      </c>
      <c r="K23">
        <v>1.7320508075688772</v>
      </c>
      <c r="L23">
        <v>20</v>
      </c>
      <c r="M23">
        <v>5.2678268764263692</v>
      </c>
      <c r="N23">
        <v>14.444444444444443</v>
      </c>
      <c r="O23">
        <v>0.85526690657448035</v>
      </c>
      <c r="P23">
        <v>1.8148148148148147</v>
      </c>
      <c r="Q23">
        <v>0.58355375024402611</v>
      </c>
    </row>
    <row r="24" spans="1:17" x14ac:dyDescent="0.3">
      <c r="A24" t="s">
        <v>14</v>
      </c>
    </row>
    <row r="25" spans="1:17" x14ac:dyDescent="0.3">
      <c r="B25" t="s">
        <v>1</v>
      </c>
    </row>
    <row r="26" spans="1:17" x14ac:dyDescent="0.3">
      <c r="C26" t="s">
        <v>2</v>
      </c>
      <c r="H26">
        <v>22.875</v>
      </c>
      <c r="I26">
        <v>6.8723479733397275</v>
      </c>
      <c r="J26">
        <v>11.75</v>
      </c>
      <c r="K26">
        <v>1.5</v>
      </c>
      <c r="L26">
        <v>25</v>
      </c>
      <c r="M26">
        <v>2.4832774042918899</v>
      </c>
      <c r="N26">
        <v>19.875</v>
      </c>
      <c r="O26">
        <v>3.4085268893695861</v>
      </c>
      <c r="P26">
        <v>2.708333333333333</v>
      </c>
      <c r="Q26">
        <v>0.90309823372271381</v>
      </c>
    </row>
    <row r="27" spans="1:17" x14ac:dyDescent="0.3">
      <c r="C27" t="s">
        <v>15</v>
      </c>
      <c r="H27">
        <v>22.1</v>
      </c>
      <c r="I27">
        <v>9.0374221988352392</v>
      </c>
      <c r="J27">
        <v>12.8</v>
      </c>
      <c r="K27">
        <v>2.4392621835300914</v>
      </c>
      <c r="L27">
        <v>24.9</v>
      </c>
      <c r="M27">
        <v>2.4083189157584592</v>
      </c>
      <c r="N27">
        <v>19.933333333333334</v>
      </c>
      <c r="O27">
        <v>2.7095510083160717</v>
      </c>
      <c r="P27">
        <v>2.4777777777777774</v>
      </c>
      <c r="Q27">
        <v>1.0567244989431583</v>
      </c>
    </row>
    <row r="28" spans="1:17" x14ac:dyDescent="0.3">
      <c r="C28" t="s">
        <v>12</v>
      </c>
    </row>
    <row r="29" spans="1:17" x14ac:dyDescent="0.3">
      <c r="D29" t="s">
        <v>15</v>
      </c>
      <c r="H29">
        <v>20.8</v>
      </c>
      <c r="I29">
        <v>4.7775516742365065</v>
      </c>
      <c r="J29">
        <v>12.6</v>
      </c>
      <c r="K29">
        <v>2.1035683967962657</v>
      </c>
      <c r="L29">
        <v>27</v>
      </c>
      <c r="M29">
        <v>4.8088460154178359</v>
      </c>
      <c r="N29">
        <v>20.133333333333333</v>
      </c>
      <c r="O29">
        <v>1.9343388189938873</v>
      </c>
      <c r="P29">
        <v>2.5111111111111111</v>
      </c>
      <c r="Q29">
        <v>1.1462499242699589</v>
      </c>
    </row>
    <row r="30" spans="1:17" x14ac:dyDescent="0.3">
      <c r="D30" t="s">
        <v>16</v>
      </c>
    </row>
    <row r="31" spans="1:17" x14ac:dyDescent="0.3">
      <c r="E31" t="s">
        <v>15</v>
      </c>
      <c r="H31">
        <v>20</v>
      </c>
      <c r="I31">
        <v>2.4152294576982398</v>
      </c>
      <c r="J31">
        <v>12.625</v>
      </c>
      <c r="K31">
        <v>2.5940637360455634</v>
      </c>
      <c r="L31">
        <v>28.625</v>
      </c>
      <c r="M31">
        <v>1.8874586088176875</v>
      </c>
      <c r="N31">
        <v>20.416666666666668</v>
      </c>
      <c r="O31">
        <v>1.1013459778666117</v>
      </c>
      <c r="P31">
        <v>2.5972222222222223</v>
      </c>
      <c r="Q31">
        <v>0.67795231511057141</v>
      </c>
    </row>
    <row r="33" spans="2:17" x14ac:dyDescent="0.3">
      <c r="B33" t="s">
        <v>17</v>
      </c>
    </row>
    <row r="34" spans="2:17" x14ac:dyDescent="0.3">
      <c r="C34" t="s">
        <v>2</v>
      </c>
      <c r="H34">
        <v>25.166666666666668</v>
      </c>
      <c r="I34">
        <v>9.4383967565118478</v>
      </c>
      <c r="J34">
        <v>21.166666666666668</v>
      </c>
      <c r="K34">
        <v>15.143755588800731</v>
      </c>
      <c r="L34">
        <v>22.833333333333332</v>
      </c>
      <c r="M34">
        <v>2.0207259421636903</v>
      </c>
      <c r="N34">
        <v>23.055555555555554</v>
      </c>
      <c r="O34">
        <v>8.2282260362549486</v>
      </c>
      <c r="P34">
        <v>2.407407407407407</v>
      </c>
      <c r="Q34">
        <v>0.7143445008142929</v>
      </c>
    </row>
    <row r="35" spans="2:17" x14ac:dyDescent="0.3">
      <c r="C35" t="s">
        <v>15</v>
      </c>
      <c r="H35">
        <v>18.125</v>
      </c>
      <c r="I35">
        <v>2.7195281453467866</v>
      </c>
      <c r="J35">
        <v>12.125</v>
      </c>
      <c r="K35">
        <v>2.75</v>
      </c>
      <c r="L35">
        <v>23.5</v>
      </c>
      <c r="M35">
        <v>2.1213203435596424</v>
      </c>
      <c r="N35">
        <v>17.916666666666668</v>
      </c>
      <c r="O35">
        <v>1.4497764834110984</v>
      </c>
      <c r="P35">
        <v>1.9305555555555556</v>
      </c>
      <c r="Q35">
        <v>0.46784463320962161</v>
      </c>
    </row>
    <row r="36" spans="2:17" x14ac:dyDescent="0.3">
      <c r="C36" t="s">
        <v>12</v>
      </c>
    </row>
    <row r="37" spans="2:17" x14ac:dyDescent="0.3">
      <c r="D37" t="s">
        <v>16</v>
      </c>
    </row>
    <row r="38" spans="2:17" x14ac:dyDescent="0.3">
      <c r="E38" t="s">
        <v>15</v>
      </c>
      <c r="H38">
        <v>21.625</v>
      </c>
      <c r="I38">
        <v>1.6007810593582121</v>
      </c>
      <c r="J38">
        <v>12.375</v>
      </c>
      <c r="K38">
        <v>2.462214450449026</v>
      </c>
      <c r="L38">
        <v>26.25</v>
      </c>
      <c r="M38">
        <v>3.5707142142714252</v>
      </c>
      <c r="N38">
        <v>20.083333333333332</v>
      </c>
      <c r="O38">
        <v>1.89785453917097</v>
      </c>
      <c r="P38">
        <v>2.5694444444444442</v>
      </c>
      <c r="Q38">
        <v>0.31873915700108207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E099C-4C80-4D13-A157-4338854D3DF3}">
  <dimension ref="A1:AO8"/>
  <sheetViews>
    <sheetView topLeftCell="N1" workbookViewId="0">
      <selection activeCell="AF5" activeCellId="2" sqref="U5:AB5 AE5 AF5"/>
    </sheetView>
  </sheetViews>
  <sheetFormatPr defaultRowHeight="14.4" x14ac:dyDescent="0.3"/>
  <sheetData>
    <row r="1" spans="1:41" x14ac:dyDescent="0.3">
      <c r="A1" t="s">
        <v>50</v>
      </c>
      <c r="Q1" t="s">
        <v>28</v>
      </c>
      <c r="R1" t="s">
        <v>29</v>
      </c>
      <c r="S1" t="s">
        <v>30</v>
      </c>
      <c r="T1" t="s">
        <v>31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32</v>
      </c>
      <c r="AD1" t="s">
        <v>33</v>
      </c>
      <c r="AE1" t="s">
        <v>26</v>
      </c>
      <c r="AF1" t="s">
        <v>27</v>
      </c>
      <c r="AI1" t="s">
        <v>34</v>
      </c>
      <c r="AJ1" t="s">
        <v>24</v>
      </c>
      <c r="AK1" t="s">
        <v>26</v>
      </c>
      <c r="AM1" t="s">
        <v>35</v>
      </c>
      <c r="AN1" t="s">
        <v>24</v>
      </c>
      <c r="AO1" t="s">
        <v>26</v>
      </c>
    </row>
    <row r="2" spans="1:41" x14ac:dyDescent="0.3">
      <c r="B2">
        <v>77</v>
      </c>
      <c r="C2">
        <v>23</v>
      </c>
      <c r="D2">
        <v>23</v>
      </c>
      <c r="E2">
        <v>77</v>
      </c>
      <c r="G2">
        <v>90</v>
      </c>
      <c r="H2">
        <v>10</v>
      </c>
      <c r="I2">
        <v>14</v>
      </c>
      <c r="J2">
        <v>86</v>
      </c>
      <c r="L2">
        <v>82</v>
      </c>
      <c r="M2">
        <v>18</v>
      </c>
      <c r="N2">
        <v>25</v>
      </c>
      <c r="O2">
        <v>75</v>
      </c>
      <c r="Q2">
        <f>AVERAGE(C2:D2)</f>
        <v>23</v>
      </c>
      <c r="R2">
        <f>AVERAGE(H2:I2)</f>
        <v>12</v>
      </c>
      <c r="S2">
        <f>AVERAGE(M2:N2)</f>
        <v>21.5</v>
      </c>
      <c r="T2">
        <f>AVERAGE(Q2:S2)</f>
        <v>18.833333333333332</v>
      </c>
      <c r="AC2">
        <f>MIN(Q2:S2)</f>
        <v>12</v>
      </c>
      <c r="AD2">
        <f>(1/3)*(T2-AC2)</f>
        <v>2.2777777777777772</v>
      </c>
    </row>
    <row r="4" spans="1:41" x14ac:dyDescent="0.3">
      <c r="A4" t="s">
        <v>51</v>
      </c>
    </row>
    <row r="5" spans="1:41" x14ac:dyDescent="0.3">
      <c r="B5">
        <v>77</v>
      </c>
      <c r="C5">
        <v>23</v>
      </c>
      <c r="D5">
        <v>23</v>
      </c>
      <c r="E5">
        <v>77</v>
      </c>
      <c r="G5">
        <v>90</v>
      </c>
      <c r="H5">
        <v>10</v>
      </c>
      <c r="I5">
        <v>14</v>
      </c>
      <c r="J5">
        <v>86</v>
      </c>
      <c r="L5">
        <v>82</v>
      </c>
      <c r="M5">
        <v>18</v>
      </c>
      <c r="N5">
        <v>25</v>
      </c>
      <c r="O5">
        <v>75</v>
      </c>
      <c r="Q5">
        <f t="shared" ref="Q3:Q8" si="0">AVERAGE(C5:D5)</f>
        <v>23</v>
      </c>
      <c r="R5">
        <f t="shared" ref="R3:R8" si="1">AVERAGE(H5:I5)</f>
        <v>12</v>
      </c>
      <c r="S5">
        <f t="shared" ref="S3:S8" si="2">AVERAGE(M5:N5)</f>
        <v>21.5</v>
      </c>
      <c r="T5">
        <f t="shared" ref="T3:T8" si="3">AVERAGE(Q5:S5)</f>
        <v>18.833333333333332</v>
      </c>
      <c r="U5">
        <f>AVERAGE(Q5:Q8)</f>
        <v>21.625</v>
      </c>
      <c r="V5">
        <f>_xlfn.STDEV.S(Q5:Q8)</f>
        <v>1.6007810593582121</v>
      </c>
      <c r="W5">
        <f>AVERAGE(R5:R8)</f>
        <v>12.375</v>
      </c>
      <c r="X5">
        <f>_xlfn.STDEV.S(R5:R8)</f>
        <v>2.462214450449026</v>
      </c>
      <c r="Y5">
        <f>AVERAGE(S5:S8)</f>
        <v>26.25</v>
      </c>
      <c r="Z5">
        <f>_xlfn.STDEV.S(S5:S8)</f>
        <v>3.5707142142714252</v>
      </c>
      <c r="AA5">
        <f>AVERAGE(T5:T8)</f>
        <v>20.083333333333332</v>
      </c>
      <c r="AB5">
        <f>_xlfn.STDEV.S(T5:T8)</f>
        <v>1.89785453917097</v>
      </c>
      <c r="AC5">
        <f t="shared" ref="AC3:AC8" si="4">MIN(Q5:S5)</f>
        <v>12</v>
      </c>
      <c r="AD5">
        <f t="shared" ref="AD3:AD8" si="5">(1/3)*(T5-AC5)</f>
        <v>2.2777777777777772</v>
      </c>
      <c r="AE5">
        <f>AVERAGE(AD5:AD8)</f>
        <v>2.5694444444444442</v>
      </c>
      <c r="AF5">
        <f>_xlfn.STDEV.S(AD5:AD8)</f>
        <v>0.31873915700108207</v>
      </c>
    </row>
    <row r="6" spans="1:41" x14ac:dyDescent="0.3">
      <c r="B6">
        <v>84</v>
      </c>
      <c r="C6">
        <v>16</v>
      </c>
      <c r="D6">
        <v>25</v>
      </c>
      <c r="E6">
        <v>75</v>
      </c>
      <c r="G6">
        <v>90</v>
      </c>
      <c r="H6">
        <v>10</v>
      </c>
      <c r="I6">
        <v>15</v>
      </c>
      <c r="J6">
        <v>85</v>
      </c>
      <c r="L6">
        <v>74</v>
      </c>
      <c r="M6">
        <v>26</v>
      </c>
      <c r="N6">
        <v>32</v>
      </c>
      <c r="O6">
        <v>68</v>
      </c>
      <c r="Q6">
        <f t="shared" si="0"/>
        <v>20.5</v>
      </c>
      <c r="R6">
        <f t="shared" si="1"/>
        <v>12.5</v>
      </c>
      <c r="S6">
        <f t="shared" si="2"/>
        <v>29</v>
      </c>
      <c r="T6">
        <f t="shared" si="3"/>
        <v>20.666666666666668</v>
      </c>
      <c r="AC6">
        <f t="shared" si="4"/>
        <v>12.5</v>
      </c>
      <c r="AD6">
        <f t="shared" si="5"/>
        <v>2.7222222222222223</v>
      </c>
    </row>
    <row r="7" spans="1:41" x14ac:dyDescent="0.3">
      <c r="B7">
        <v>76</v>
      </c>
      <c r="C7">
        <v>24</v>
      </c>
      <c r="D7">
        <v>16</v>
      </c>
      <c r="E7">
        <v>84</v>
      </c>
      <c r="G7">
        <v>95</v>
      </c>
      <c r="H7">
        <v>5</v>
      </c>
      <c r="I7">
        <v>14</v>
      </c>
      <c r="J7">
        <v>86</v>
      </c>
      <c r="L7">
        <v>75</v>
      </c>
      <c r="M7">
        <v>25</v>
      </c>
      <c r="N7">
        <v>26</v>
      </c>
      <c r="O7">
        <v>74</v>
      </c>
      <c r="Q7">
        <f t="shared" si="0"/>
        <v>20</v>
      </c>
      <c r="R7">
        <f t="shared" si="1"/>
        <v>9.5</v>
      </c>
      <c r="S7">
        <f t="shared" si="2"/>
        <v>25.5</v>
      </c>
      <c r="T7">
        <f t="shared" si="3"/>
        <v>18.333333333333332</v>
      </c>
      <c r="AC7">
        <f t="shared" si="4"/>
        <v>9.5</v>
      </c>
      <c r="AD7">
        <f t="shared" si="5"/>
        <v>2.9444444444444438</v>
      </c>
    </row>
    <row r="8" spans="1:41" x14ac:dyDescent="0.3">
      <c r="B8">
        <v>74</v>
      </c>
      <c r="C8">
        <v>26</v>
      </c>
      <c r="D8">
        <v>20</v>
      </c>
      <c r="E8">
        <v>80</v>
      </c>
      <c r="G8">
        <v>89</v>
      </c>
      <c r="H8">
        <v>11</v>
      </c>
      <c r="I8">
        <v>20</v>
      </c>
      <c r="J8">
        <v>80</v>
      </c>
      <c r="L8">
        <v>80</v>
      </c>
      <c r="M8">
        <v>20</v>
      </c>
      <c r="N8">
        <v>38</v>
      </c>
      <c r="O8">
        <v>62</v>
      </c>
      <c r="Q8">
        <f t="shared" si="0"/>
        <v>23</v>
      </c>
      <c r="R8">
        <f t="shared" si="1"/>
        <v>15.5</v>
      </c>
      <c r="S8">
        <f t="shared" si="2"/>
        <v>29</v>
      </c>
      <c r="T8">
        <f t="shared" si="3"/>
        <v>22.5</v>
      </c>
      <c r="AC8">
        <f t="shared" si="4"/>
        <v>15.5</v>
      </c>
      <c r="AD8">
        <f t="shared" si="5"/>
        <v>2.333333333333333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A84A7-80D4-4833-BDDA-D2E26EFA55B4}">
  <dimension ref="A1:AO5"/>
  <sheetViews>
    <sheetView topLeftCell="J1" workbookViewId="0">
      <selection activeCell="AF2" activeCellId="2" sqref="U2:AB2 AE2 AF2"/>
    </sheetView>
  </sheetViews>
  <sheetFormatPr defaultRowHeight="14.4" x14ac:dyDescent="0.3"/>
  <sheetData>
    <row r="1" spans="1:41" x14ac:dyDescent="0.3">
      <c r="A1" t="s">
        <v>51</v>
      </c>
      <c r="Q1" t="s">
        <v>28</v>
      </c>
      <c r="R1" t="s">
        <v>29</v>
      </c>
      <c r="S1" t="s">
        <v>30</v>
      </c>
      <c r="T1" t="s">
        <v>31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32</v>
      </c>
      <c r="AD1" t="s">
        <v>33</v>
      </c>
      <c r="AE1" t="s">
        <v>26</v>
      </c>
      <c r="AF1" t="s">
        <v>27</v>
      </c>
      <c r="AI1" t="s">
        <v>34</v>
      </c>
      <c r="AJ1" t="s">
        <v>24</v>
      </c>
      <c r="AK1" t="s">
        <v>26</v>
      </c>
      <c r="AM1" t="s">
        <v>35</v>
      </c>
      <c r="AN1" t="s">
        <v>24</v>
      </c>
      <c r="AO1" t="s">
        <v>26</v>
      </c>
    </row>
    <row r="2" spans="1:41" x14ac:dyDescent="0.3">
      <c r="B2">
        <v>83</v>
      </c>
      <c r="C2">
        <v>17</v>
      </c>
      <c r="D2">
        <v>21</v>
      </c>
      <c r="E2">
        <v>79</v>
      </c>
      <c r="G2">
        <v>90</v>
      </c>
      <c r="H2">
        <v>10</v>
      </c>
      <c r="I2">
        <v>18</v>
      </c>
      <c r="J2">
        <v>82</v>
      </c>
      <c r="L2">
        <v>90</v>
      </c>
      <c r="M2">
        <v>10</v>
      </c>
      <c r="N2">
        <v>40</v>
      </c>
      <c r="O2">
        <v>60</v>
      </c>
      <c r="Q2">
        <f>AVERAGE(C2:D2)</f>
        <v>19</v>
      </c>
      <c r="R2">
        <f>AVERAGE(H2:I2)</f>
        <v>14</v>
      </c>
      <c r="S2">
        <f>AVERAGE(M2:N2)</f>
        <v>25</v>
      </c>
      <c r="T2">
        <f>AVERAGE(Q2:S2)</f>
        <v>19.333333333333332</v>
      </c>
      <c r="U2">
        <f>AVERAGE(Q2:Q5)</f>
        <v>18.125</v>
      </c>
      <c r="V2">
        <f>_xlfn.STDEV.S(Q2:Q5)</f>
        <v>2.7195281453467866</v>
      </c>
      <c r="W2">
        <f>AVERAGE(R2:R5)</f>
        <v>12.125</v>
      </c>
      <c r="X2">
        <f>_xlfn.STDEV.S(R2:R5)</f>
        <v>2.75</v>
      </c>
      <c r="Y2">
        <f>AVERAGE(S2:S5)</f>
        <v>23.5</v>
      </c>
      <c r="Z2">
        <f>_xlfn.STDEV.S(S2:S5)</f>
        <v>2.1213203435596424</v>
      </c>
      <c r="AA2">
        <f>AVERAGE(T2:T5)</f>
        <v>17.916666666666668</v>
      </c>
      <c r="AB2">
        <f>_xlfn.STDEV.S(T2:T5)</f>
        <v>1.4497764834110984</v>
      </c>
      <c r="AC2">
        <f>MIN(Q2:S2)</f>
        <v>14</v>
      </c>
      <c r="AD2">
        <f>(1/3)*(T2-AC2)</f>
        <v>1.7777777777777772</v>
      </c>
      <c r="AE2">
        <f>AVERAGE(AD2:AD5)</f>
        <v>1.9305555555555556</v>
      </c>
      <c r="AF2">
        <f>_xlfn.STDEV.S(AD2:AD5)</f>
        <v>0.46784463320962161</v>
      </c>
    </row>
    <row r="3" spans="1:41" x14ac:dyDescent="0.3">
      <c r="B3">
        <v>82</v>
      </c>
      <c r="C3">
        <v>18</v>
      </c>
      <c r="D3">
        <v>24</v>
      </c>
      <c r="E3">
        <v>76</v>
      </c>
      <c r="G3">
        <v>89</v>
      </c>
      <c r="H3">
        <v>11</v>
      </c>
      <c r="I3">
        <v>12</v>
      </c>
      <c r="J3">
        <v>88</v>
      </c>
      <c r="L3">
        <v>80</v>
      </c>
      <c r="M3">
        <v>20</v>
      </c>
      <c r="N3">
        <v>21</v>
      </c>
      <c r="O3">
        <v>79</v>
      </c>
      <c r="Q3">
        <f t="shared" ref="Q3:Q5" si="0">AVERAGE(C3:D3)</f>
        <v>21</v>
      </c>
      <c r="R3">
        <f t="shared" ref="R3:R5" si="1">AVERAGE(H3:I3)</f>
        <v>11.5</v>
      </c>
      <c r="S3">
        <f t="shared" ref="S3:S5" si="2">AVERAGE(M3:N3)</f>
        <v>20.5</v>
      </c>
      <c r="T3">
        <f t="shared" ref="T3:T5" si="3">AVERAGE(Q3:S3)</f>
        <v>17.666666666666668</v>
      </c>
      <c r="AC3">
        <f t="shared" ref="AC3:AC5" si="4">MIN(Q3:S3)</f>
        <v>11.5</v>
      </c>
      <c r="AD3">
        <f t="shared" ref="AD3:AD5" si="5">(1/3)*(T3-AC3)</f>
        <v>2.0555555555555558</v>
      </c>
    </row>
    <row r="4" spans="1:41" x14ac:dyDescent="0.3">
      <c r="B4">
        <v>80</v>
      </c>
      <c r="C4">
        <v>20</v>
      </c>
      <c r="D4">
        <v>16</v>
      </c>
      <c r="E4">
        <v>84</v>
      </c>
      <c r="G4">
        <v>88</v>
      </c>
      <c r="H4">
        <v>12</v>
      </c>
      <c r="I4">
        <v>17</v>
      </c>
      <c r="J4">
        <v>83</v>
      </c>
      <c r="L4">
        <v>77</v>
      </c>
      <c r="M4">
        <v>23</v>
      </c>
      <c r="N4">
        <v>24</v>
      </c>
      <c r="O4">
        <v>76</v>
      </c>
      <c r="Q4">
        <f t="shared" si="0"/>
        <v>18</v>
      </c>
      <c r="R4">
        <f t="shared" si="1"/>
        <v>14.5</v>
      </c>
      <c r="S4">
        <f t="shared" si="2"/>
        <v>23.5</v>
      </c>
      <c r="T4">
        <f t="shared" si="3"/>
        <v>18.666666666666668</v>
      </c>
      <c r="AC4">
        <f t="shared" si="4"/>
        <v>14.5</v>
      </c>
      <c r="AD4">
        <f t="shared" si="5"/>
        <v>1.3888888888888893</v>
      </c>
    </row>
    <row r="5" spans="1:41" x14ac:dyDescent="0.3">
      <c r="B5">
        <v>85</v>
      </c>
      <c r="C5">
        <v>15</v>
      </c>
      <c r="D5">
        <v>14</v>
      </c>
      <c r="E5">
        <v>86</v>
      </c>
      <c r="G5">
        <v>91</v>
      </c>
      <c r="H5">
        <v>9</v>
      </c>
      <c r="I5">
        <v>8</v>
      </c>
      <c r="J5">
        <v>92</v>
      </c>
      <c r="L5">
        <v>85</v>
      </c>
      <c r="M5">
        <v>15</v>
      </c>
      <c r="N5">
        <v>35</v>
      </c>
      <c r="O5">
        <v>65</v>
      </c>
      <c r="Q5">
        <f t="shared" si="0"/>
        <v>14.5</v>
      </c>
      <c r="R5">
        <f t="shared" si="1"/>
        <v>8.5</v>
      </c>
      <c r="S5">
        <f t="shared" si="2"/>
        <v>25</v>
      </c>
      <c r="T5">
        <f t="shared" si="3"/>
        <v>16</v>
      </c>
      <c r="AC5">
        <f t="shared" si="4"/>
        <v>8.5</v>
      </c>
      <c r="AD5">
        <f t="shared" si="5"/>
        <v>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2126F-E46B-4465-B450-55C0B2C6805B}">
  <dimension ref="A1:AO7"/>
  <sheetViews>
    <sheetView topLeftCell="K1" workbookViewId="0">
      <selection activeCell="K1" sqref="A1:XFD1"/>
    </sheetView>
  </sheetViews>
  <sheetFormatPr defaultRowHeight="14.4" x14ac:dyDescent="0.3"/>
  <sheetData>
    <row r="1" spans="1:41" x14ac:dyDescent="0.3">
      <c r="A1" t="s">
        <v>50</v>
      </c>
      <c r="Q1" t="s">
        <v>28</v>
      </c>
      <c r="R1" t="s">
        <v>29</v>
      </c>
      <c r="S1" t="s">
        <v>30</v>
      </c>
      <c r="T1" t="s">
        <v>31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32</v>
      </c>
      <c r="AD1" t="s">
        <v>33</v>
      </c>
      <c r="AE1" t="s">
        <v>26</v>
      </c>
      <c r="AF1" t="s">
        <v>27</v>
      </c>
      <c r="AI1" t="s">
        <v>34</v>
      </c>
      <c r="AJ1" t="s">
        <v>24</v>
      </c>
      <c r="AK1" t="s">
        <v>26</v>
      </c>
      <c r="AM1" t="s">
        <v>35</v>
      </c>
      <c r="AN1" t="s">
        <v>24</v>
      </c>
      <c r="AO1" t="s">
        <v>26</v>
      </c>
    </row>
    <row r="2" spans="1:41" x14ac:dyDescent="0.3">
      <c r="B2">
        <v>66</v>
      </c>
      <c r="C2">
        <v>34</v>
      </c>
      <c r="D2">
        <v>37</v>
      </c>
      <c r="E2">
        <v>63</v>
      </c>
      <c r="G2">
        <v>61</v>
      </c>
      <c r="H2">
        <v>39</v>
      </c>
      <c r="I2">
        <v>38</v>
      </c>
      <c r="J2">
        <v>62</v>
      </c>
      <c r="L2">
        <v>79</v>
      </c>
      <c r="M2">
        <v>21</v>
      </c>
      <c r="N2">
        <v>24</v>
      </c>
      <c r="O2">
        <v>76</v>
      </c>
      <c r="Q2">
        <f>AVERAGE(C2:D2)</f>
        <v>35.5</v>
      </c>
      <c r="R2">
        <f>AVERAGE(H2:I2)</f>
        <v>38.5</v>
      </c>
      <c r="S2">
        <f>AVERAGE(M2:N2)</f>
        <v>22.5</v>
      </c>
      <c r="T2">
        <f>AVERAGE(Q2:S2)</f>
        <v>32.166666666666664</v>
      </c>
      <c r="AC2">
        <f>MIN(Q2:S2)</f>
        <v>22.5</v>
      </c>
      <c r="AD2">
        <f>(1/3)*(T2-AC2)</f>
        <v>3.2222222222222214</v>
      </c>
    </row>
    <row r="5" spans="1:41" x14ac:dyDescent="0.3">
      <c r="B5">
        <v>66</v>
      </c>
      <c r="C5">
        <v>34</v>
      </c>
      <c r="D5">
        <v>37</v>
      </c>
      <c r="E5">
        <v>63</v>
      </c>
      <c r="G5">
        <v>61</v>
      </c>
      <c r="H5">
        <v>39</v>
      </c>
      <c r="I5">
        <v>38</v>
      </c>
      <c r="J5">
        <v>62</v>
      </c>
      <c r="L5">
        <v>79</v>
      </c>
      <c r="M5">
        <v>21</v>
      </c>
      <c r="N5">
        <v>24</v>
      </c>
      <c r="O5">
        <v>76</v>
      </c>
      <c r="Q5">
        <f t="shared" ref="Q3:Q7" si="0">AVERAGE(C5:D5)</f>
        <v>35.5</v>
      </c>
      <c r="R5">
        <f t="shared" ref="R3:R7" si="1">AVERAGE(H5:I5)</f>
        <v>38.5</v>
      </c>
      <c r="S5">
        <f t="shared" ref="S3:S7" si="2">AVERAGE(M5:N5)</f>
        <v>22.5</v>
      </c>
      <c r="T5">
        <f t="shared" ref="T3:T7" si="3">AVERAGE(Q5:S5)</f>
        <v>32.166666666666664</v>
      </c>
      <c r="U5">
        <f>AVERAGE(Q5:Q7)</f>
        <v>25.166666666666668</v>
      </c>
      <c r="V5">
        <f>_xlfn.STDEV.S(Q5:Q7)</f>
        <v>9.4383967565118478</v>
      </c>
      <c r="W5">
        <f>AVERAGE(R5:R7)</f>
        <v>21.166666666666668</v>
      </c>
      <c r="X5">
        <f>_xlfn.STDEV.S(R5:R7)</f>
        <v>15.143755588800731</v>
      </c>
      <c r="Y5">
        <f>AVERAGE(S5:S7)</f>
        <v>22.833333333333332</v>
      </c>
      <c r="Z5">
        <f>_xlfn.STDEV.S(S5:S7)</f>
        <v>2.0207259421636903</v>
      </c>
      <c r="AA5">
        <f>AVERAGE(T5:T7)</f>
        <v>23.055555555555554</v>
      </c>
      <c r="AB5">
        <f>_xlfn.STDEV.S(T5:T7)</f>
        <v>8.2282260362549486</v>
      </c>
      <c r="AC5">
        <f t="shared" ref="AC3:AC7" si="4">MIN(Q5:S5)</f>
        <v>22.5</v>
      </c>
      <c r="AD5">
        <f t="shared" ref="AD3:AD7" si="5">(1/3)*(T5-AC5)</f>
        <v>3.2222222222222214</v>
      </c>
      <c r="AE5">
        <f>AVERAGE(AD5:AD7)</f>
        <v>2.407407407407407</v>
      </c>
      <c r="AF5">
        <f>_xlfn.STDEV.S(AD5:AD7)</f>
        <v>0.7143445008142929</v>
      </c>
    </row>
    <row r="6" spans="1:41" x14ac:dyDescent="0.3">
      <c r="B6">
        <v>82</v>
      </c>
      <c r="C6">
        <v>18</v>
      </c>
      <c r="D6">
        <v>16</v>
      </c>
      <c r="E6">
        <v>84</v>
      </c>
      <c r="G6">
        <v>90</v>
      </c>
      <c r="H6">
        <v>10</v>
      </c>
      <c r="I6">
        <v>11</v>
      </c>
      <c r="J6">
        <v>89</v>
      </c>
      <c r="L6">
        <v>77</v>
      </c>
      <c r="M6">
        <v>23</v>
      </c>
      <c r="N6">
        <v>19</v>
      </c>
      <c r="O6">
        <v>81</v>
      </c>
      <c r="Q6">
        <f t="shared" si="0"/>
        <v>17</v>
      </c>
      <c r="R6">
        <f t="shared" si="1"/>
        <v>10.5</v>
      </c>
      <c r="S6">
        <f t="shared" si="2"/>
        <v>21</v>
      </c>
      <c r="T6">
        <f t="shared" si="3"/>
        <v>16.166666666666668</v>
      </c>
      <c r="AC6">
        <f t="shared" si="4"/>
        <v>10.5</v>
      </c>
      <c r="AD6">
        <f t="shared" si="5"/>
        <v>1.8888888888888893</v>
      </c>
    </row>
    <row r="7" spans="1:41" x14ac:dyDescent="0.3">
      <c r="B7">
        <v>83</v>
      </c>
      <c r="C7">
        <v>17</v>
      </c>
      <c r="D7">
        <v>29</v>
      </c>
      <c r="E7">
        <v>71</v>
      </c>
      <c r="G7">
        <v>86</v>
      </c>
      <c r="H7">
        <v>14</v>
      </c>
      <c r="I7">
        <v>15</v>
      </c>
      <c r="J7">
        <v>85</v>
      </c>
      <c r="L7">
        <v>87</v>
      </c>
      <c r="M7">
        <v>13</v>
      </c>
      <c r="N7">
        <v>37</v>
      </c>
      <c r="O7">
        <v>63</v>
      </c>
      <c r="Q7">
        <f t="shared" si="0"/>
        <v>23</v>
      </c>
      <c r="R7">
        <f t="shared" si="1"/>
        <v>14.5</v>
      </c>
      <c r="S7">
        <f t="shared" si="2"/>
        <v>25</v>
      </c>
      <c r="T7">
        <f t="shared" si="3"/>
        <v>20.833333333333332</v>
      </c>
      <c r="AC7">
        <f t="shared" si="4"/>
        <v>14.5</v>
      </c>
      <c r="AD7">
        <f t="shared" si="5"/>
        <v>2.1111111111111107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AFF99-4D0D-4225-9F76-242DFE620AD3}">
  <dimension ref="A1:AO9"/>
  <sheetViews>
    <sheetView topLeftCell="M1" workbookViewId="0">
      <selection activeCell="M1" sqref="A1:XFD1"/>
    </sheetView>
  </sheetViews>
  <sheetFormatPr defaultRowHeight="14.4" x14ac:dyDescent="0.3"/>
  <sheetData>
    <row r="1" spans="1:41" x14ac:dyDescent="0.3">
      <c r="A1" t="s">
        <v>50</v>
      </c>
      <c r="Q1" t="s">
        <v>28</v>
      </c>
      <c r="R1" t="s">
        <v>29</v>
      </c>
      <c r="S1" t="s">
        <v>30</v>
      </c>
      <c r="T1" t="s">
        <v>31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32</v>
      </c>
      <c r="AD1" t="s">
        <v>33</v>
      </c>
      <c r="AE1" t="s">
        <v>26</v>
      </c>
      <c r="AF1" t="s">
        <v>27</v>
      </c>
      <c r="AI1" t="s">
        <v>34</v>
      </c>
      <c r="AJ1" t="s">
        <v>24</v>
      </c>
      <c r="AK1" t="s">
        <v>26</v>
      </c>
      <c r="AM1" t="s">
        <v>35</v>
      </c>
      <c r="AN1" t="s">
        <v>24</v>
      </c>
      <c r="AO1" t="s">
        <v>26</v>
      </c>
    </row>
    <row r="2" spans="1:41" x14ac:dyDescent="0.3">
      <c r="B2">
        <v>93</v>
      </c>
      <c r="C2">
        <v>7</v>
      </c>
      <c r="D2">
        <v>29</v>
      </c>
      <c r="E2">
        <v>71</v>
      </c>
      <c r="G2">
        <v>87</v>
      </c>
      <c r="H2">
        <v>13</v>
      </c>
      <c r="I2">
        <v>12</v>
      </c>
      <c r="J2">
        <v>88</v>
      </c>
      <c r="L2">
        <v>77</v>
      </c>
      <c r="M2">
        <v>23</v>
      </c>
      <c r="N2">
        <v>31</v>
      </c>
      <c r="O2">
        <v>69</v>
      </c>
      <c r="Q2">
        <f>AVERAGE(C2:D2)</f>
        <v>18</v>
      </c>
      <c r="R2">
        <f>AVERAGE(H2:I2)</f>
        <v>12.5</v>
      </c>
      <c r="S2">
        <f>AVERAGE(M2:N2)</f>
        <v>27</v>
      </c>
      <c r="T2">
        <f>AVERAGE(Q2:S2)</f>
        <v>19.166666666666668</v>
      </c>
      <c r="AC2">
        <f>MIN(Q2:S2)</f>
        <v>12.5</v>
      </c>
      <c r="AD2">
        <f>(1/3)*(T2-AC2)</f>
        <v>2.2222222222222223</v>
      </c>
    </row>
    <row r="3" spans="1:41" x14ac:dyDescent="0.3">
      <c r="B3">
        <v>71</v>
      </c>
      <c r="C3">
        <v>29</v>
      </c>
      <c r="D3">
        <v>18</v>
      </c>
      <c r="E3">
        <v>82</v>
      </c>
      <c r="G3">
        <v>93</v>
      </c>
      <c r="H3">
        <v>7</v>
      </c>
      <c r="I3">
        <v>11</v>
      </c>
      <c r="J3">
        <v>89</v>
      </c>
      <c r="L3">
        <v>76</v>
      </c>
      <c r="M3">
        <v>24</v>
      </c>
      <c r="N3">
        <v>30</v>
      </c>
      <c r="O3">
        <v>70</v>
      </c>
      <c r="Q3">
        <f t="shared" ref="Q3:Q9" si="0">AVERAGE(C3:D3)</f>
        <v>23.5</v>
      </c>
      <c r="R3">
        <f t="shared" ref="R3:R9" si="1">AVERAGE(H3:I3)</f>
        <v>9</v>
      </c>
      <c r="S3">
        <f t="shared" ref="S3:S9" si="2">AVERAGE(M3:N3)</f>
        <v>27</v>
      </c>
      <c r="T3">
        <f t="shared" ref="T3:T9" si="3">AVERAGE(Q3:S3)</f>
        <v>19.833333333333332</v>
      </c>
      <c r="AC3">
        <f t="shared" ref="AC3:AC9" si="4">MIN(Q3:S3)</f>
        <v>9</v>
      </c>
      <c r="AD3">
        <f t="shared" ref="AD3:AD9" si="5">(1/3)*(T3-AC3)</f>
        <v>3.6111111111111107</v>
      </c>
    </row>
    <row r="5" spans="1:41" x14ac:dyDescent="0.3">
      <c r="A5" t="s">
        <v>51</v>
      </c>
    </row>
    <row r="6" spans="1:41" x14ac:dyDescent="0.3">
      <c r="B6">
        <v>93</v>
      </c>
      <c r="C6">
        <v>7</v>
      </c>
      <c r="D6">
        <v>29</v>
      </c>
      <c r="E6">
        <v>71</v>
      </c>
      <c r="G6">
        <v>87</v>
      </c>
      <c r="H6">
        <v>13</v>
      </c>
      <c r="I6">
        <v>12</v>
      </c>
      <c r="J6">
        <v>88</v>
      </c>
      <c r="L6">
        <v>77</v>
      </c>
      <c r="M6">
        <v>23</v>
      </c>
      <c r="N6">
        <v>31</v>
      </c>
      <c r="O6">
        <v>69</v>
      </c>
      <c r="Q6">
        <f t="shared" si="0"/>
        <v>18</v>
      </c>
      <c r="R6">
        <f t="shared" si="1"/>
        <v>12.5</v>
      </c>
      <c r="S6">
        <f t="shared" si="2"/>
        <v>27</v>
      </c>
      <c r="T6">
        <f t="shared" si="3"/>
        <v>19.166666666666668</v>
      </c>
      <c r="U6">
        <f>AVERAGE(Q6:Q9)</f>
        <v>20</v>
      </c>
      <c r="V6">
        <f>_xlfn.STDEV.S(Q6:Q9)</f>
        <v>2.4152294576982398</v>
      </c>
      <c r="W6">
        <f>AVERAGE(R6:R9)</f>
        <v>12.625</v>
      </c>
      <c r="X6">
        <f>_xlfn.STDEV.S(R6:R9)</f>
        <v>2.5940637360455634</v>
      </c>
      <c r="Y6">
        <f>AVERAGE(S6:S9)</f>
        <v>28.625</v>
      </c>
      <c r="Z6">
        <f>_xlfn.STDEV.S(S6:S9)</f>
        <v>1.8874586088176875</v>
      </c>
      <c r="AA6">
        <f>AVERAGE(T6:T9)</f>
        <v>20.416666666666668</v>
      </c>
      <c r="AB6">
        <f>_xlfn.STDEV.S(T6:T9)</f>
        <v>1.1013459778666117</v>
      </c>
      <c r="AC6">
        <f t="shared" si="4"/>
        <v>12.5</v>
      </c>
      <c r="AD6">
        <f t="shared" si="5"/>
        <v>2.2222222222222223</v>
      </c>
      <c r="AE6">
        <f>AVERAGE(AD6:AD9)</f>
        <v>2.5972222222222223</v>
      </c>
      <c r="AF6">
        <f>_xlfn.STDEV.S(AD6:AD9)</f>
        <v>0.67795231511057141</v>
      </c>
    </row>
    <row r="7" spans="1:41" x14ac:dyDescent="0.3">
      <c r="B7">
        <v>71</v>
      </c>
      <c r="C7">
        <v>29</v>
      </c>
      <c r="D7">
        <v>18</v>
      </c>
      <c r="E7">
        <v>82</v>
      </c>
      <c r="G7">
        <v>93</v>
      </c>
      <c r="H7">
        <v>7</v>
      </c>
      <c r="I7">
        <v>11</v>
      </c>
      <c r="J7">
        <v>89</v>
      </c>
      <c r="L7">
        <v>76</v>
      </c>
      <c r="M7">
        <v>24</v>
      </c>
      <c r="N7">
        <v>30</v>
      </c>
      <c r="O7">
        <v>70</v>
      </c>
      <c r="Q7">
        <f t="shared" si="0"/>
        <v>23.5</v>
      </c>
      <c r="R7">
        <f t="shared" si="1"/>
        <v>9</v>
      </c>
      <c r="S7">
        <f t="shared" si="2"/>
        <v>27</v>
      </c>
      <c r="T7">
        <f t="shared" si="3"/>
        <v>19.833333333333332</v>
      </c>
      <c r="AC7">
        <f t="shared" si="4"/>
        <v>9</v>
      </c>
      <c r="AD7">
        <f t="shared" si="5"/>
        <v>3.6111111111111107</v>
      </c>
    </row>
    <row r="8" spans="1:41" x14ac:dyDescent="0.3">
      <c r="B8">
        <v>83</v>
      </c>
      <c r="C8">
        <v>17</v>
      </c>
      <c r="D8">
        <v>22</v>
      </c>
      <c r="E8">
        <v>78</v>
      </c>
      <c r="G8">
        <v>94</v>
      </c>
      <c r="H8">
        <v>6</v>
      </c>
      <c r="I8">
        <v>23</v>
      </c>
      <c r="J8">
        <v>77</v>
      </c>
      <c r="L8">
        <v>77</v>
      </c>
      <c r="M8">
        <v>23</v>
      </c>
      <c r="N8">
        <v>38</v>
      </c>
      <c r="O8">
        <v>62</v>
      </c>
      <c r="Q8">
        <f t="shared" si="0"/>
        <v>19.5</v>
      </c>
      <c r="R8">
        <f t="shared" si="1"/>
        <v>14.5</v>
      </c>
      <c r="S8">
        <f t="shared" si="2"/>
        <v>30.5</v>
      </c>
      <c r="T8">
        <f t="shared" si="3"/>
        <v>21.5</v>
      </c>
      <c r="AC8">
        <f t="shared" si="4"/>
        <v>14.5</v>
      </c>
      <c r="AD8">
        <f t="shared" si="5"/>
        <v>2.333333333333333</v>
      </c>
    </row>
    <row r="9" spans="1:41" x14ac:dyDescent="0.3">
      <c r="B9">
        <v>82</v>
      </c>
      <c r="C9">
        <v>18</v>
      </c>
      <c r="D9">
        <v>20</v>
      </c>
      <c r="E9">
        <v>80</v>
      </c>
      <c r="G9">
        <v>95</v>
      </c>
      <c r="H9">
        <v>5</v>
      </c>
      <c r="I9">
        <v>24</v>
      </c>
      <c r="J9">
        <v>76</v>
      </c>
      <c r="L9">
        <v>74</v>
      </c>
      <c r="M9">
        <v>26</v>
      </c>
      <c r="N9">
        <v>34</v>
      </c>
      <c r="O9">
        <v>66</v>
      </c>
      <c r="Q9">
        <f t="shared" si="0"/>
        <v>19</v>
      </c>
      <c r="R9">
        <f t="shared" si="1"/>
        <v>14.5</v>
      </c>
      <c r="S9">
        <f t="shared" si="2"/>
        <v>30</v>
      </c>
      <c r="T9">
        <f t="shared" si="3"/>
        <v>21.166666666666668</v>
      </c>
      <c r="AC9">
        <f t="shared" si="4"/>
        <v>14.5</v>
      </c>
      <c r="AD9">
        <f t="shared" si="5"/>
        <v>2.2222222222222223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DAF94-3760-4822-A91C-E85FD1DEAB8C}">
  <dimension ref="A1:AO10"/>
  <sheetViews>
    <sheetView topLeftCell="J1" workbookViewId="0">
      <selection activeCell="J1" sqref="A1:XFD1"/>
    </sheetView>
  </sheetViews>
  <sheetFormatPr defaultRowHeight="14.4" x14ac:dyDescent="0.3"/>
  <sheetData>
    <row r="1" spans="1:41" x14ac:dyDescent="0.3">
      <c r="A1" t="s">
        <v>50</v>
      </c>
      <c r="Q1" t="s">
        <v>28</v>
      </c>
      <c r="R1" t="s">
        <v>29</v>
      </c>
      <c r="S1" t="s">
        <v>30</v>
      </c>
      <c r="T1" t="s">
        <v>31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32</v>
      </c>
      <c r="AD1" t="s">
        <v>33</v>
      </c>
      <c r="AE1" t="s">
        <v>26</v>
      </c>
      <c r="AF1" t="s">
        <v>27</v>
      </c>
      <c r="AI1" t="s">
        <v>34</v>
      </c>
      <c r="AJ1" t="s">
        <v>24</v>
      </c>
      <c r="AK1" t="s">
        <v>26</v>
      </c>
      <c r="AM1" t="s">
        <v>35</v>
      </c>
      <c r="AN1" t="s">
        <v>24</v>
      </c>
      <c r="AO1" t="s">
        <v>26</v>
      </c>
    </row>
    <row r="2" spans="1:41" x14ac:dyDescent="0.3">
      <c r="B2">
        <v>85</v>
      </c>
      <c r="C2">
        <v>15</v>
      </c>
      <c r="D2">
        <v>21</v>
      </c>
      <c r="E2">
        <v>79</v>
      </c>
      <c r="G2">
        <v>90</v>
      </c>
      <c r="H2">
        <v>10</v>
      </c>
      <c r="I2">
        <v>19</v>
      </c>
      <c r="J2">
        <v>81</v>
      </c>
      <c r="L2">
        <v>81</v>
      </c>
      <c r="M2">
        <v>19</v>
      </c>
      <c r="N2">
        <v>47</v>
      </c>
      <c r="O2">
        <v>53</v>
      </c>
      <c r="Q2">
        <f>AVERAGE(C2:D2)</f>
        <v>18</v>
      </c>
      <c r="R2">
        <f>AVERAGE(H2:I2)</f>
        <v>14.5</v>
      </c>
      <c r="S2">
        <f>AVERAGE(M2:N2)</f>
        <v>33</v>
      </c>
      <c r="T2">
        <f>AVERAGE(Q2:S2)</f>
        <v>21.833333333333332</v>
      </c>
      <c r="AC2">
        <f>MIN(Q2:S2)</f>
        <v>14.5</v>
      </c>
      <c r="AD2">
        <f>(1/3)*(T2-AC2)</f>
        <v>2.4444444444444438</v>
      </c>
    </row>
    <row r="3" spans="1:41" x14ac:dyDescent="0.3">
      <c r="B3">
        <v>69</v>
      </c>
      <c r="C3">
        <v>31</v>
      </c>
      <c r="D3">
        <v>27</v>
      </c>
      <c r="E3">
        <v>73</v>
      </c>
      <c r="G3">
        <v>96</v>
      </c>
      <c r="H3">
        <v>4</v>
      </c>
      <c r="I3">
        <v>14</v>
      </c>
      <c r="J3">
        <v>86</v>
      </c>
      <c r="L3">
        <v>82</v>
      </c>
      <c r="M3">
        <v>18</v>
      </c>
      <c r="N3">
        <v>41</v>
      </c>
      <c r="O3">
        <v>59</v>
      </c>
      <c r="Q3">
        <f t="shared" ref="Q3:Q10" si="0">AVERAGE(C3:D3)</f>
        <v>29</v>
      </c>
      <c r="R3">
        <f t="shared" ref="R3:R10" si="1">AVERAGE(H3:I3)</f>
        <v>9</v>
      </c>
      <c r="S3">
        <f t="shared" ref="S3:S10" si="2">AVERAGE(M3:N3)</f>
        <v>29.5</v>
      </c>
      <c r="T3">
        <f t="shared" ref="T3:T10" si="3">AVERAGE(Q3:S3)</f>
        <v>22.5</v>
      </c>
      <c r="AC3">
        <f t="shared" ref="AC3:AC10" si="4">MIN(Q3:S3)</f>
        <v>9</v>
      </c>
      <c r="AD3">
        <f t="shared" ref="AD3:AD10" si="5">(1/3)*(T3-AC3)</f>
        <v>4.5</v>
      </c>
    </row>
    <row r="6" spans="1:41" x14ac:dyDescent="0.3">
      <c r="B6">
        <v>85</v>
      </c>
      <c r="C6">
        <v>15</v>
      </c>
      <c r="D6">
        <v>21</v>
      </c>
      <c r="E6">
        <v>79</v>
      </c>
      <c r="G6">
        <v>90</v>
      </c>
      <c r="H6">
        <v>10</v>
      </c>
      <c r="I6">
        <v>19</v>
      </c>
      <c r="J6">
        <v>81</v>
      </c>
      <c r="L6">
        <v>81</v>
      </c>
      <c r="M6">
        <v>19</v>
      </c>
      <c r="N6">
        <v>47</v>
      </c>
      <c r="O6">
        <v>53</v>
      </c>
      <c r="Q6">
        <f t="shared" si="0"/>
        <v>18</v>
      </c>
      <c r="R6">
        <f t="shared" si="1"/>
        <v>14.5</v>
      </c>
      <c r="S6">
        <f t="shared" si="2"/>
        <v>33</v>
      </c>
      <c r="T6">
        <f t="shared" si="3"/>
        <v>21.833333333333332</v>
      </c>
      <c r="U6">
        <f>AVERAGE(Q6:Q10)</f>
        <v>20.8</v>
      </c>
      <c r="V6">
        <f>_xlfn.STDEV.S(Q6:Q10)</f>
        <v>4.7775516742365065</v>
      </c>
      <c r="W6">
        <f>AVERAGE(R6:R10)</f>
        <v>12.6</v>
      </c>
      <c r="X6">
        <f>_xlfn.STDEV.S(R6:R10)</f>
        <v>2.1035683967962657</v>
      </c>
      <c r="Y6">
        <f>AVERAGE(S6:S10)</f>
        <v>27</v>
      </c>
      <c r="Z6">
        <f>_xlfn.STDEV.S(S6:S10)</f>
        <v>4.8088460154178359</v>
      </c>
      <c r="AA6">
        <f>AVERAGE(T6:T10)</f>
        <v>20.133333333333333</v>
      </c>
      <c r="AB6">
        <f>_xlfn.STDEV.S(T6:T10)</f>
        <v>1.9343388189938873</v>
      </c>
      <c r="AC6">
        <f t="shared" si="4"/>
        <v>14.5</v>
      </c>
      <c r="AD6">
        <f t="shared" si="5"/>
        <v>2.4444444444444438</v>
      </c>
      <c r="AE6">
        <f>AVERAGE(AD6:AD10)</f>
        <v>2.5111111111111111</v>
      </c>
      <c r="AF6">
        <f>_xlfn.STDEV.S(AD6:AD10)</f>
        <v>1.1462499242699589</v>
      </c>
    </row>
    <row r="7" spans="1:41" x14ac:dyDescent="0.3">
      <c r="B7">
        <v>69</v>
      </c>
      <c r="C7">
        <v>31</v>
      </c>
      <c r="D7">
        <v>27</v>
      </c>
      <c r="E7">
        <v>73</v>
      </c>
      <c r="G7">
        <v>96</v>
      </c>
      <c r="H7">
        <v>4</v>
      </c>
      <c r="I7">
        <v>14</v>
      </c>
      <c r="J7">
        <v>86</v>
      </c>
      <c r="L7">
        <v>82</v>
      </c>
      <c r="M7">
        <v>18</v>
      </c>
      <c r="N7">
        <v>41</v>
      </c>
      <c r="O7">
        <v>59</v>
      </c>
      <c r="Q7">
        <f t="shared" si="0"/>
        <v>29</v>
      </c>
      <c r="R7">
        <f t="shared" si="1"/>
        <v>9</v>
      </c>
      <c r="S7">
        <f t="shared" si="2"/>
        <v>29.5</v>
      </c>
      <c r="T7">
        <f t="shared" si="3"/>
        <v>22.5</v>
      </c>
      <c r="AC7">
        <f t="shared" si="4"/>
        <v>9</v>
      </c>
      <c r="AD7">
        <f t="shared" si="5"/>
        <v>4.5</v>
      </c>
    </row>
    <row r="8" spans="1:41" x14ac:dyDescent="0.3">
      <c r="B8">
        <v>89</v>
      </c>
      <c r="C8">
        <v>11</v>
      </c>
      <c r="D8">
        <v>31</v>
      </c>
      <c r="E8">
        <v>69</v>
      </c>
      <c r="G8">
        <v>92</v>
      </c>
      <c r="H8">
        <v>8</v>
      </c>
      <c r="I8">
        <v>18</v>
      </c>
      <c r="J8">
        <v>82</v>
      </c>
      <c r="L8">
        <v>85</v>
      </c>
      <c r="M8">
        <v>15</v>
      </c>
      <c r="N8">
        <v>25</v>
      </c>
      <c r="O8">
        <v>75</v>
      </c>
      <c r="Q8">
        <f t="shared" si="0"/>
        <v>21</v>
      </c>
      <c r="R8">
        <f t="shared" si="1"/>
        <v>13</v>
      </c>
      <c r="S8">
        <f t="shared" si="2"/>
        <v>20</v>
      </c>
      <c r="T8">
        <f t="shared" si="3"/>
        <v>18</v>
      </c>
      <c r="AC8">
        <f t="shared" si="4"/>
        <v>13</v>
      </c>
      <c r="AD8">
        <f t="shared" si="5"/>
        <v>1.6666666666666665</v>
      </c>
    </row>
    <row r="9" spans="1:41" x14ac:dyDescent="0.3">
      <c r="B9">
        <v>89</v>
      </c>
      <c r="C9">
        <v>11</v>
      </c>
      <c r="D9">
        <v>24</v>
      </c>
      <c r="E9">
        <v>76</v>
      </c>
      <c r="G9">
        <v>91</v>
      </c>
      <c r="H9">
        <v>9</v>
      </c>
      <c r="I9">
        <v>17</v>
      </c>
      <c r="J9">
        <v>83</v>
      </c>
      <c r="L9">
        <v>86</v>
      </c>
      <c r="M9">
        <v>14</v>
      </c>
      <c r="N9">
        <v>39</v>
      </c>
      <c r="O9">
        <v>61</v>
      </c>
      <c r="Q9">
        <f t="shared" si="0"/>
        <v>17.5</v>
      </c>
      <c r="R9">
        <f t="shared" si="1"/>
        <v>13</v>
      </c>
      <c r="S9">
        <f t="shared" si="2"/>
        <v>26.5</v>
      </c>
      <c r="T9">
        <f t="shared" si="3"/>
        <v>19</v>
      </c>
      <c r="AC9">
        <f t="shared" si="4"/>
        <v>13</v>
      </c>
      <c r="AD9">
        <f t="shared" si="5"/>
        <v>2</v>
      </c>
    </row>
    <row r="10" spans="1:41" x14ac:dyDescent="0.3">
      <c r="B10">
        <v>74</v>
      </c>
      <c r="C10">
        <v>26</v>
      </c>
      <c r="D10">
        <v>11</v>
      </c>
      <c r="E10">
        <v>89</v>
      </c>
      <c r="G10">
        <v>90</v>
      </c>
      <c r="H10">
        <v>10</v>
      </c>
      <c r="I10">
        <v>17</v>
      </c>
      <c r="J10">
        <v>83</v>
      </c>
      <c r="L10">
        <v>81</v>
      </c>
      <c r="M10">
        <v>19</v>
      </c>
      <c r="N10">
        <v>33</v>
      </c>
      <c r="O10">
        <v>67</v>
      </c>
      <c r="Q10">
        <f t="shared" si="0"/>
        <v>18.5</v>
      </c>
      <c r="R10">
        <f t="shared" si="1"/>
        <v>13.5</v>
      </c>
      <c r="S10">
        <f t="shared" si="2"/>
        <v>26</v>
      </c>
      <c r="T10">
        <f t="shared" si="3"/>
        <v>19.333333333333332</v>
      </c>
      <c r="AC10">
        <f t="shared" si="4"/>
        <v>13.5</v>
      </c>
      <c r="AD10">
        <f t="shared" si="5"/>
        <v>1.944444444444444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190D-CA9F-4DE5-90AC-2CF0A06B5248}">
  <dimension ref="A1:AO10"/>
  <sheetViews>
    <sheetView topLeftCell="K1" workbookViewId="0">
      <selection activeCell="K1" sqref="A1:XFD1"/>
    </sheetView>
  </sheetViews>
  <sheetFormatPr defaultRowHeight="14.4" x14ac:dyDescent="0.3"/>
  <sheetData>
    <row r="1" spans="1:41" x14ac:dyDescent="0.3">
      <c r="A1" t="s">
        <v>50</v>
      </c>
      <c r="Q1" t="s">
        <v>28</v>
      </c>
      <c r="R1" t="s">
        <v>29</v>
      </c>
      <c r="S1" t="s">
        <v>30</v>
      </c>
      <c r="T1" t="s">
        <v>31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32</v>
      </c>
      <c r="AD1" t="s">
        <v>33</v>
      </c>
      <c r="AE1" t="s">
        <v>26</v>
      </c>
      <c r="AF1" t="s">
        <v>27</v>
      </c>
      <c r="AI1" t="s">
        <v>34</v>
      </c>
      <c r="AJ1" t="s">
        <v>24</v>
      </c>
      <c r="AK1" t="s">
        <v>26</v>
      </c>
      <c r="AM1" t="s">
        <v>35</v>
      </c>
      <c r="AN1" t="s">
        <v>24</v>
      </c>
      <c r="AO1" t="s">
        <v>26</v>
      </c>
    </row>
    <row r="2" spans="1:41" x14ac:dyDescent="0.3">
      <c r="B2">
        <v>67</v>
      </c>
      <c r="C2">
        <v>33</v>
      </c>
      <c r="D2">
        <v>42</v>
      </c>
      <c r="E2">
        <v>58</v>
      </c>
      <c r="G2">
        <v>93</v>
      </c>
      <c r="H2">
        <v>7</v>
      </c>
      <c r="I2">
        <v>16</v>
      </c>
      <c r="J2">
        <v>84</v>
      </c>
      <c r="L2">
        <v>69</v>
      </c>
      <c r="M2">
        <v>31</v>
      </c>
      <c r="N2">
        <v>16</v>
      </c>
      <c r="O2">
        <v>84</v>
      </c>
      <c r="Q2">
        <f>AVERAGE(C2:D2)</f>
        <v>37.5</v>
      </c>
      <c r="R2">
        <f>AVERAGE(H2:I2)</f>
        <v>11.5</v>
      </c>
      <c r="S2">
        <f>AVERAGE(M2:N2)</f>
        <v>23.5</v>
      </c>
      <c r="T2">
        <f>AVERAGE(Q2:S2)</f>
        <v>24.166666666666668</v>
      </c>
      <c r="U2">
        <f>AVERAGE(Q2:Q3)</f>
        <v>27.25</v>
      </c>
      <c r="W2">
        <f>AVERAGE(R2:R3)</f>
        <v>12.5</v>
      </c>
      <c r="Y2">
        <f>AVERAGE(S2:S3)</f>
        <v>25.5</v>
      </c>
      <c r="AA2">
        <f>AVERAGE(T2:T3)</f>
        <v>21.75</v>
      </c>
      <c r="AC2">
        <f>MIN(Q2:S2)</f>
        <v>11.5</v>
      </c>
      <c r="AD2">
        <f>(1/3)*(T2-AC2)</f>
        <v>4.2222222222222223</v>
      </c>
      <c r="AE2">
        <f>AVERAGE(AD2:AD3)</f>
        <v>3.083333333333333</v>
      </c>
    </row>
    <row r="3" spans="1:41" x14ac:dyDescent="0.3">
      <c r="B3">
        <v>87</v>
      </c>
      <c r="C3">
        <v>13</v>
      </c>
      <c r="D3">
        <v>21</v>
      </c>
      <c r="E3">
        <v>79</v>
      </c>
      <c r="G3">
        <v>92</v>
      </c>
      <c r="H3">
        <v>8</v>
      </c>
      <c r="I3">
        <v>19</v>
      </c>
      <c r="J3">
        <v>81</v>
      </c>
      <c r="L3">
        <v>85</v>
      </c>
      <c r="M3">
        <v>15</v>
      </c>
      <c r="N3">
        <v>40</v>
      </c>
      <c r="O3">
        <v>60</v>
      </c>
      <c r="Q3">
        <f t="shared" ref="Q3:Q10" si="0">AVERAGE(C3:D3)</f>
        <v>17</v>
      </c>
      <c r="R3">
        <f t="shared" ref="R3:R10" si="1">AVERAGE(H3:I3)</f>
        <v>13.5</v>
      </c>
      <c r="S3">
        <f t="shared" ref="S3:S10" si="2">AVERAGE(M3:N3)</f>
        <v>27.5</v>
      </c>
      <c r="T3">
        <f t="shared" ref="T3:T10" si="3">AVERAGE(Q3:S3)</f>
        <v>19.333333333333332</v>
      </c>
      <c r="AC3">
        <f t="shared" ref="AC3:AC10" si="4">MIN(Q3:S3)</f>
        <v>13.5</v>
      </c>
      <c r="AD3">
        <f t="shared" ref="AD3:AD10" si="5">(1/3)*(T3-AC3)</f>
        <v>1.944444444444444</v>
      </c>
    </row>
    <row r="6" spans="1:41" x14ac:dyDescent="0.3">
      <c r="B6">
        <v>67</v>
      </c>
      <c r="C6">
        <v>33</v>
      </c>
      <c r="D6">
        <v>42</v>
      </c>
      <c r="E6">
        <v>58</v>
      </c>
      <c r="G6">
        <v>93</v>
      </c>
      <c r="H6">
        <v>7</v>
      </c>
      <c r="I6">
        <v>16</v>
      </c>
      <c r="J6">
        <v>84</v>
      </c>
      <c r="L6">
        <v>69</v>
      </c>
      <c r="M6">
        <v>31</v>
      </c>
      <c r="N6">
        <v>16</v>
      </c>
      <c r="O6">
        <v>84</v>
      </c>
      <c r="Q6">
        <f t="shared" si="0"/>
        <v>37.5</v>
      </c>
      <c r="R6">
        <f t="shared" si="1"/>
        <v>11.5</v>
      </c>
      <c r="S6">
        <f t="shared" si="2"/>
        <v>23.5</v>
      </c>
      <c r="T6">
        <f t="shared" si="3"/>
        <v>24.166666666666668</v>
      </c>
      <c r="U6">
        <f>AVERAGE(Q6:Q10)</f>
        <v>22.1</v>
      </c>
      <c r="V6">
        <f>_xlfn.STDEV.S(Q6:Q10)</f>
        <v>9.0374221988352392</v>
      </c>
      <c r="W6">
        <f>AVERAGE(R6:R10)</f>
        <v>12.8</v>
      </c>
      <c r="X6">
        <f>_xlfn.STDEV.S(R6:R10)</f>
        <v>2.4392621835300914</v>
      </c>
      <c r="Y6">
        <f>AVERAGE(S6:S10)</f>
        <v>24.9</v>
      </c>
      <c r="Z6">
        <f>_xlfn.STDEV.S(S6:S10)</f>
        <v>2.4083189157584592</v>
      </c>
      <c r="AA6">
        <f>AVERAGE(T6:T10)</f>
        <v>19.933333333333334</v>
      </c>
      <c r="AB6">
        <f>_xlfn.STDEV.S(T6:T10)</f>
        <v>2.7095510083160717</v>
      </c>
      <c r="AC6">
        <f t="shared" si="4"/>
        <v>11.5</v>
      </c>
      <c r="AD6">
        <f t="shared" si="5"/>
        <v>4.2222222222222223</v>
      </c>
      <c r="AE6">
        <f>AVERAGE(AD6:AD10)</f>
        <v>2.4777777777777774</v>
      </c>
      <c r="AF6">
        <f>_xlfn.STDEV.S(AD6:AD10)</f>
        <v>1.0567244989431583</v>
      </c>
    </row>
    <row r="7" spans="1:41" x14ac:dyDescent="0.3">
      <c r="B7">
        <v>87</v>
      </c>
      <c r="C7">
        <v>13</v>
      </c>
      <c r="D7">
        <v>21</v>
      </c>
      <c r="E7">
        <v>79</v>
      </c>
      <c r="G7">
        <v>92</v>
      </c>
      <c r="H7">
        <v>8</v>
      </c>
      <c r="I7">
        <v>19</v>
      </c>
      <c r="J7">
        <v>81</v>
      </c>
      <c r="L7">
        <v>85</v>
      </c>
      <c r="M7">
        <v>15</v>
      </c>
      <c r="N7">
        <v>40</v>
      </c>
      <c r="O7">
        <v>60</v>
      </c>
      <c r="Q7">
        <f t="shared" si="0"/>
        <v>17</v>
      </c>
      <c r="R7">
        <f t="shared" si="1"/>
        <v>13.5</v>
      </c>
      <c r="S7">
        <f t="shared" si="2"/>
        <v>27.5</v>
      </c>
      <c r="T7">
        <f t="shared" si="3"/>
        <v>19.333333333333332</v>
      </c>
      <c r="AC7">
        <f t="shared" si="4"/>
        <v>13.5</v>
      </c>
      <c r="AD7">
        <f t="shared" si="5"/>
        <v>1.944444444444444</v>
      </c>
    </row>
    <row r="8" spans="1:41" x14ac:dyDescent="0.3">
      <c r="B8">
        <v>82</v>
      </c>
      <c r="C8">
        <v>18</v>
      </c>
      <c r="D8">
        <v>27</v>
      </c>
      <c r="E8">
        <v>73</v>
      </c>
      <c r="G8">
        <v>93</v>
      </c>
      <c r="H8">
        <v>7</v>
      </c>
      <c r="I8">
        <v>18</v>
      </c>
      <c r="J8">
        <v>82</v>
      </c>
      <c r="L8">
        <v>76</v>
      </c>
      <c r="M8">
        <v>24</v>
      </c>
      <c r="N8">
        <v>27</v>
      </c>
      <c r="O8">
        <v>73</v>
      </c>
      <c r="Q8">
        <f t="shared" si="0"/>
        <v>22.5</v>
      </c>
      <c r="R8">
        <f t="shared" si="1"/>
        <v>12.5</v>
      </c>
      <c r="S8">
        <f t="shared" si="2"/>
        <v>25.5</v>
      </c>
      <c r="T8">
        <f t="shared" si="3"/>
        <v>20.166666666666668</v>
      </c>
      <c r="AC8">
        <f t="shared" si="4"/>
        <v>12.5</v>
      </c>
      <c r="AD8">
        <f t="shared" si="5"/>
        <v>2.5555555555555558</v>
      </c>
    </row>
    <row r="9" spans="1:41" x14ac:dyDescent="0.3">
      <c r="B9">
        <v>84</v>
      </c>
      <c r="C9">
        <v>16</v>
      </c>
      <c r="D9">
        <v>21</v>
      </c>
      <c r="E9">
        <v>79</v>
      </c>
      <c r="G9">
        <v>93</v>
      </c>
      <c r="H9">
        <v>7</v>
      </c>
      <c r="I9">
        <v>13</v>
      </c>
      <c r="J9">
        <v>87</v>
      </c>
      <c r="L9">
        <v>89</v>
      </c>
      <c r="M9">
        <v>11</v>
      </c>
      <c r="N9">
        <v>32</v>
      </c>
      <c r="O9">
        <v>68</v>
      </c>
      <c r="Q9">
        <f t="shared" si="0"/>
        <v>18.5</v>
      </c>
      <c r="R9">
        <f t="shared" si="1"/>
        <v>10</v>
      </c>
      <c r="S9">
        <f t="shared" si="2"/>
        <v>21.5</v>
      </c>
      <c r="T9">
        <f t="shared" si="3"/>
        <v>16.666666666666668</v>
      </c>
      <c r="AC9">
        <f t="shared" si="4"/>
        <v>10</v>
      </c>
      <c r="AD9">
        <f t="shared" si="5"/>
        <v>2.2222222222222223</v>
      </c>
    </row>
    <row r="10" spans="1:41" x14ac:dyDescent="0.3">
      <c r="B10">
        <v>83</v>
      </c>
      <c r="C10">
        <v>17</v>
      </c>
      <c r="D10">
        <v>13</v>
      </c>
      <c r="E10">
        <v>87</v>
      </c>
      <c r="G10">
        <v>83</v>
      </c>
      <c r="H10">
        <v>17</v>
      </c>
      <c r="I10">
        <v>16</v>
      </c>
      <c r="J10">
        <v>84</v>
      </c>
      <c r="L10">
        <v>76</v>
      </c>
      <c r="M10">
        <v>24</v>
      </c>
      <c r="N10">
        <v>29</v>
      </c>
      <c r="O10">
        <v>71</v>
      </c>
      <c r="Q10">
        <f t="shared" si="0"/>
        <v>15</v>
      </c>
      <c r="R10">
        <f t="shared" si="1"/>
        <v>16.5</v>
      </c>
      <c r="S10">
        <f t="shared" si="2"/>
        <v>26.5</v>
      </c>
      <c r="T10">
        <f t="shared" si="3"/>
        <v>19.333333333333332</v>
      </c>
      <c r="AC10">
        <f t="shared" si="4"/>
        <v>15</v>
      </c>
      <c r="AD10">
        <f t="shared" si="5"/>
        <v>1.444444444444444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06E4-1E0E-426E-B194-E711CF5BA8D7}">
  <dimension ref="A1:AO7"/>
  <sheetViews>
    <sheetView topLeftCell="N1" workbookViewId="0">
      <selection activeCell="AF4" activeCellId="2" sqref="U4:AB4 AE4 AF4"/>
    </sheetView>
  </sheetViews>
  <sheetFormatPr defaultRowHeight="14.4" x14ac:dyDescent="0.3"/>
  <sheetData>
    <row r="1" spans="1:41" x14ac:dyDescent="0.3">
      <c r="A1" t="s">
        <v>50</v>
      </c>
      <c r="Q1" t="s">
        <v>28</v>
      </c>
      <c r="R1" t="s">
        <v>29</v>
      </c>
      <c r="S1" t="s">
        <v>30</v>
      </c>
      <c r="T1" t="s">
        <v>31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32</v>
      </c>
      <c r="AD1" t="s">
        <v>33</v>
      </c>
      <c r="AE1" t="s">
        <v>26</v>
      </c>
      <c r="AF1" t="s">
        <v>27</v>
      </c>
      <c r="AI1" t="s">
        <v>34</v>
      </c>
      <c r="AJ1" t="s">
        <v>24</v>
      </c>
      <c r="AK1" t="s">
        <v>26</v>
      </c>
      <c r="AM1" t="s">
        <v>35</v>
      </c>
      <c r="AN1" t="s">
        <v>24</v>
      </c>
      <c r="AO1" t="s">
        <v>26</v>
      </c>
    </row>
    <row r="2" spans="1:41" x14ac:dyDescent="0.3">
      <c r="B2">
        <v>78</v>
      </c>
      <c r="C2">
        <v>22</v>
      </c>
      <c r="D2">
        <v>23</v>
      </c>
      <c r="E2">
        <v>77</v>
      </c>
      <c r="G2">
        <v>85</v>
      </c>
      <c r="H2">
        <v>15</v>
      </c>
      <c r="I2">
        <v>6</v>
      </c>
      <c r="J2">
        <v>94</v>
      </c>
      <c r="L2">
        <v>78</v>
      </c>
      <c r="M2">
        <v>22</v>
      </c>
      <c r="N2">
        <v>28</v>
      </c>
      <c r="O2">
        <v>72</v>
      </c>
      <c r="Q2">
        <f>AVERAGE(C2:D2)</f>
        <v>22.5</v>
      </c>
      <c r="R2">
        <f>AVERAGE(H2:I2)</f>
        <v>10.5</v>
      </c>
      <c r="S2">
        <f>AVERAGE(M2:N2)</f>
        <v>25</v>
      </c>
      <c r="T2">
        <f>AVERAGE(Q2:S2)</f>
        <v>19.333333333333332</v>
      </c>
      <c r="AC2">
        <f>MIN(Q2:S2)</f>
        <v>10.5</v>
      </c>
      <c r="AD2">
        <f>(1/3)*(T2-AC2)</f>
        <v>2.9444444444444438</v>
      </c>
    </row>
    <row r="4" spans="1:41" x14ac:dyDescent="0.3">
      <c r="B4">
        <v>78</v>
      </c>
      <c r="C4">
        <v>22</v>
      </c>
      <c r="D4">
        <v>23</v>
      </c>
      <c r="E4">
        <v>77</v>
      </c>
      <c r="G4">
        <v>85</v>
      </c>
      <c r="H4">
        <v>15</v>
      </c>
      <c r="I4">
        <v>6</v>
      </c>
      <c r="J4">
        <v>94</v>
      </c>
      <c r="L4">
        <v>78</v>
      </c>
      <c r="M4">
        <v>22</v>
      </c>
      <c r="N4">
        <v>28</v>
      </c>
      <c r="O4">
        <v>72</v>
      </c>
      <c r="Q4">
        <f t="shared" ref="Q3:Q7" si="0">AVERAGE(C4:D4)</f>
        <v>22.5</v>
      </c>
      <c r="R4">
        <f t="shared" ref="R3:R7" si="1">AVERAGE(H4:I4)</f>
        <v>10.5</v>
      </c>
      <c r="S4">
        <f t="shared" ref="S3:S7" si="2">AVERAGE(M4:N4)</f>
        <v>25</v>
      </c>
      <c r="T4">
        <f t="shared" ref="T3:T7" si="3">AVERAGE(Q4:S4)</f>
        <v>19.333333333333332</v>
      </c>
      <c r="U4">
        <f>AVERAGE(Q4:Q7)</f>
        <v>22.875</v>
      </c>
      <c r="V4">
        <f>_xlfn.STDEV.S(Q4:Q7)</f>
        <v>6.8723479733397275</v>
      </c>
      <c r="W4">
        <f>AVERAGE(R4:R7)</f>
        <v>11.75</v>
      </c>
      <c r="X4">
        <f>_xlfn.STDEV.S(R4:R7)</f>
        <v>1.5</v>
      </c>
      <c r="Y4">
        <f>AVERAGE(S4:S7)</f>
        <v>25</v>
      </c>
      <c r="Z4">
        <f>_xlfn.STDEV.S(S4:S7)</f>
        <v>2.4832774042918899</v>
      </c>
      <c r="AA4">
        <f>AVERAGE(T4:T7)</f>
        <v>19.875</v>
      </c>
      <c r="AB4">
        <f>_xlfn.STDEV.S(T4:T7)</f>
        <v>3.4085268893695861</v>
      </c>
      <c r="AC4">
        <f t="shared" ref="AC3:AC7" si="4">MIN(Q4:S4)</f>
        <v>10.5</v>
      </c>
      <c r="AD4">
        <f t="shared" ref="AD3:AD7" si="5">(1/3)*(T4-AC4)</f>
        <v>2.9444444444444438</v>
      </c>
      <c r="AE4">
        <f>AVERAGE(AD4:AD7)</f>
        <v>2.708333333333333</v>
      </c>
      <c r="AF4">
        <f>_xlfn.STDEV.S(AD4:AD7)</f>
        <v>0.90309823372271381</v>
      </c>
    </row>
    <row r="5" spans="1:41" x14ac:dyDescent="0.3">
      <c r="B5">
        <v>60</v>
      </c>
      <c r="C5">
        <v>40</v>
      </c>
      <c r="D5">
        <v>25</v>
      </c>
      <c r="E5">
        <v>75</v>
      </c>
      <c r="G5">
        <v>87</v>
      </c>
      <c r="H5">
        <v>13</v>
      </c>
      <c r="I5">
        <v>14</v>
      </c>
      <c r="J5">
        <v>86</v>
      </c>
      <c r="L5">
        <v>72</v>
      </c>
      <c r="M5">
        <v>28</v>
      </c>
      <c r="N5">
        <v>29</v>
      </c>
      <c r="O5">
        <v>71</v>
      </c>
      <c r="Q5">
        <f t="shared" si="0"/>
        <v>32.5</v>
      </c>
      <c r="R5">
        <f t="shared" si="1"/>
        <v>13.5</v>
      </c>
      <c r="S5">
        <f t="shared" si="2"/>
        <v>28.5</v>
      </c>
      <c r="T5">
        <f t="shared" si="3"/>
        <v>24.833333333333332</v>
      </c>
      <c r="AC5">
        <f t="shared" si="4"/>
        <v>13.5</v>
      </c>
      <c r="AD5">
        <f t="shared" si="5"/>
        <v>3.7777777777777772</v>
      </c>
    </row>
    <row r="6" spans="1:41" x14ac:dyDescent="0.3">
      <c r="B6">
        <v>86</v>
      </c>
      <c r="C6">
        <v>14</v>
      </c>
      <c r="D6">
        <v>26</v>
      </c>
      <c r="E6">
        <v>74</v>
      </c>
      <c r="G6">
        <v>88</v>
      </c>
      <c r="H6">
        <v>12</v>
      </c>
      <c r="I6">
        <v>9</v>
      </c>
      <c r="J6">
        <v>91</v>
      </c>
      <c r="L6">
        <v>67</v>
      </c>
      <c r="M6">
        <v>33</v>
      </c>
      <c r="N6">
        <v>14</v>
      </c>
      <c r="O6">
        <v>86</v>
      </c>
      <c r="Q6">
        <f t="shared" si="0"/>
        <v>20</v>
      </c>
      <c r="R6">
        <f t="shared" si="1"/>
        <v>10.5</v>
      </c>
      <c r="S6">
        <f t="shared" si="2"/>
        <v>23.5</v>
      </c>
      <c r="T6">
        <f t="shared" si="3"/>
        <v>18</v>
      </c>
      <c r="AC6">
        <f t="shared" si="4"/>
        <v>10.5</v>
      </c>
      <c r="AD6">
        <f t="shared" si="5"/>
        <v>2.5</v>
      </c>
    </row>
    <row r="7" spans="1:41" x14ac:dyDescent="0.3">
      <c r="B7">
        <v>80</v>
      </c>
      <c r="C7">
        <v>20</v>
      </c>
      <c r="D7">
        <v>13</v>
      </c>
      <c r="E7">
        <v>87</v>
      </c>
      <c r="G7">
        <v>87</v>
      </c>
      <c r="H7">
        <v>13</v>
      </c>
      <c r="I7">
        <v>12</v>
      </c>
      <c r="J7">
        <v>88</v>
      </c>
      <c r="L7">
        <v>72</v>
      </c>
      <c r="M7">
        <v>28</v>
      </c>
      <c r="N7">
        <v>18</v>
      </c>
      <c r="O7">
        <v>82</v>
      </c>
      <c r="Q7">
        <f t="shared" si="0"/>
        <v>16.5</v>
      </c>
      <c r="R7">
        <f t="shared" si="1"/>
        <v>12.5</v>
      </c>
      <c r="S7">
        <f t="shared" si="2"/>
        <v>23</v>
      </c>
      <c r="T7">
        <f t="shared" si="3"/>
        <v>17.333333333333332</v>
      </c>
      <c r="AC7">
        <f t="shared" si="4"/>
        <v>12.5</v>
      </c>
      <c r="AD7">
        <f t="shared" si="5"/>
        <v>1.6111111111111107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44F4F-210C-4838-A498-CFE51079748D}">
  <dimension ref="A1:AO95"/>
  <sheetViews>
    <sheetView topLeftCell="P1" workbookViewId="0">
      <selection activeCell="P1" sqref="A1:XFD1"/>
    </sheetView>
  </sheetViews>
  <sheetFormatPr defaultRowHeight="14.4" x14ac:dyDescent="0.3"/>
  <sheetData>
    <row r="1" spans="1:41" x14ac:dyDescent="0.3">
      <c r="A1" t="s">
        <v>50</v>
      </c>
      <c r="Q1" t="s">
        <v>28</v>
      </c>
      <c r="R1" t="s">
        <v>29</v>
      </c>
      <c r="S1" t="s">
        <v>30</v>
      </c>
      <c r="T1" t="s">
        <v>31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32</v>
      </c>
      <c r="AD1" t="s">
        <v>33</v>
      </c>
      <c r="AE1" t="s">
        <v>26</v>
      </c>
      <c r="AF1" t="s">
        <v>27</v>
      </c>
      <c r="AI1" t="s">
        <v>34</v>
      </c>
      <c r="AJ1" t="s">
        <v>24</v>
      </c>
      <c r="AK1" t="s">
        <v>26</v>
      </c>
      <c r="AM1" t="s">
        <v>35</v>
      </c>
      <c r="AN1" t="s">
        <v>24</v>
      </c>
      <c r="AO1" t="s">
        <v>26</v>
      </c>
    </row>
    <row r="2" spans="1:41" x14ac:dyDescent="0.3">
      <c r="A2" t="s">
        <v>36</v>
      </c>
      <c r="AI2" t="s">
        <v>45</v>
      </c>
    </row>
    <row r="3" spans="1:41" x14ac:dyDescent="0.3">
      <c r="B3">
        <v>83</v>
      </c>
      <c r="C3">
        <v>17</v>
      </c>
      <c r="D3">
        <v>24</v>
      </c>
      <c r="E3">
        <v>76</v>
      </c>
      <c r="G3">
        <v>98</v>
      </c>
      <c r="H3">
        <v>2</v>
      </c>
      <c r="I3">
        <v>22</v>
      </c>
      <c r="J3">
        <v>78</v>
      </c>
      <c r="L3">
        <v>89</v>
      </c>
      <c r="M3">
        <v>11</v>
      </c>
      <c r="N3">
        <v>40</v>
      </c>
      <c r="O3">
        <v>60</v>
      </c>
      <c r="Q3">
        <f>AVERAGE(C3:D3)</f>
        <v>20.5</v>
      </c>
      <c r="R3">
        <f>AVERAGE(H3:I3)</f>
        <v>12</v>
      </c>
      <c r="S3">
        <f>AVERAGE(M3:N3)</f>
        <v>25.5</v>
      </c>
      <c r="T3">
        <f>AVERAGE(Q3:S3)</f>
        <v>19.333333333333332</v>
      </c>
      <c r="AA3">
        <f>AVERAGE(T3:T10)</f>
        <v>16.583333333333336</v>
      </c>
      <c r="AC3">
        <f>MIN(Q3:S3)</f>
        <v>12</v>
      </c>
      <c r="AD3">
        <f>(1/3)*(T3-AC3)</f>
        <v>2.4444444444444438</v>
      </c>
      <c r="AI3" t="s">
        <v>37</v>
      </c>
      <c r="AJ3">
        <v>14.444444444444443</v>
      </c>
      <c r="AK3">
        <v>1.8148148148148147</v>
      </c>
    </row>
    <row r="4" spans="1:41" x14ac:dyDescent="0.3">
      <c r="B4">
        <v>81</v>
      </c>
      <c r="C4">
        <v>19</v>
      </c>
      <c r="D4">
        <v>16</v>
      </c>
      <c r="E4">
        <v>84</v>
      </c>
      <c r="G4">
        <v>97</v>
      </c>
      <c r="H4">
        <v>3</v>
      </c>
      <c r="I4">
        <v>30</v>
      </c>
      <c r="J4">
        <v>70</v>
      </c>
      <c r="L4">
        <v>80</v>
      </c>
      <c r="M4">
        <v>20</v>
      </c>
      <c r="N4">
        <v>36</v>
      </c>
      <c r="O4">
        <v>64</v>
      </c>
      <c r="Q4">
        <f t="shared" ref="Q4:Q67" si="0">AVERAGE(C4:D4)</f>
        <v>17.5</v>
      </c>
      <c r="R4">
        <f t="shared" ref="R4:R67" si="1">AVERAGE(H4:I4)</f>
        <v>16.5</v>
      </c>
      <c r="S4">
        <f t="shared" ref="S4:S67" si="2">AVERAGE(M4:N4)</f>
        <v>28</v>
      </c>
      <c r="T4">
        <f t="shared" ref="T4:T67" si="3">AVERAGE(Q4:S4)</f>
        <v>20.666666666666668</v>
      </c>
      <c r="AC4">
        <f t="shared" ref="AC4:AC67" si="4">MIN(Q4:S4)</f>
        <v>16.5</v>
      </c>
      <c r="AD4">
        <f t="shared" ref="AD4:AD67" si="5">(1/3)*(T4-AC4)</f>
        <v>1.3888888888888893</v>
      </c>
      <c r="AJ4">
        <v>15.166666666666668</v>
      </c>
      <c r="AK4">
        <v>2.1805555555555554</v>
      </c>
    </row>
    <row r="5" spans="1:41" x14ac:dyDescent="0.3">
      <c r="B5">
        <v>87</v>
      </c>
      <c r="C5">
        <v>13</v>
      </c>
      <c r="D5">
        <v>18</v>
      </c>
      <c r="E5">
        <v>82</v>
      </c>
      <c r="G5">
        <v>97</v>
      </c>
      <c r="H5">
        <v>3</v>
      </c>
      <c r="I5">
        <v>18</v>
      </c>
      <c r="J5">
        <v>82</v>
      </c>
      <c r="L5">
        <v>84</v>
      </c>
      <c r="M5">
        <v>16</v>
      </c>
      <c r="N5">
        <v>19</v>
      </c>
      <c r="O5">
        <v>81</v>
      </c>
      <c r="Q5">
        <f t="shared" si="0"/>
        <v>15.5</v>
      </c>
      <c r="R5">
        <f t="shared" si="1"/>
        <v>10.5</v>
      </c>
      <c r="S5">
        <f t="shared" si="2"/>
        <v>17.5</v>
      </c>
      <c r="T5">
        <f t="shared" si="3"/>
        <v>14.5</v>
      </c>
      <c r="AC5">
        <f t="shared" si="4"/>
        <v>10.5</v>
      </c>
      <c r="AD5">
        <f t="shared" si="5"/>
        <v>1.3333333333333333</v>
      </c>
      <c r="AM5">
        <v>16.31666666666667</v>
      </c>
      <c r="AN5">
        <v>1.8222222222222222</v>
      </c>
    </row>
    <row r="6" spans="1:41" x14ac:dyDescent="0.3">
      <c r="B6">
        <v>84</v>
      </c>
      <c r="C6">
        <v>16</v>
      </c>
      <c r="D6">
        <v>17</v>
      </c>
      <c r="E6">
        <v>83</v>
      </c>
      <c r="G6">
        <v>97</v>
      </c>
      <c r="H6">
        <v>3</v>
      </c>
      <c r="I6">
        <v>24</v>
      </c>
      <c r="J6">
        <v>76</v>
      </c>
      <c r="L6">
        <v>86</v>
      </c>
      <c r="M6">
        <v>14</v>
      </c>
      <c r="N6">
        <v>23</v>
      </c>
      <c r="O6">
        <v>77</v>
      </c>
      <c r="Q6">
        <f t="shared" si="0"/>
        <v>16.5</v>
      </c>
      <c r="R6">
        <f t="shared" si="1"/>
        <v>13.5</v>
      </c>
      <c r="S6">
        <f t="shared" si="2"/>
        <v>18.5</v>
      </c>
      <c r="T6">
        <f t="shared" si="3"/>
        <v>16.166666666666668</v>
      </c>
      <c r="AC6">
        <f t="shared" si="4"/>
        <v>13.5</v>
      </c>
      <c r="AD6">
        <f t="shared" si="5"/>
        <v>0.88888888888888928</v>
      </c>
    </row>
    <row r="7" spans="1:41" x14ac:dyDescent="0.3">
      <c r="B7">
        <v>81</v>
      </c>
      <c r="C7">
        <v>19</v>
      </c>
      <c r="D7">
        <v>11</v>
      </c>
      <c r="E7">
        <v>89</v>
      </c>
      <c r="G7">
        <v>93</v>
      </c>
      <c r="H7">
        <v>7</v>
      </c>
      <c r="I7">
        <v>14</v>
      </c>
      <c r="J7">
        <v>86</v>
      </c>
      <c r="L7">
        <v>74</v>
      </c>
      <c r="M7">
        <v>26</v>
      </c>
      <c r="N7">
        <v>16</v>
      </c>
      <c r="O7">
        <v>84</v>
      </c>
      <c r="Q7">
        <f t="shared" si="0"/>
        <v>15</v>
      </c>
      <c r="R7">
        <f t="shared" si="1"/>
        <v>10.5</v>
      </c>
      <c r="S7">
        <f t="shared" si="2"/>
        <v>21</v>
      </c>
      <c r="T7">
        <f t="shared" si="3"/>
        <v>15.5</v>
      </c>
      <c r="AC7">
        <f t="shared" si="4"/>
        <v>10.5</v>
      </c>
      <c r="AD7">
        <f t="shared" si="5"/>
        <v>1.6666666666666665</v>
      </c>
    </row>
    <row r="8" spans="1:41" x14ac:dyDescent="0.3">
      <c r="B8">
        <v>82</v>
      </c>
      <c r="C8">
        <v>18</v>
      </c>
      <c r="D8">
        <v>7</v>
      </c>
      <c r="E8">
        <v>93</v>
      </c>
      <c r="G8">
        <v>89</v>
      </c>
      <c r="H8">
        <v>11</v>
      </c>
      <c r="I8">
        <v>15</v>
      </c>
      <c r="J8">
        <v>85</v>
      </c>
      <c r="L8">
        <v>85</v>
      </c>
      <c r="M8">
        <v>15</v>
      </c>
      <c r="N8">
        <v>18</v>
      </c>
      <c r="O8">
        <v>82</v>
      </c>
      <c r="Q8">
        <f t="shared" si="0"/>
        <v>12.5</v>
      </c>
      <c r="R8">
        <f t="shared" si="1"/>
        <v>13</v>
      </c>
      <c r="S8">
        <f t="shared" si="2"/>
        <v>16.5</v>
      </c>
      <c r="T8">
        <f t="shared" si="3"/>
        <v>14</v>
      </c>
      <c r="AC8">
        <f t="shared" si="4"/>
        <v>12.5</v>
      </c>
      <c r="AD8">
        <f t="shared" si="5"/>
        <v>0.5</v>
      </c>
    </row>
    <row r="9" spans="1:41" x14ac:dyDescent="0.3">
      <c r="B9">
        <v>85</v>
      </c>
      <c r="C9">
        <v>15</v>
      </c>
      <c r="D9">
        <v>21</v>
      </c>
      <c r="E9">
        <v>79</v>
      </c>
      <c r="G9">
        <v>96</v>
      </c>
      <c r="H9">
        <v>4</v>
      </c>
      <c r="I9">
        <v>10</v>
      </c>
      <c r="J9">
        <v>90</v>
      </c>
      <c r="L9">
        <v>82</v>
      </c>
      <c r="M9">
        <v>18</v>
      </c>
      <c r="N9">
        <v>32</v>
      </c>
      <c r="O9">
        <v>68</v>
      </c>
      <c r="Q9">
        <f t="shared" si="0"/>
        <v>18</v>
      </c>
      <c r="R9">
        <f t="shared" si="1"/>
        <v>7</v>
      </c>
      <c r="S9">
        <f t="shared" si="2"/>
        <v>25</v>
      </c>
      <c r="T9">
        <f t="shared" si="3"/>
        <v>16.666666666666668</v>
      </c>
      <c r="AC9">
        <f t="shared" si="4"/>
        <v>7</v>
      </c>
      <c r="AD9">
        <f t="shared" si="5"/>
        <v>3.2222222222222223</v>
      </c>
    </row>
    <row r="10" spans="1:41" x14ac:dyDescent="0.3">
      <c r="B10">
        <v>82</v>
      </c>
      <c r="C10">
        <v>18</v>
      </c>
      <c r="D10">
        <v>12</v>
      </c>
      <c r="E10">
        <v>88</v>
      </c>
      <c r="G10">
        <v>92</v>
      </c>
      <c r="H10">
        <v>8</v>
      </c>
      <c r="I10">
        <v>18</v>
      </c>
      <c r="J10">
        <v>82</v>
      </c>
      <c r="L10">
        <v>82</v>
      </c>
      <c r="M10">
        <v>18</v>
      </c>
      <c r="N10">
        <v>21</v>
      </c>
      <c r="O10">
        <v>79</v>
      </c>
      <c r="Q10">
        <f t="shared" si="0"/>
        <v>15</v>
      </c>
      <c r="R10">
        <f t="shared" si="1"/>
        <v>13</v>
      </c>
      <c r="S10">
        <f t="shared" si="2"/>
        <v>19.5</v>
      </c>
      <c r="T10">
        <f t="shared" si="3"/>
        <v>15.833333333333334</v>
      </c>
      <c r="AC10">
        <f t="shared" si="4"/>
        <v>13</v>
      </c>
      <c r="AD10">
        <f t="shared" si="5"/>
        <v>0.94444444444444464</v>
      </c>
    </row>
    <row r="12" spans="1:41" x14ac:dyDescent="0.3">
      <c r="A12" t="s">
        <v>3</v>
      </c>
    </row>
    <row r="13" spans="1:41" x14ac:dyDescent="0.3">
      <c r="B13">
        <v>81</v>
      </c>
      <c r="C13">
        <v>19</v>
      </c>
      <c r="D13">
        <v>20</v>
      </c>
      <c r="E13">
        <v>80</v>
      </c>
      <c r="G13">
        <v>93</v>
      </c>
      <c r="H13">
        <v>7</v>
      </c>
      <c r="I13">
        <v>14</v>
      </c>
      <c r="J13">
        <v>86</v>
      </c>
      <c r="L13">
        <v>88</v>
      </c>
      <c r="M13">
        <v>12</v>
      </c>
      <c r="N13">
        <v>36</v>
      </c>
      <c r="O13">
        <v>64</v>
      </c>
      <c r="Q13">
        <f t="shared" si="0"/>
        <v>19.5</v>
      </c>
      <c r="R13">
        <f t="shared" si="1"/>
        <v>10.5</v>
      </c>
      <c r="S13">
        <f t="shared" si="2"/>
        <v>24</v>
      </c>
      <c r="T13">
        <f t="shared" si="3"/>
        <v>18</v>
      </c>
      <c r="U13">
        <f>AVERAGE(Q13:Q21)</f>
        <v>16.055555555555557</v>
      </c>
      <c r="V13">
        <f>_xlfn.STDEV.S(Q13:Q21)</f>
        <v>3.3675328918627909</v>
      </c>
      <c r="W13">
        <f>AVERAGE(R13:R21)</f>
        <v>10.444444444444445</v>
      </c>
      <c r="X13">
        <f>_xlfn.STDEV.S(R13:R21)</f>
        <v>2.2561643951134793</v>
      </c>
      <c r="Y13">
        <f>AVERAGE(S13:S21)</f>
        <v>26.277777777777779</v>
      </c>
      <c r="Z13">
        <f>_xlfn.STDEV.S(S13:S21)</f>
        <v>5.8795785941208791</v>
      </c>
      <c r="AA13">
        <f>AVERAGE(T13:T21)</f>
        <v>17.592592592592595</v>
      </c>
      <c r="AB13">
        <f>_xlfn.STDEV.S(T13:T21)</f>
        <v>2.3660079938919165</v>
      </c>
      <c r="AC13">
        <f t="shared" si="4"/>
        <v>10.5</v>
      </c>
      <c r="AD13">
        <f t="shared" si="5"/>
        <v>2.5</v>
      </c>
      <c r="AE13">
        <f>AVERAGE(AD13:AD21)</f>
        <v>2.4938271604938271</v>
      </c>
      <c r="AF13">
        <f>_xlfn.STDEV.S(AD13:AD21)</f>
        <v>1.1407317219460704</v>
      </c>
    </row>
    <row r="14" spans="1:41" x14ac:dyDescent="0.3">
      <c r="B14">
        <v>89</v>
      </c>
      <c r="C14">
        <v>11</v>
      </c>
      <c r="D14">
        <v>11</v>
      </c>
      <c r="E14">
        <v>89</v>
      </c>
      <c r="G14">
        <v>95</v>
      </c>
      <c r="H14">
        <v>5</v>
      </c>
      <c r="I14">
        <v>23</v>
      </c>
      <c r="J14">
        <v>77</v>
      </c>
      <c r="L14">
        <v>74</v>
      </c>
      <c r="M14">
        <v>26</v>
      </c>
      <c r="N14">
        <v>24</v>
      </c>
      <c r="O14">
        <v>76</v>
      </c>
      <c r="Q14">
        <f t="shared" si="0"/>
        <v>11</v>
      </c>
      <c r="R14">
        <f t="shared" si="1"/>
        <v>14</v>
      </c>
      <c r="S14">
        <f t="shared" si="2"/>
        <v>25</v>
      </c>
      <c r="T14">
        <f t="shared" si="3"/>
        <v>16.666666666666668</v>
      </c>
      <c r="AC14">
        <f t="shared" si="4"/>
        <v>11</v>
      </c>
      <c r="AD14">
        <f t="shared" si="5"/>
        <v>1.8888888888888893</v>
      </c>
    </row>
    <row r="15" spans="1:41" x14ac:dyDescent="0.3">
      <c r="B15">
        <v>86</v>
      </c>
      <c r="C15">
        <v>14</v>
      </c>
      <c r="D15">
        <v>9</v>
      </c>
      <c r="E15">
        <v>91</v>
      </c>
      <c r="G15">
        <v>97</v>
      </c>
      <c r="H15">
        <v>3</v>
      </c>
      <c r="I15">
        <v>14</v>
      </c>
      <c r="J15">
        <v>86</v>
      </c>
      <c r="L15">
        <v>84</v>
      </c>
      <c r="M15">
        <v>16</v>
      </c>
      <c r="N15">
        <v>27</v>
      </c>
      <c r="O15">
        <v>73</v>
      </c>
      <c r="Q15">
        <f t="shared" si="0"/>
        <v>11.5</v>
      </c>
      <c r="R15">
        <f t="shared" si="1"/>
        <v>8.5</v>
      </c>
      <c r="S15">
        <f t="shared" si="2"/>
        <v>21.5</v>
      </c>
      <c r="T15">
        <f t="shared" si="3"/>
        <v>13.833333333333334</v>
      </c>
      <c r="AC15">
        <f t="shared" si="4"/>
        <v>8.5</v>
      </c>
      <c r="AD15">
        <f t="shared" si="5"/>
        <v>1.7777777777777779</v>
      </c>
    </row>
    <row r="16" spans="1:41" x14ac:dyDescent="0.3">
      <c r="B16">
        <v>74</v>
      </c>
      <c r="C16">
        <v>26</v>
      </c>
      <c r="D16">
        <v>8</v>
      </c>
      <c r="E16">
        <v>92</v>
      </c>
      <c r="G16">
        <v>89</v>
      </c>
      <c r="H16">
        <v>11</v>
      </c>
      <c r="I16">
        <v>12</v>
      </c>
      <c r="J16">
        <v>88</v>
      </c>
      <c r="L16">
        <v>84</v>
      </c>
      <c r="M16">
        <v>16</v>
      </c>
      <c r="N16">
        <v>38</v>
      </c>
      <c r="O16">
        <v>62</v>
      </c>
      <c r="Q16">
        <f t="shared" si="0"/>
        <v>17</v>
      </c>
      <c r="R16">
        <f t="shared" si="1"/>
        <v>11.5</v>
      </c>
      <c r="S16">
        <f t="shared" si="2"/>
        <v>27</v>
      </c>
      <c r="T16">
        <f t="shared" si="3"/>
        <v>18.5</v>
      </c>
      <c r="AC16">
        <f t="shared" si="4"/>
        <v>11.5</v>
      </c>
      <c r="AD16">
        <f t="shared" si="5"/>
        <v>2.333333333333333</v>
      </c>
    </row>
    <row r="17" spans="1:32" x14ac:dyDescent="0.3">
      <c r="B17">
        <v>87</v>
      </c>
      <c r="C17">
        <v>13</v>
      </c>
      <c r="D17">
        <v>13</v>
      </c>
      <c r="E17">
        <v>87</v>
      </c>
      <c r="G17">
        <v>94</v>
      </c>
      <c r="H17">
        <v>6</v>
      </c>
      <c r="I17">
        <v>20</v>
      </c>
      <c r="J17">
        <v>80</v>
      </c>
      <c r="L17">
        <v>85</v>
      </c>
      <c r="M17">
        <v>15</v>
      </c>
      <c r="N17">
        <v>30</v>
      </c>
      <c r="O17">
        <v>70</v>
      </c>
      <c r="Q17">
        <f t="shared" si="0"/>
        <v>13</v>
      </c>
      <c r="R17">
        <f t="shared" si="1"/>
        <v>13</v>
      </c>
      <c r="S17">
        <f t="shared" si="2"/>
        <v>22.5</v>
      </c>
      <c r="T17">
        <f t="shared" si="3"/>
        <v>16.166666666666668</v>
      </c>
      <c r="AC17">
        <f t="shared" si="4"/>
        <v>13</v>
      </c>
      <c r="AD17">
        <f t="shared" si="5"/>
        <v>1.0555555555555558</v>
      </c>
    </row>
    <row r="18" spans="1:32" x14ac:dyDescent="0.3">
      <c r="B18">
        <v>74</v>
      </c>
      <c r="C18">
        <v>26</v>
      </c>
      <c r="D18">
        <v>8</v>
      </c>
      <c r="E18">
        <v>92</v>
      </c>
      <c r="G18">
        <v>93</v>
      </c>
      <c r="H18">
        <v>7</v>
      </c>
      <c r="I18">
        <v>12</v>
      </c>
      <c r="J18">
        <v>88</v>
      </c>
      <c r="L18">
        <v>86</v>
      </c>
      <c r="M18">
        <v>14</v>
      </c>
      <c r="N18">
        <v>27</v>
      </c>
      <c r="O18">
        <v>73</v>
      </c>
      <c r="Q18">
        <f t="shared" si="0"/>
        <v>17</v>
      </c>
      <c r="R18">
        <f t="shared" si="1"/>
        <v>9.5</v>
      </c>
      <c r="S18">
        <f t="shared" si="2"/>
        <v>20.5</v>
      </c>
      <c r="T18">
        <f t="shared" si="3"/>
        <v>15.666666666666666</v>
      </c>
      <c r="AC18">
        <f t="shared" si="4"/>
        <v>9.5</v>
      </c>
      <c r="AD18">
        <f t="shared" si="5"/>
        <v>2.0555555555555554</v>
      </c>
    </row>
    <row r="19" spans="1:32" x14ac:dyDescent="0.3">
      <c r="B19">
        <v>78</v>
      </c>
      <c r="C19">
        <v>22</v>
      </c>
      <c r="D19">
        <v>17</v>
      </c>
      <c r="E19">
        <v>83</v>
      </c>
      <c r="G19">
        <v>91</v>
      </c>
      <c r="H19">
        <v>9</v>
      </c>
      <c r="I19">
        <v>12</v>
      </c>
      <c r="J19">
        <v>88</v>
      </c>
      <c r="L19">
        <v>74</v>
      </c>
      <c r="M19">
        <v>26</v>
      </c>
      <c r="N19">
        <v>33</v>
      </c>
      <c r="O19">
        <v>67</v>
      </c>
      <c r="Q19">
        <f t="shared" si="0"/>
        <v>19.5</v>
      </c>
      <c r="R19">
        <f t="shared" si="1"/>
        <v>10.5</v>
      </c>
      <c r="S19">
        <f t="shared" si="2"/>
        <v>29.5</v>
      </c>
      <c r="T19">
        <f t="shared" si="3"/>
        <v>19.833333333333332</v>
      </c>
      <c r="AC19">
        <f t="shared" si="4"/>
        <v>10.5</v>
      </c>
      <c r="AD19">
        <f t="shared" si="5"/>
        <v>3.1111111111111107</v>
      </c>
    </row>
    <row r="20" spans="1:32" x14ac:dyDescent="0.3">
      <c r="B20">
        <v>78</v>
      </c>
      <c r="C20">
        <v>22</v>
      </c>
      <c r="D20">
        <v>16</v>
      </c>
      <c r="E20">
        <v>84</v>
      </c>
      <c r="G20">
        <v>95</v>
      </c>
      <c r="H20">
        <v>5</v>
      </c>
      <c r="I20">
        <v>8</v>
      </c>
      <c r="J20">
        <v>92</v>
      </c>
      <c r="L20">
        <v>92</v>
      </c>
      <c r="M20">
        <v>8</v>
      </c>
      <c r="N20">
        <v>72</v>
      </c>
      <c r="O20">
        <v>28</v>
      </c>
      <c r="Q20">
        <f t="shared" si="0"/>
        <v>19</v>
      </c>
      <c r="R20">
        <f t="shared" si="1"/>
        <v>6.5</v>
      </c>
      <c r="S20">
        <f t="shared" si="2"/>
        <v>40</v>
      </c>
      <c r="T20">
        <f t="shared" si="3"/>
        <v>21.833333333333332</v>
      </c>
      <c r="AC20">
        <f t="shared" si="4"/>
        <v>6.5</v>
      </c>
      <c r="AD20">
        <f t="shared" si="5"/>
        <v>5.1111111111111107</v>
      </c>
    </row>
    <row r="21" spans="1:32" x14ac:dyDescent="0.3">
      <c r="B21">
        <v>79</v>
      </c>
      <c r="C21">
        <v>21</v>
      </c>
      <c r="D21">
        <v>13</v>
      </c>
      <c r="E21">
        <v>87</v>
      </c>
      <c r="G21">
        <v>94</v>
      </c>
      <c r="H21">
        <v>6</v>
      </c>
      <c r="I21">
        <v>14</v>
      </c>
      <c r="J21">
        <v>86</v>
      </c>
      <c r="L21">
        <v>85</v>
      </c>
      <c r="M21">
        <v>15</v>
      </c>
      <c r="N21">
        <v>38</v>
      </c>
      <c r="O21">
        <v>62</v>
      </c>
      <c r="Q21">
        <f t="shared" si="0"/>
        <v>17</v>
      </c>
      <c r="R21">
        <f t="shared" si="1"/>
        <v>10</v>
      </c>
      <c r="S21">
        <f t="shared" si="2"/>
        <v>26.5</v>
      </c>
      <c r="T21">
        <f t="shared" si="3"/>
        <v>17.833333333333332</v>
      </c>
      <c r="AC21">
        <f t="shared" si="4"/>
        <v>10</v>
      </c>
      <c r="AD21">
        <f t="shared" si="5"/>
        <v>2.6111111111111107</v>
      </c>
    </row>
    <row r="23" spans="1:32" x14ac:dyDescent="0.3">
      <c r="A23" t="s">
        <v>37</v>
      </c>
    </row>
    <row r="24" spans="1:32" x14ac:dyDescent="0.3">
      <c r="B24">
        <v>86</v>
      </c>
      <c r="C24">
        <v>14</v>
      </c>
      <c r="D24">
        <v>11</v>
      </c>
      <c r="E24">
        <v>89</v>
      </c>
      <c r="G24">
        <v>95</v>
      </c>
      <c r="H24">
        <v>5</v>
      </c>
      <c r="I24">
        <v>11</v>
      </c>
      <c r="J24">
        <v>89</v>
      </c>
      <c r="L24">
        <v>83</v>
      </c>
      <c r="M24">
        <v>17</v>
      </c>
      <c r="N24">
        <v>33</v>
      </c>
      <c r="O24">
        <v>67</v>
      </c>
      <c r="Q24">
        <f t="shared" si="0"/>
        <v>12.5</v>
      </c>
      <c r="R24">
        <f t="shared" si="1"/>
        <v>8</v>
      </c>
      <c r="S24">
        <f t="shared" si="2"/>
        <v>25</v>
      </c>
      <c r="T24">
        <f t="shared" si="3"/>
        <v>15.166666666666666</v>
      </c>
      <c r="U24">
        <f>AVERAGE(Q24:Q26)</f>
        <v>14.333333333333334</v>
      </c>
      <c r="V24">
        <f>_xlfn.STDEV.S(Q24:Q26)</f>
        <v>3.617089069035115</v>
      </c>
      <c r="W24">
        <f>AVERAGE(R24:R26)</f>
        <v>9</v>
      </c>
      <c r="X24">
        <f>_xlfn.STDEV.S(R24:R26)</f>
        <v>1.7320508075688772</v>
      </c>
      <c r="Y24">
        <f>AVERAGE(S24:S26)</f>
        <v>20</v>
      </c>
      <c r="Z24">
        <f>_xlfn.STDEV.S(S24:S26)</f>
        <v>5.2678268764263692</v>
      </c>
      <c r="AA24">
        <f>AVERAGE(T24:T26)</f>
        <v>14.444444444444443</v>
      </c>
      <c r="AB24">
        <f>_xlfn.STDEV.S(T24:T26)</f>
        <v>0.85526690657448035</v>
      </c>
      <c r="AC24">
        <f t="shared" si="4"/>
        <v>8</v>
      </c>
      <c r="AD24">
        <f t="shared" si="5"/>
        <v>2.3888888888888884</v>
      </c>
      <c r="AE24">
        <f>AVERAGE(AD24:AD26)</f>
        <v>1.8148148148148147</v>
      </c>
      <c r="AF24">
        <f>_xlfn.STDEV.S(AD24:AD26)</f>
        <v>0.58355375024402611</v>
      </c>
    </row>
    <row r="25" spans="1:32" x14ac:dyDescent="0.3">
      <c r="B25">
        <v>88</v>
      </c>
      <c r="C25">
        <v>12</v>
      </c>
      <c r="D25">
        <v>25</v>
      </c>
      <c r="E25">
        <v>75</v>
      </c>
      <c r="G25">
        <v>99</v>
      </c>
      <c r="H25">
        <v>1</v>
      </c>
      <c r="I25">
        <v>21</v>
      </c>
      <c r="J25">
        <v>79</v>
      </c>
      <c r="L25">
        <v>93</v>
      </c>
      <c r="M25">
        <v>7</v>
      </c>
      <c r="N25">
        <v>22</v>
      </c>
      <c r="O25">
        <v>78</v>
      </c>
      <c r="Q25">
        <f t="shared" si="0"/>
        <v>18.5</v>
      </c>
      <c r="R25">
        <f t="shared" si="1"/>
        <v>11</v>
      </c>
      <c r="S25">
        <f t="shared" si="2"/>
        <v>14.5</v>
      </c>
      <c r="T25">
        <f t="shared" si="3"/>
        <v>14.666666666666666</v>
      </c>
      <c r="AC25">
        <f t="shared" si="4"/>
        <v>11</v>
      </c>
      <c r="AD25">
        <f t="shared" si="5"/>
        <v>1.2222222222222219</v>
      </c>
    </row>
    <row r="26" spans="1:32" x14ac:dyDescent="0.3">
      <c r="B26">
        <v>86</v>
      </c>
      <c r="C26">
        <v>14</v>
      </c>
      <c r="D26">
        <v>10</v>
      </c>
      <c r="E26">
        <v>90</v>
      </c>
      <c r="G26">
        <v>92</v>
      </c>
      <c r="H26">
        <v>8</v>
      </c>
      <c r="I26">
        <v>8</v>
      </c>
      <c r="J26">
        <v>92</v>
      </c>
      <c r="L26">
        <v>81</v>
      </c>
      <c r="M26">
        <v>19</v>
      </c>
      <c r="N26">
        <v>22</v>
      </c>
      <c r="O26">
        <v>78</v>
      </c>
      <c r="Q26">
        <f t="shared" si="0"/>
        <v>12</v>
      </c>
      <c r="R26">
        <f t="shared" si="1"/>
        <v>8</v>
      </c>
      <c r="S26">
        <f t="shared" si="2"/>
        <v>20.5</v>
      </c>
      <c r="T26">
        <f t="shared" si="3"/>
        <v>13.5</v>
      </c>
      <c r="AC26">
        <f t="shared" si="4"/>
        <v>8</v>
      </c>
      <c r="AD26">
        <f t="shared" si="5"/>
        <v>1.8333333333333333</v>
      </c>
    </row>
    <row r="28" spans="1:32" x14ac:dyDescent="0.3">
      <c r="A28" t="s">
        <v>38</v>
      </c>
    </row>
    <row r="29" spans="1:32" x14ac:dyDescent="0.3">
      <c r="B29">
        <v>88</v>
      </c>
      <c r="C29">
        <v>12</v>
      </c>
      <c r="D29">
        <v>16</v>
      </c>
      <c r="E29">
        <v>84</v>
      </c>
      <c r="G29">
        <v>98</v>
      </c>
      <c r="H29">
        <v>2</v>
      </c>
      <c r="I29">
        <v>10</v>
      </c>
      <c r="J29">
        <v>90</v>
      </c>
      <c r="L29">
        <v>83</v>
      </c>
      <c r="M29">
        <v>17</v>
      </c>
      <c r="N29">
        <v>36</v>
      </c>
      <c r="O29">
        <v>64</v>
      </c>
      <c r="Q29">
        <f t="shared" si="0"/>
        <v>14</v>
      </c>
      <c r="R29">
        <f t="shared" si="1"/>
        <v>6</v>
      </c>
      <c r="S29">
        <f t="shared" si="2"/>
        <v>26.5</v>
      </c>
      <c r="T29">
        <f t="shared" si="3"/>
        <v>15.5</v>
      </c>
      <c r="AA29">
        <f>AVERAGE(T29:T36)</f>
        <v>15.166666666666668</v>
      </c>
      <c r="AC29">
        <f t="shared" si="4"/>
        <v>6</v>
      </c>
      <c r="AD29">
        <f t="shared" si="5"/>
        <v>3.1666666666666665</v>
      </c>
      <c r="AE29">
        <f>AVERAGE(AD29:AD36)</f>
        <v>2.1805555555555554</v>
      </c>
    </row>
    <row r="30" spans="1:32" x14ac:dyDescent="0.3">
      <c r="B30">
        <v>82</v>
      </c>
      <c r="C30">
        <v>18</v>
      </c>
      <c r="D30">
        <v>16</v>
      </c>
      <c r="E30">
        <v>84</v>
      </c>
      <c r="G30">
        <v>98</v>
      </c>
      <c r="H30">
        <v>2</v>
      </c>
      <c r="I30">
        <v>23</v>
      </c>
      <c r="J30">
        <v>77</v>
      </c>
      <c r="L30">
        <v>83</v>
      </c>
      <c r="M30">
        <v>17</v>
      </c>
      <c r="N30">
        <v>32</v>
      </c>
      <c r="O30">
        <v>68</v>
      </c>
      <c r="Q30">
        <f t="shared" si="0"/>
        <v>17</v>
      </c>
      <c r="R30">
        <f t="shared" si="1"/>
        <v>12.5</v>
      </c>
      <c r="S30">
        <f t="shared" si="2"/>
        <v>24.5</v>
      </c>
      <c r="T30">
        <f t="shared" si="3"/>
        <v>18</v>
      </c>
      <c r="AC30">
        <f t="shared" si="4"/>
        <v>12.5</v>
      </c>
      <c r="AD30">
        <f t="shared" si="5"/>
        <v>1.8333333333333333</v>
      </c>
    </row>
    <row r="31" spans="1:32" x14ac:dyDescent="0.3">
      <c r="B31">
        <v>89</v>
      </c>
      <c r="C31">
        <v>11</v>
      </c>
      <c r="D31">
        <v>12</v>
      </c>
      <c r="E31">
        <v>88</v>
      </c>
      <c r="G31">
        <v>99</v>
      </c>
      <c r="H31">
        <v>1</v>
      </c>
      <c r="I31">
        <v>24</v>
      </c>
      <c r="J31">
        <v>76</v>
      </c>
      <c r="L31">
        <v>83</v>
      </c>
      <c r="M31">
        <v>17</v>
      </c>
      <c r="N31">
        <v>37</v>
      </c>
      <c r="O31">
        <v>63</v>
      </c>
      <c r="Q31">
        <f t="shared" si="0"/>
        <v>11.5</v>
      </c>
      <c r="R31">
        <f t="shared" si="1"/>
        <v>12.5</v>
      </c>
      <c r="S31">
        <f t="shared" si="2"/>
        <v>27</v>
      </c>
      <c r="T31">
        <f t="shared" si="3"/>
        <v>17</v>
      </c>
      <c r="AC31">
        <f t="shared" si="4"/>
        <v>11.5</v>
      </c>
      <c r="AD31">
        <f t="shared" si="5"/>
        <v>1.8333333333333333</v>
      </c>
    </row>
    <row r="32" spans="1:32" x14ac:dyDescent="0.3">
      <c r="B32">
        <v>82</v>
      </c>
      <c r="C32">
        <v>18</v>
      </c>
      <c r="D32">
        <v>9</v>
      </c>
      <c r="E32">
        <v>91</v>
      </c>
      <c r="G32">
        <v>98</v>
      </c>
      <c r="H32">
        <v>2</v>
      </c>
      <c r="I32">
        <v>13</v>
      </c>
      <c r="J32">
        <v>87</v>
      </c>
      <c r="L32">
        <v>83</v>
      </c>
      <c r="M32">
        <v>17</v>
      </c>
      <c r="N32">
        <v>24</v>
      </c>
      <c r="O32">
        <v>76</v>
      </c>
      <c r="Q32">
        <f t="shared" si="0"/>
        <v>13.5</v>
      </c>
      <c r="R32">
        <f t="shared" si="1"/>
        <v>7.5</v>
      </c>
      <c r="S32">
        <f t="shared" si="2"/>
        <v>20.5</v>
      </c>
      <c r="T32">
        <f t="shared" si="3"/>
        <v>13.833333333333334</v>
      </c>
      <c r="AC32">
        <f t="shared" si="4"/>
        <v>7.5</v>
      </c>
      <c r="AD32">
        <f t="shared" si="5"/>
        <v>2.1111111111111112</v>
      </c>
    </row>
    <row r="33" spans="1:30" x14ac:dyDescent="0.3">
      <c r="B33">
        <v>77</v>
      </c>
      <c r="C33">
        <v>23</v>
      </c>
      <c r="D33">
        <v>11</v>
      </c>
      <c r="E33">
        <v>89</v>
      </c>
      <c r="G33">
        <v>95</v>
      </c>
      <c r="H33">
        <v>5</v>
      </c>
      <c r="I33">
        <v>15</v>
      </c>
      <c r="J33">
        <v>85</v>
      </c>
      <c r="L33">
        <v>89</v>
      </c>
      <c r="M33">
        <v>11</v>
      </c>
      <c r="N33">
        <v>29</v>
      </c>
      <c r="O33">
        <v>71</v>
      </c>
      <c r="Q33">
        <f t="shared" si="0"/>
        <v>17</v>
      </c>
      <c r="R33">
        <f t="shared" si="1"/>
        <v>10</v>
      </c>
      <c r="S33">
        <f t="shared" si="2"/>
        <v>20</v>
      </c>
      <c r="T33">
        <f t="shared" si="3"/>
        <v>15.666666666666666</v>
      </c>
      <c r="AC33">
        <f t="shared" si="4"/>
        <v>10</v>
      </c>
      <c r="AD33">
        <f t="shared" si="5"/>
        <v>1.8888888888888886</v>
      </c>
    </row>
    <row r="34" spans="1:30" x14ac:dyDescent="0.3">
      <c r="B34">
        <v>88</v>
      </c>
      <c r="C34">
        <v>12</v>
      </c>
      <c r="D34">
        <v>16</v>
      </c>
      <c r="E34">
        <v>84</v>
      </c>
      <c r="G34">
        <v>99</v>
      </c>
      <c r="H34">
        <v>1</v>
      </c>
      <c r="I34">
        <v>13</v>
      </c>
      <c r="J34">
        <v>87</v>
      </c>
      <c r="L34">
        <v>83</v>
      </c>
      <c r="M34">
        <v>17</v>
      </c>
      <c r="N34">
        <v>23</v>
      </c>
      <c r="O34">
        <v>77</v>
      </c>
      <c r="Q34">
        <f t="shared" si="0"/>
        <v>14</v>
      </c>
      <c r="R34">
        <f t="shared" si="1"/>
        <v>7</v>
      </c>
      <c r="S34">
        <f t="shared" si="2"/>
        <v>20</v>
      </c>
      <c r="T34">
        <f t="shared" si="3"/>
        <v>13.666666666666666</v>
      </c>
      <c r="AC34">
        <f t="shared" si="4"/>
        <v>7</v>
      </c>
      <c r="AD34">
        <f t="shared" si="5"/>
        <v>2.2222222222222219</v>
      </c>
    </row>
    <row r="35" spans="1:30" x14ac:dyDescent="0.3">
      <c r="B35">
        <v>87</v>
      </c>
      <c r="C35">
        <v>13</v>
      </c>
      <c r="D35">
        <v>16</v>
      </c>
      <c r="E35">
        <v>84</v>
      </c>
      <c r="G35">
        <v>92</v>
      </c>
      <c r="H35">
        <v>8</v>
      </c>
      <c r="I35">
        <v>7</v>
      </c>
      <c r="J35">
        <v>93</v>
      </c>
      <c r="L35">
        <v>82</v>
      </c>
      <c r="M35">
        <v>18</v>
      </c>
      <c r="N35">
        <v>25</v>
      </c>
      <c r="O35">
        <v>75</v>
      </c>
      <c r="Q35">
        <f t="shared" si="0"/>
        <v>14.5</v>
      </c>
      <c r="R35">
        <f t="shared" si="1"/>
        <v>7.5</v>
      </c>
      <c r="S35">
        <f t="shared" si="2"/>
        <v>21.5</v>
      </c>
      <c r="T35">
        <f t="shared" si="3"/>
        <v>14.5</v>
      </c>
      <c r="AC35">
        <f t="shared" si="4"/>
        <v>7.5</v>
      </c>
      <c r="AD35">
        <f t="shared" si="5"/>
        <v>2.333333333333333</v>
      </c>
    </row>
    <row r="36" spans="1:30" x14ac:dyDescent="0.3">
      <c r="B36">
        <v>87</v>
      </c>
      <c r="C36">
        <v>13</v>
      </c>
      <c r="D36">
        <v>19</v>
      </c>
      <c r="E36">
        <v>81</v>
      </c>
      <c r="G36">
        <v>94</v>
      </c>
      <c r="H36">
        <v>6</v>
      </c>
      <c r="I36">
        <v>8</v>
      </c>
      <c r="J36">
        <v>92</v>
      </c>
      <c r="L36">
        <v>85</v>
      </c>
      <c r="M36">
        <v>15</v>
      </c>
      <c r="N36">
        <v>18</v>
      </c>
      <c r="O36">
        <v>82</v>
      </c>
      <c r="Q36">
        <f t="shared" si="0"/>
        <v>16</v>
      </c>
      <c r="R36">
        <f t="shared" si="1"/>
        <v>7</v>
      </c>
      <c r="S36">
        <f t="shared" si="2"/>
        <v>16.5</v>
      </c>
      <c r="T36">
        <f t="shared" si="3"/>
        <v>13.166666666666666</v>
      </c>
      <c r="AC36">
        <f t="shared" si="4"/>
        <v>7</v>
      </c>
      <c r="AD36">
        <f t="shared" si="5"/>
        <v>2.0555555555555554</v>
      </c>
    </row>
    <row r="38" spans="1:30" x14ac:dyDescent="0.3">
      <c r="A38" t="s">
        <v>39</v>
      </c>
    </row>
    <row r="39" spans="1:30" x14ac:dyDescent="0.3">
      <c r="B39">
        <v>83</v>
      </c>
      <c r="C39">
        <v>17</v>
      </c>
      <c r="D39">
        <v>19</v>
      </c>
      <c r="E39">
        <v>81</v>
      </c>
      <c r="G39">
        <v>95</v>
      </c>
      <c r="H39">
        <v>5</v>
      </c>
      <c r="I39">
        <v>18</v>
      </c>
      <c r="J39">
        <v>82</v>
      </c>
      <c r="L39">
        <v>92</v>
      </c>
      <c r="M39">
        <v>8</v>
      </c>
      <c r="N39">
        <v>46</v>
      </c>
      <c r="O39">
        <v>54</v>
      </c>
      <c r="Q39">
        <f t="shared" si="0"/>
        <v>18</v>
      </c>
      <c r="R39">
        <f t="shared" si="1"/>
        <v>11.5</v>
      </c>
      <c r="S39">
        <f t="shared" si="2"/>
        <v>27</v>
      </c>
      <c r="T39">
        <f t="shared" si="3"/>
        <v>18.833333333333332</v>
      </c>
      <c r="AA39">
        <f>AVERAGE(T39:T47)</f>
        <v>16.74074074074074</v>
      </c>
      <c r="AC39">
        <f t="shared" si="4"/>
        <v>11.5</v>
      </c>
      <c r="AD39">
        <f t="shared" si="5"/>
        <v>2.4444444444444438</v>
      </c>
    </row>
    <row r="40" spans="1:30" x14ac:dyDescent="0.3">
      <c r="B40">
        <v>84</v>
      </c>
      <c r="C40">
        <v>16</v>
      </c>
      <c r="D40">
        <v>21</v>
      </c>
      <c r="E40">
        <v>79</v>
      </c>
      <c r="G40">
        <v>94</v>
      </c>
      <c r="H40">
        <v>6</v>
      </c>
      <c r="I40">
        <v>15</v>
      </c>
      <c r="J40">
        <v>85</v>
      </c>
      <c r="L40">
        <v>85</v>
      </c>
      <c r="M40">
        <v>15</v>
      </c>
      <c r="N40">
        <v>30</v>
      </c>
      <c r="O40">
        <v>70</v>
      </c>
      <c r="Q40">
        <f t="shared" si="0"/>
        <v>18.5</v>
      </c>
      <c r="R40">
        <f t="shared" si="1"/>
        <v>10.5</v>
      </c>
      <c r="S40">
        <f t="shared" si="2"/>
        <v>22.5</v>
      </c>
      <c r="T40">
        <f t="shared" si="3"/>
        <v>17.166666666666668</v>
      </c>
      <c r="AC40">
        <f t="shared" si="4"/>
        <v>10.5</v>
      </c>
      <c r="AD40">
        <f t="shared" si="5"/>
        <v>2.2222222222222223</v>
      </c>
    </row>
    <row r="41" spans="1:30" x14ac:dyDescent="0.3">
      <c r="B41">
        <v>93</v>
      </c>
      <c r="C41">
        <v>7</v>
      </c>
      <c r="D41">
        <v>18</v>
      </c>
      <c r="E41">
        <v>82</v>
      </c>
      <c r="G41">
        <v>95</v>
      </c>
      <c r="H41">
        <v>5</v>
      </c>
      <c r="I41">
        <v>13</v>
      </c>
      <c r="J41">
        <v>87</v>
      </c>
      <c r="L41">
        <v>91</v>
      </c>
      <c r="M41">
        <v>9</v>
      </c>
      <c r="N41">
        <v>37</v>
      </c>
      <c r="O41">
        <v>63</v>
      </c>
      <c r="Q41">
        <f t="shared" si="0"/>
        <v>12.5</v>
      </c>
      <c r="R41">
        <f t="shared" si="1"/>
        <v>9</v>
      </c>
      <c r="S41">
        <f t="shared" si="2"/>
        <v>23</v>
      </c>
      <c r="T41">
        <f t="shared" si="3"/>
        <v>14.833333333333334</v>
      </c>
      <c r="AC41">
        <f t="shared" si="4"/>
        <v>9</v>
      </c>
      <c r="AD41">
        <f t="shared" si="5"/>
        <v>1.9444444444444446</v>
      </c>
    </row>
    <row r="42" spans="1:30" x14ac:dyDescent="0.3">
      <c r="B42">
        <v>84</v>
      </c>
      <c r="C42">
        <v>16</v>
      </c>
      <c r="D42">
        <v>19</v>
      </c>
      <c r="E42">
        <v>81</v>
      </c>
      <c r="G42">
        <v>95</v>
      </c>
      <c r="H42">
        <v>5</v>
      </c>
      <c r="I42">
        <v>17</v>
      </c>
      <c r="J42">
        <v>83</v>
      </c>
      <c r="L42">
        <v>84</v>
      </c>
      <c r="M42">
        <v>16</v>
      </c>
      <c r="N42">
        <v>36</v>
      </c>
      <c r="O42">
        <v>64</v>
      </c>
      <c r="Q42">
        <f t="shared" si="0"/>
        <v>17.5</v>
      </c>
      <c r="R42">
        <f t="shared" si="1"/>
        <v>11</v>
      </c>
      <c r="S42">
        <f t="shared" si="2"/>
        <v>26</v>
      </c>
      <c r="T42">
        <f t="shared" si="3"/>
        <v>18.166666666666668</v>
      </c>
      <c r="AC42">
        <f t="shared" si="4"/>
        <v>11</v>
      </c>
      <c r="AD42">
        <f t="shared" si="5"/>
        <v>2.3888888888888893</v>
      </c>
    </row>
    <row r="43" spans="1:30" x14ac:dyDescent="0.3">
      <c r="B43">
        <v>80</v>
      </c>
      <c r="C43">
        <v>20</v>
      </c>
      <c r="D43">
        <v>13</v>
      </c>
      <c r="E43">
        <v>87</v>
      </c>
      <c r="G43">
        <v>88</v>
      </c>
      <c r="H43">
        <v>12</v>
      </c>
      <c r="I43">
        <v>14</v>
      </c>
      <c r="J43">
        <v>86</v>
      </c>
      <c r="L43">
        <v>75</v>
      </c>
      <c r="M43">
        <v>25</v>
      </c>
      <c r="N43">
        <v>24</v>
      </c>
      <c r="O43">
        <v>76</v>
      </c>
      <c r="Q43">
        <f t="shared" si="0"/>
        <v>16.5</v>
      </c>
      <c r="R43">
        <f t="shared" si="1"/>
        <v>13</v>
      </c>
      <c r="S43">
        <f t="shared" si="2"/>
        <v>24.5</v>
      </c>
      <c r="T43">
        <f t="shared" si="3"/>
        <v>18</v>
      </c>
      <c r="AC43">
        <f t="shared" si="4"/>
        <v>13</v>
      </c>
      <c r="AD43">
        <f t="shared" si="5"/>
        <v>1.6666666666666665</v>
      </c>
    </row>
    <row r="44" spans="1:30" x14ac:dyDescent="0.3">
      <c r="B44">
        <v>83</v>
      </c>
      <c r="C44">
        <v>17</v>
      </c>
      <c r="D44">
        <v>7</v>
      </c>
      <c r="E44">
        <v>93</v>
      </c>
      <c r="G44">
        <v>97</v>
      </c>
      <c r="H44">
        <v>3</v>
      </c>
      <c r="I44">
        <v>11</v>
      </c>
      <c r="J44">
        <v>89</v>
      </c>
      <c r="L44">
        <v>82</v>
      </c>
      <c r="M44">
        <v>18</v>
      </c>
      <c r="N44">
        <v>21</v>
      </c>
      <c r="O44">
        <v>79</v>
      </c>
      <c r="Q44">
        <f t="shared" si="0"/>
        <v>12</v>
      </c>
      <c r="R44">
        <f t="shared" si="1"/>
        <v>7</v>
      </c>
      <c r="S44">
        <f t="shared" si="2"/>
        <v>19.5</v>
      </c>
      <c r="T44">
        <f t="shared" si="3"/>
        <v>12.833333333333334</v>
      </c>
      <c r="AC44">
        <f t="shared" si="4"/>
        <v>7</v>
      </c>
      <c r="AD44">
        <f t="shared" si="5"/>
        <v>1.9444444444444446</v>
      </c>
    </row>
    <row r="45" spans="1:30" x14ac:dyDescent="0.3">
      <c r="B45">
        <v>70</v>
      </c>
      <c r="C45">
        <v>30</v>
      </c>
      <c r="D45">
        <v>10</v>
      </c>
      <c r="E45">
        <v>90</v>
      </c>
      <c r="G45">
        <v>95</v>
      </c>
      <c r="H45">
        <v>5</v>
      </c>
      <c r="I45">
        <v>14</v>
      </c>
      <c r="J45">
        <v>86</v>
      </c>
      <c r="L45">
        <v>79</v>
      </c>
      <c r="M45">
        <v>21</v>
      </c>
      <c r="N45">
        <v>26</v>
      </c>
      <c r="O45">
        <v>74</v>
      </c>
      <c r="Q45">
        <f t="shared" si="0"/>
        <v>20</v>
      </c>
      <c r="R45">
        <f t="shared" si="1"/>
        <v>9.5</v>
      </c>
      <c r="S45">
        <f t="shared" si="2"/>
        <v>23.5</v>
      </c>
      <c r="T45">
        <f t="shared" si="3"/>
        <v>17.666666666666668</v>
      </c>
      <c r="AC45">
        <f t="shared" si="4"/>
        <v>9.5</v>
      </c>
      <c r="AD45">
        <f t="shared" si="5"/>
        <v>2.7222222222222223</v>
      </c>
    </row>
    <row r="46" spans="1:30" x14ac:dyDescent="0.3">
      <c r="B46">
        <v>78</v>
      </c>
      <c r="C46">
        <v>22</v>
      </c>
      <c r="D46">
        <v>11</v>
      </c>
      <c r="E46">
        <v>89</v>
      </c>
      <c r="G46">
        <v>90</v>
      </c>
      <c r="H46">
        <v>10</v>
      </c>
      <c r="I46">
        <v>14</v>
      </c>
      <c r="J46">
        <v>86</v>
      </c>
      <c r="L46">
        <v>82</v>
      </c>
      <c r="M46">
        <v>18</v>
      </c>
      <c r="N46">
        <v>33</v>
      </c>
      <c r="O46">
        <v>67</v>
      </c>
      <c r="Q46">
        <f t="shared" si="0"/>
        <v>16.5</v>
      </c>
      <c r="R46">
        <f t="shared" si="1"/>
        <v>12</v>
      </c>
      <c r="S46">
        <f t="shared" si="2"/>
        <v>25.5</v>
      </c>
      <c r="T46">
        <f t="shared" si="3"/>
        <v>18</v>
      </c>
      <c r="AC46">
        <f t="shared" si="4"/>
        <v>12</v>
      </c>
      <c r="AD46">
        <f t="shared" si="5"/>
        <v>2</v>
      </c>
    </row>
    <row r="47" spans="1:30" x14ac:dyDescent="0.3">
      <c r="B47">
        <v>86</v>
      </c>
      <c r="C47">
        <v>14</v>
      </c>
      <c r="D47">
        <v>14</v>
      </c>
      <c r="E47">
        <v>86</v>
      </c>
      <c r="G47">
        <v>92</v>
      </c>
      <c r="H47">
        <v>8</v>
      </c>
      <c r="I47">
        <v>13</v>
      </c>
      <c r="J47">
        <v>87</v>
      </c>
      <c r="L47">
        <v>82</v>
      </c>
      <c r="M47">
        <v>18</v>
      </c>
      <c r="N47">
        <v>24</v>
      </c>
      <c r="O47">
        <v>76</v>
      </c>
      <c r="Q47">
        <f t="shared" si="0"/>
        <v>14</v>
      </c>
      <c r="R47">
        <f t="shared" si="1"/>
        <v>10.5</v>
      </c>
      <c r="S47">
        <f t="shared" si="2"/>
        <v>21</v>
      </c>
      <c r="T47">
        <f t="shared" si="3"/>
        <v>15.166666666666666</v>
      </c>
      <c r="AC47">
        <f t="shared" si="4"/>
        <v>10.5</v>
      </c>
      <c r="AD47">
        <f t="shared" si="5"/>
        <v>1.5555555555555554</v>
      </c>
    </row>
    <row r="49" spans="1:30" x14ac:dyDescent="0.3">
      <c r="A49" t="s">
        <v>52</v>
      </c>
    </row>
    <row r="50" spans="1:30" x14ac:dyDescent="0.3">
      <c r="B50">
        <v>80</v>
      </c>
      <c r="C50">
        <v>20</v>
      </c>
      <c r="D50">
        <v>5</v>
      </c>
      <c r="E50">
        <v>95</v>
      </c>
      <c r="G50">
        <v>92</v>
      </c>
      <c r="H50">
        <v>8</v>
      </c>
      <c r="I50">
        <v>14</v>
      </c>
      <c r="J50">
        <v>86</v>
      </c>
      <c r="L50">
        <v>91</v>
      </c>
      <c r="M50">
        <v>9</v>
      </c>
      <c r="N50">
        <v>30</v>
      </c>
      <c r="O50">
        <v>70</v>
      </c>
      <c r="Q50">
        <f t="shared" si="0"/>
        <v>12.5</v>
      </c>
      <c r="R50">
        <f t="shared" si="1"/>
        <v>11</v>
      </c>
      <c r="S50">
        <f t="shared" si="2"/>
        <v>19.5</v>
      </c>
      <c r="T50">
        <f t="shared" si="3"/>
        <v>14.333333333333334</v>
      </c>
      <c r="AA50">
        <f>AVERAGE(T50:T51)</f>
        <v>17</v>
      </c>
      <c r="AC50">
        <f t="shared" si="4"/>
        <v>11</v>
      </c>
      <c r="AD50">
        <f t="shared" si="5"/>
        <v>1.1111111111111112</v>
      </c>
    </row>
    <row r="51" spans="1:30" x14ac:dyDescent="0.3">
      <c r="B51">
        <v>78</v>
      </c>
      <c r="C51">
        <v>22</v>
      </c>
      <c r="D51">
        <v>9</v>
      </c>
      <c r="E51">
        <v>91</v>
      </c>
      <c r="G51">
        <v>96</v>
      </c>
      <c r="H51">
        <v>4</v>
      </c>
      <c r="I51">
        <v>10</v>
      </c>
      <c r="J51">
        <v>90</v>
      </c>
      <c r="L51">
        <v>75</v>
      </c>
      <c r="M51">
        <v>25</v>
      </c>
      <c r="N51">
        <v>48</v>
      </c>
      <c r="O51">
        <v>52</v>
      </c>
      <c r="Q51">
        <f t="shared" si="0"/>
        <v>15.5</v>
      </c>
      <c r="R51">
        <f t="shared" si="1"/>
        <v>7</v>
      </c>
      <c r="S51">
        <f t="shared" si="2"/>
        <v>36.5</v>
      </c>
      <c r="T51">
        <f t="shared" si="3"/>
        <v>19.666666666666668</v>
      </c>
      <c r="AC51">
        <f t="shared" si="4"/>
        <v>7</v>
      </c>
      <c r="AD51">
        <f t="shared" si="5"/>
        <v>4.2222222222222223</v>
      </c>
    </row>
    <row r="53" spans="1:30" x14ac:dyDescent="0.3">
      <c r="A53" t="s">
        <v>41</v>
      </c>
    </row>
    <row r="54" spans="1:30" x14ac:dyDescent="0.3">
      <c r="B54">
        <v>78</v>
      </c>
      <c r="C54">
        <v>22</v>
      </c>
      <c r="D54">
        <v>14</v>
      </c>
      <c r="E54">
        <v>86</v>
      </c>
      <c r="G54">
        <v>93</v>
      </c>
      <c r="H54">
        <v>7</v>
      </c>
      <c r="I54">
        <v>10</v>
      </c>
      <c r="J54">
        <v>90</v>
      </c>
      <c r="L54">
        <v>88</v>
      </c>
      <c r="M54">
        <v>12</v>
      </c>
      <c r="N54">
        <v>25</v>
      </c>
      <c r="O54">
        <v>75</v>
      </c>
      <c r="Q54">
        <f t="shared" si="0"/>
        <v>18</v>
      </c>
      <c r="R54">
        <f t="shared" si="1"/>
        <v>8.5</v>
      </c>
      <c r="S54">
        <f t="shared" si="2"/>
        <v>18.5</v>
      </c>
      <c r="T54">
        <f t="shared" si="3"/>
        <v>15</v>
      </c>
      <c r="AA54">
        <f>AVERAGE(T54:T59)</f>
        <v>17.333333333333332</v>
      </c>
      <c r="AC54">
        <f t="shared" si="4"/>
        <v>8.5</v>
      </c>
      <c r="AD54">
        <f t="shared" si="5"/>
        <v>2.1666666666666665</v>
      </c>
    </row>
    <row r="55" spans="1:30" x14ac:dyDescent="0.3">
      <c r="B55">
        <v>90</v>
      </c>
      <c r="C55">
        <v>10</v>
      </c>
      <c r="D55">
        <v>28</v>
      </c>
      <c r="E55">
        <v>72</v>
      </c>
      <c r="G55">
        <v>92</v>
      </c>
      <c r="H55">
        <v>8</v>
      </c>
      <c r="I55">
        <v>15</v>
      </c>
      <c r="J55">
        <v>85</v>
      </c>
      <c r="L55">
        <v>75</v>
      </c>
      <c r="M55">
        <v>25</v>
      </c>
      <c r="N55">
        <v>26</v>
      </c>
      <c r="O55">
        <v>74</v>
      </c>
      <c r="Q55">
        <f t="shared" si="0"/>
        <v>19</v>
      </c>
      <c r="R55">
        <f t="shared" si="1"/>
        <v>11.5</v>
      </c>
      <c r="S55">
        <f t="shared" si="2"/>
        <v>25.5</v>
      </c>
      <c r="T55">
        <f t="shared" si="3"/>
        <v>18.666666666666668</v>
      </c>
      <c r="AC55">
        <f t="shared" si="4"/>
        <v>11.5</v>
      </c>
      <c r="AD55">
        <f t="shared" si="5"/>
        <v>2.3888888888888893</v>
      </c>
    </row>
    <row r="56" spans="1:30" x14ac:dyDescent="0.3">
      <c r="B56">
        <v>89</v>
      </c>
      <c r="C56">
        <v>11</v>
      </c>
      <c r="D56">
        <v>21</v>
      </c>
      <c r="E56">
        <v>79</v>
      </c>
      <c r="G56">
        <v>98</v>
      </c>
      <c r="H56">
        <v>2</v>
      </c>
      <c r="I56">
        <v>19</v>
      </c>
      <c r="J56">
        <v>81</v>
      </c>
      <c r="L56">
        <v>85</v>
      </c>
      <c r="M56">
        <v>15</v>
      </c>
      <c r="N56">
        <v>31</v>
      </c>
      <c r="O56">
        <v>69</v>
      </c>
      <c r="Q56">
        <f t="shared" si="0"/>
        <v>16</v>
      </c>
      <c r="R56">
        <f t="shared" si="1"/>
        <v>10.5</v>
      </c>
      <c r="S56">
        <f t="shared" si="2"/>
        <v>23</v>
      </c>
      <c r="T56">
        <f t="shared" si="3"/>
        <v>16.5</v>
      </c>
      <c r="AC56">
        <f t="shared" si="4"/>
        <v>10.5</v>
      </c>
      <c r="AD56">
        <f t="shared" si="5"/>
        <v>2</v>
      </c>
    </row>
    <row r="57" spans="1:30" x14ac:dyDescent="0.3">
      <c r="B57">
        <v>83</v>
      </c>
      <c r="C57">
        <v>17</v>
      </c>
      <c r="D57">
        <v>16</v>
      </c>
      <c r="E57">
        <v>84</v>
      </c>
      <c r="G57">
        <v>96</v>
      </c>
      <c r="H57">
        <v>4</v>
      </c>
      <c r="I57">
        <v>16</v>
      </c>
      <c r="J57">
        <v>84</v>
      </c>
      <c r="L57">
        <v>89</v>
      </c>
      <c r="M57">
        <v>11</v>
      </c>
      <c r="N57">
        <v>40</v>
      </c>
      <c r="O57">
        <v>60</v>
      </c>
      <c r="Q57">
        <f t="shared" si="0"/>
        <v>16.5</v>
      </c>
      <c r="R57">
        <f t="shared" si="1"/>
        <v>10</v>
      </c>
      <c r="S57">
        <f t="shared" si="2"/>
        <v>25.5</v>
      </c>
      <c r="T57">
        <f t="shared" si="3"/>
        <v>17.333333333333332</v>
      </c>
      <c r="AC57">
        <f t="shared" si="4"/>
        <v>10</v>
      </c>
      <c r="AD57">
        <f t="shared" si="5"/>
        <v>2.4444444444444438</v>
      </c>
    </row>
    <row r="58" spans="1:30" x14ac:dyDescent="0.3">
      <c r="B58">
        <v>85</v>
      </c>
      <c r="C58">
        <v>15</v>
      </c>
      <c r="D58">
        <v>19</v>
      </c>
      <c r="E58">
        <v>81</v>
      </c>
      <c r="G58">
        <v>97</v>
      </c>
      <c r="H58">
        <v>3</v>
      </c>
      <c r="I58">
        <v>24</v>
      </c>
      <c r="J58">
        <v>76</v>
      </c>
      <c r="L58">
        <v>84</v>
      </c>
      <c r="M58">
        <v>16</v>
      </c>
      <c r="N58">
        <v>23</v>
      </c>
      <c r="O58">
        <v>77</v>
      </c>
      <c r="Q58">
        <f t="shared" si="0"/>
        <v>17</v>
      </c>
      <c r="R58">
        <f t="shared" si="1"/>
        <v>13.5</v>
      </c>
      <c r="S58">
        <f t="shared" si="2"/>
        <v>19.5</v>
      </c>
      <c r="T58">
        <f t="shared" si="3"/>
        <v>16.666666666666668</v>
      </c>
      <c r="AC58">
        <f t="shared" si="4"/>
        <v>13.5</v>
      </c>
      <c r="AD58">
        <f t="shared" si="5"/>
        <v>1.0555555555555558</v>
      </c>
    </row>
    <row r="59" spans="1:30" x14ac:dyDescent="0.3">
      <c r="B59">
        <v>76</v>
      </c>
      <c r="C59">
        <v>24</v>
      </c>
      <c r="D59">
        <v>18</v>
      </c>
      <c r="E59">
        <v>82</v>
      </c>
      <c r="G59">
        <v>93</v>
      </c>
      <c r="H59">
        <v>7</v>
      </c>
      <c r="I59">
        <v>11</v>
      </c>
      <c r="J59">
        <v>89</v>
      </c>
      <c r="L59">
        <v>93</v>
      </c>
      <c r="M59">
        <v>7</v>
      </c>
      <c r="N59">
        <v>52</v>
      </c>
      <c r="O59">
        <v>48</v>
      </c>
      <c r="Q59">
        <f t="shared" si="0"/>
        <v>21</v>
      </c>
      <c r="R59">
        <f t="shared" si="1"/>
        <v>9</v>
      </c>
      <c r="S59">
        <f t="shared" si="2"/>
        <v>29.5</v>
      </c>
      <c r="T59">
        <f t="shared" si="3"/>
        <v>19.833333333333332</v>
      </c>
      <c r="AC59">
        <f t="shared" si="4"/>
        <v>9</v>
      </c>
      <c r="AD59">
        <f t="shared" si="5"/>
        <v>3.6111111111111107</v>
      </c>
    </row>
    <row r="61" spans="1:30" x14ac:dyDescent="0.3">
      <c r="A61" t="s">
        <v>5</v>
      </c>
    </row>
    <row r="62" spans="1:30" x14ac:dyDescent="0.3">
      <c r="B62">
        <v>77</v>
      </c>
      <c r="C62">
        <v>23</v>
      </c>
      <c r="D62">
        <v>6</v>
      </c>
      <c r="E62">
        <v>94</v>
      </c>
      <c r="G62">
        <v>88</v>
      </c>
      <c r="H62">
        <v>12</v>
      </c>
      <c r="I62">
        <v>12</v>
      </c>
      <c r="J62">
        <v>88</v>
      </c>
      <c r="L62">
        <v>82</v>
      </c>
      <c r="M62">
        <v>18</v>
      </c>
      <c r="N62">
        <v>24</v>
      </c>
      <c r="O62">
        <v>76</v>
      </c>
      <c r="Q62">
        <f t="shared" si="0"/>
        <v>14.5</v>
      </c>
      <c r="R62">
        <f t="shared" si="1"/>
        <v>12</v>
      </c>
      <c r="S62">
        <f t="shared" si="2"/>
        <v>21</v>
      </c>
      <c r="T62">
        <f t="shared" si="3"/>
        <v>15.833333333333334</v>
      </c>
      <c r="AA62">
        <f>AVERAGE(T62:T64)</f>
        <v>18.333333333333332</v>
      </c>
      <c r="AC62">
        <f t="shared" si="4"/>
        <v>12</v>
      </c>
      <c r="AD62">
        <f t="shared" si="5"/>
        <v>1.2777777777777779</v>
      </c>
    </row>
    <row r="63" spans="1:30" x14ac:dyDescent="0.3">
      <c r="B63">
        <v>84</v>
      </c>
      <c r="C63">
        <v>16</v>
      </c>
      <c r="D63">
        <v>27</v>
      </c>
      <c r="E63">
        <v>73</v>
      </c>
      <c r="G63">
        <v>95</v>
      </c>
      <c r="H63">
        <v>5</v>
      </c>
      <c r="I63">
        <v>12</v>
      </c>
      <c r="J63">
        <v>88</v>
      </c>
      <c r="L63">
        <v>56</v>
      </c>
      <c r="M63">
        <v>44</v>
      </c>
      <c r="N63">
        <v>18</v>
      </c>
      <c r="O63">
        <v>82</v>
      </c>
      <c r="Q63">
        <f t="shared" si="0"/>
        <v>21.5</v>
      </c>
      <c r="R63">
        <f t="shared" si="1"/>
        <v>8.5</v>
      </c>
      <c r="S63">
        <f t="shared" si="2"/>
        <v>31</v>
      </c>
      <c r="T63">
        <f t="shared" si="3"/>
        <v>20.333333333333332</v>
      </c>
      <c r="AC63">
        <f t="shared" si="4"/>
        <v>8.5</v>
      </c>
      <c r="AD63">
        <f t="shared" si="5"/>
        <v>3.9444444444444438</v>
      </c>
    </row>
    <row r="64" spans="1:30" x14ac:dyDescent="0.3">
      <c r="B64">
        <v>82</v>
      </c>
      <c r="C64">
        <v>18</v>
      </c>
      <c r="D64">
        <v>28</v>
      </c>
      <c r="E64">
        <v>72</v>
      </c>
      <c r="G64">
        <v>93</v>
      </c>
      <c r="H64">
        <v>7</v>
      </c>
      <c r="I64">
        <v>19</v>
      </c>
      <c r="J64">
        <v>81</v>
      </c>
      <c r="L64">
        <v>82</v>
      </c>
      <c r="M64">
        <v>18</v>
      </c>
      <c r="N64">
        <v>23</v>
      </c>
      <c r="O64">
        <v>77</v>
      </c>
      <c r="Q64">
        <f t="shared" si="0"/>
        <v>23</v>
      </c>
      <c r="R64">
        <f t="shared" si="1"/>
        <v>13</v>
      </c>
      <c r="S64">
        <f t="shared" si="2"/>
        <v>20.5</v>
      </c>
      <c r="T64">
        <f t="shared" si="3"/>
        <v>18.833333333333332</v>
      </c>
      <c r="AC64">
        <f t="shared" si="4"/>
        <v>13</v>
      </c>
      <c r="AD64">
        <f t="shared" si="5"/>
        <v>1.944444444444444</v>
      </c>
    </row>
    <row r="66" spans="1:31" x14ac:dyDescent="0.3">
      <c r="A66" t="s">
        <v>42</v>
      </c>
    </row>
    <row r="67" spans="1:31" x14ac:dyDescent="0.3">
      <c r="B67">
        <v>77</v>
      </c>
      <c r="C67">
        <v>23</v>
      </c>
      <c r="D67">
        <v>25</v>
      </c>
      <c r="E67">
        <v>75</v>
      </c>
      <c r="G67">
        <v>96</v>
      </c>
      <c r="H67">
        <v>4</v>
      </c>
      <c r="I67">
        <v>16</v>
      </c>
      <c r="J67">
        <v>84</v>
      </c>
      <c r="L67">
        <v>88</v>
      </c>
      <c r="M67">
        <v>12</v>
      </c>
      <c r="N67">
        <v>26</v>
      </c>
      <c r="O67">
        <v>74</v>
      </c>
      <c r="Q67">
        <f t="shared" si="0"/>
        <v>24</v>
      </c>
      <c r="R67">
        <f t="shared" si="1"/>
        <v>10</v>
      </c>
      <c r="S67">
        <f t="shared" si="2"/>
        <v>19</v>
      </c>
      <c r="T67">
        <f t="shared" si="3"/>
        <v>17.666666666666668</v>
      </c>
      <c r="AA67">
        <f>AVERAGE(T67:T76)</f>
        <v>16.31666666666667</v>
      </c>
      <c r="AC67">
        <f t="shared" si="4"/>
        <v>10</v>
      </c>
      <c r="AD67">
        <f t="shared" si="5"/>
        <v>2.5555555555555558</v>
      </c>
      <c r="AE67">
        <f>AVERAGE(AD67:AD76)</f>
        <v>1.8222222222222222</v>
      </c>
    </row>
    <row r="68" spans="1:31" x14ac:dyDescent="0.3">
      <c r="B68">
        <v>90</v>
      </c>
      <c r="C68">
        <v>10</v>
      </c>
      <c r="D68">
        <v>20</v>
      </c>
      <c r="E68">
        <v>80</v>
      </c>
      <c r="G68">
        <v>97</v>
      </c>
      <c r="H68">
        <v>3</v>
      </c>
      <c r="I68">
        <v>25</v>
      </c>
      <c r="J68">
        <v>75</v>
      </c>
      <c r="L68">
        <v>87</v>
      </c>
      <c r="M68">
        <v>13</v>
      </c>
      <c r="N68">
        <v>26</v>
      </c>
      <c r="O68">
        <v>74</v>
      </c>
      <c r="Q68">
        <f t="shared" ref="Q68:Q95" si="6">AVERAGE(C68:D68)</f>
        <v>15</v>
      </c>
      <c r="R68">
        <f t="shared" ref="R68:R95" si="7">AVERAGE(H68:I68)</f>
        <v>14</v>
      </c>
      <c r="S68">
        <f t="shared" ref="S68:S95" si="8">AVERAGE(M68:N68)</f>
        <v>19.5</v>
      </c>
      <c r="T68">
        <f t="shared" ref="T68:T95" si="9">AVERAGE(Q68:S68)</f>
        <v>16.166666666666668</v>
      </c>
      <c r="AC68">
        <f t="shared" ref="AC68:AC95" si="10">MIN(Q68:S68)</f>
        <v>14</v>
      </c>
      <c r="AD68">
        <f t="shared" ref="AD68:AD95" si="11">(1/3)*(T68-AC68)</f>
        <v>0.72222222222222254</v>
      </c>
    </row>
    <row r="69" spans="1:31" x14ac:dyDescent="0.3">
      <c r="B69">
        <v>84</v>
      </c>
      <c r="C69">
        <v>16</v>
      </c>
      <c r="D69">
        <v>13</v>
      </c>
      <c r="E69">
        <v>87</v>
      </c>
      <c r="G69">
        <v>98</v>
      </c>
      <c r="H69">
        <v>2</v>
      </c>
      <c r="I69">
        <v>17</v>
      </c>
      <c r="J69">
        <v>83</v>
      </c>
      <c r="L69">
        <v>93</v>
      </c>
      <c r="M69">
        <v>7</v>
      </c>
      <c r="N69">
        <v>36</v>
      </c>
      <c r="O69">
        <v>64</v>
      </c>
      <c r="Q69">
        <f t="shared" si="6"/>
        <v>14.5</v>
      </c>
      <c r="R69">
        <f t="shared" si="7"/>
        <v>9.5</v>
      </c>
      <c r="S69">
        <f t="shared" si="8"/>
        <v>21.5</v>
      </c>
      <c r="T69">
        <f t="shared" si="9"/>
        <v>15.166666666666666</v>
      </c>
      <c r="AC69">
        <f t="shared" si="10"/>
        <v>9.5</v>
      </c>
      <c r="AD69">
        <f t="shared" si="11"/>
        <v>1.8888888888888886</v>
      </c>
    </row>
    <row r="70" spans="1:31" x14ac:dyDescent="0.3">
      <c r="B70">
        <v>81</v>
      </c>
      <c r="C70">
        <v>19</v>
      </c>
      <c r="D70">
        <v>22</v>
      </c>
      <c r="E70">
        <v>78</v>
      </c>
      <c r="G70">
        <v>93</v>
      </c>
      <c r="H70">
        <v>7</v>
      </c>
      <c r="I70">
        <v>20</v>
      </c>
      <c r="J70">
        <v>80</v>
      </c>
      <c r="L70">
        <v>85</v>
      </c>
      <c r="M70">
        <v>15</v>
      </c>
      <c r="N70">
        <v>25</v>
      </c>
      <c r="O70">
        <v>75</v>
      </c>
      <c r="Q70">
        <f t="shared" si="6"/>
        <v>20.5</v>
      </c>
      <c r="R70">
        <f t="shared" si="7"/>
        <v>13.5</v>
      </c>
      <c r="S70">
        <f t="shared" si="8"/>
        <v>20</v>
      </c>
      <c r="T70">
        <f t="shared" si="9"/>
        <v>18</v>
      </c>
      <c r="AC70">
        <f t="shared" si="10"/>
        <v>13.5</v>
      </c>
      <c r="AD70">
        <f t="shared" si="11"/>
        <v>1.5</v>
      </c>
    </row>
    <row r="71" spans="1:31" x14ac:dyDescent="0.3">
      <c r="B71">
        <v>82</v>
      </c>
      <c r="C71">
        <v>18</v>
      </c>
      <c r="D71">
        <v>7</v>
      </c>
      <c r="E71">
        <v>93</v>
      </c>
      <c r="G71">
        <v>95</v>
      </c>
      <c r="H71">
        <v>5</v>
      </c>
      <c r="I71">
        <v>16</v>
      </c>
      <c r="J71">
        <v>84</v>
      </c>
      <c r="L71">
        <v>77</v>
      </c>
      <c r="M71">
        <v>23</v>
      </c>
      <c r="N71">
        <v>18</v>
      </c>
      <c r="O71">
        <v>82</v>
      </c>
      <c r="Q71">
        <f t="shared" si="6"/>
        <v>12.5</v>
      </c>
      <c r="R71">
        <f t="shared" si="7"/>
        <v>10.5</v>
      </c>
      <c r="S71">
        <f t="shared" si="8"/>
        <v>20.5</v>
      </c>
      <c r="T71">
        <f t="shared" si="9"/>
        <v>14.5</v>
      </c>
      <c r="AC71">
        <f t="shared" si="10"/>
        <v>10.5</v>
      </c>
      <c r="AD71">
        <f t="shared" si="11"/>
        <v>1.3333333333333333</v>
      </c>
    </row>
    <row r="72" spans="1:31" x14ac:dyDescent="0.3">
      <c r="B72">
        <v>85</v>
      </c>
      <c r="C72">
        <v>15</v>
      </c>
      <c r="D72">
        <v>20</v>
      </c>
      <c r="E72">
        <v>80</v>
      </c>
      <c r="G72">
        <v>93</v>
      </c>
      <c r="H72">
        <v>7</v>
      </c>
      <c r="I72">
        <v>21</v>
      </c>
      <c r="J72">
        <v>79</v>
      </c>
      <c r="L72">
        <v>85</v>
      </c>
      <c r="M72">
        <v>15</v>
      </c>
      <c r="N72">
        <v>35</v>
      </c>
      <c r="O72">
        <v>65</v>
      </c>
      <c r="Q72">
        <f t="shared" si="6"/>
        <v>17.5</v>
      </c>
      <c r="R72">
        <f t="shared" si="7"/>
        <v>14</v>
      </c>
      <c r="S72">
        <f t="shared" si="8"/>
        <v>25</v>
      </c>
      <c r="T72">
        <f t="shared" si="9"/>
        <v>18.833333333333332</v>
      </c>
      <c r="AC72">
        <f t="shared" si="10"/>
        <v>14</v>
      </c>
      <c r="AD72">
        <f t="shared" si="11"/>
        <v>1.6111111111111107</v>
      </c>
    </row>
    <row r="73" spans="1:31" x14ac:dyDescent="0.3">
      <c r="B73">
        <v>78</v>
      </c>
      <c r="C73">
        <v>22</v>
      </c>
      <c r="D73">
        <v>10</v>
      </c>
      <c r="E73">
        <v>90</v>
      </c>
      <c r="G73">
        <v>94</v>
      </c>
      <c r="H73">
        <v>6</v>
      </c>
      <c r="I73">
        <v>13</v>
      </c>
      <c r="J73">
        <v>87</v>
      </c>
      <c r="L73">
        <v>90</v>
      </c>
      <c r="M73">
        <v>10</v>
      </c>
      <c r="N73">
        <v>41</v>
      </c>
      <c r="O73">
        <v>59</v>
      </c>
      <c r="Q73">
        <f t="shared" si="6"/>
        <v>16</v>
      </c>
      <c r="R73">
        <f t="shared" si="7"/>
        <v>9.5</v>
      </c>
      <c r="S73">
        <f t="shared" si="8"/>
        <v>25.5</v>
      </c>
      <c r="T73">
        <f t="shared" si="9"/>
        <v>17</v>
      </c>
      <c r="AC73">
        <f t="shared" si="10"/>
        <v>9.5</v>
      </c>
      <c r="AD73">
        <f t="shared" si="11"/>
        <v>2.5</v>
      </c>
    </row>
    <row r="74" spans="1:31" x14ac:dyDescent="0.3">
      <c r="B74">
        <v>79</v>
      </c>
      <c r="C74">
        <v>21</v>
      </c>
      <c r="D74">
        <v>15</v>
      </c>
      <c r="E74">
        <v>85</v>
      </c>
      <c r="G74">
        <v>97</v>
      </c>
      <c r="H74">
        <v>3</v>
      </c>
      <c r="I74">
        <v>16</v>
      </c>
      <c r="J74">
        <v>84</v>
      </c>
      <c r="L74">
        <v>83</v>
      </c>
      <c r="M74">
        <v>17</v>
      </c>
      <c r="N74">
        <v>28</v>
      </c>
      <c r="O74">
        <v>72</v>
      </c>
      <c r="Q74">
        <f t="shared" si="6"/>
        <v>18</v>
      </c>
      <c r="R74">
        <f t="shared" si="7"/>
        <v>9.5</v>
      </c>
      <c r="S74">
        <f t="shared" si="8"/>
        <v>22.5</v>
      </c>
      <c r="T74">
        <f t="shared" si="9"/>
        <v>16.666666666666668</v>
      </c>
      <c r="AC74">
        <f t="shared" si="10"/>
        <v>9.5</v>
      </c>
      <c r="AD74">
        <f t="shared" si="11"/>
        <v>2.3888888888888893</v>
      </c>
    </row>
    <row r="75" spans="1:31" x14ac:dyDescent="0.3">
      <c r="B75">
        <v>87</v>
      </c>
      <c r="C75">
        <v>13</v>
      </c>
      <c r="D75">
        <v>12</v>
      </c>
      <c r="E75">
        <v>88</v>
      </c>
      <c r="G75">
        <v>93</v>
      </c>
      <c r="H75">
        <v>7</v>
      </c>
      <c r="I75">
        <v>12</v>
      </c>
      <c r="J75">
        <v>88</v>
      </c>
      <c r="L75">
        <v>89</v>
      </c>
      <c r="M75">
        <v>11</v>
      </c>
      <c r="N75">
        <v>31</v>
      </c>
      <c r="O75">
        <v>69</v>
      </c>
      <c r="Q75">
        <f t="shared" si="6"/>
        <v>12.5</v>
      </c>
      <c r="R75">
        <f t="shared" si="7"/>
        <v>9.5</v>
      </c>
      <c r="S75">
        <f t="shared" si="8"/>
        <v>21</v>
      </c>
      <c r="T75">
        <f t="shared" si="9"/>
        <v>14.333333333333334</v>
      </c>
      <c r="AC75">
        <f t="shared" si="10"/>
        <v>9.5</v>
      </c>
      <c r="AD75">
        <f t="shared" si="11"/>
        <v>1.6111111111111112</v>
      </c>
    </row>
    <row r="76" spans="1:31" x14ac:dyDescent="0.3">
      <c r="B76">
        <v>85</v>
      </c>
      <c r="C76">
        <v>15</v>
      </c>
      <c r="D76">
        <v>11</v>
      </c>
      <c r="E76">
        <v>89</v>
      </c>
      <c r="G76">
        <v>93</v>
      </c>
      <c r="H76">
        <v>7</v>
      </c>
      <c r="I76">
        <v>10</v>
      </c>
      <c r="J76">
        <v>90</v>
      </c>
      <c r="L76">
        <v>84</v>
      </c>
      <c r="M76">
        <v>16</v>
      </c>
      <c r="N76">
        <v>30</v>
      </c>
      <c r="O76">
        <v>70</v>
      </c>
      <c r="Q76">
        <f t="shared" si="6"/>
        <v>13</v>
      </c>
      <c r="R76">
        <f t="shared" si="7"/>
        <v>8.5</v>
      </c>
      <c r="S76">
        <f t="shared" si="8"/>
        <v>23</v>
      </c>
      <c r="T76">
        <f t="shared" si="9"/>
        <v>14.833333333333334</v>
      </c>
      <c r="AC76">
        <f t="shared" si="10"/>
        <v>8.5</v>
      </c>
      <c r="AD76">
        <f t="shared" si="11"/>
        <v>2.1111111111111112</v>
      </c>
    </row>
    <row r="78" spans="1:31" x14ac:dyDescent="0.3">
      <c r="A78" t="s">
        <v>43</v>
      </c>
    </row>
    <row r="79" spans="1:31" x14ac:dyDescent="0.3">
      <c r="B79">
        <v>79</v>
      </c>
      <c r="C79">
        <v>21</v>
      </c>
      <c r="D79">
        <v>9</v>
      </c>
      <c r="E79">
        <v>91</v>
      </c>
      <c r="G79">
        <v>93</v>
      </c>
      <c r="H79">
        <v>7</v>
      </c>
      <c r="I79">
        <v>10</v>
      </c>
      <c r="J79">
        <v>90</v>
      </c>
      <c r="L79">
        <v>85</v>
      </c>
      <c r="M79">
        <v>15</v>
      </c>
      <c r="N79">
        <v>18</v>
      </c>
      <c r="O79">
        <v>82</v>
      </c>
      <c r="Q79">
        <f t="shared" si="6"/>
        <v>15</v>
      </c>
      <c r="R79">
        <f t="shared" si="7"/>
        <v>8.5</v>
      </c>
      <c r="S79">
        <f t="shared" si="8"/>
        <v>16.5</v>
      </c>
      <c r="T79">
        <f t="shared" si="9"/>
        <v>13.333333333333334</v>
      </c>
      <c r="AA79">
        <f>AVERAGE(T79:T85)</f>
        <v>16.404761904761905</v>
      </c>
      <c r="AC79">
        <f t="shared" si="10"/>
        <v>8.5</v>
      </c>
      <c r="AD79">
        <f t="shared" si="11"/>
        <v>1.6111111111111112</v>
      </c>
    </row>
    <row r="80" spans="1:31" x14ac:dyDescent="0.3">
      <c r="B80">
        <v>86</v>
      </c>
      <c r="C80">
        <v>14</v>
      </c>
      <c r="D80">
        <v>14</v>
      </c>
      <c r="E80">
        <v>86</v>
      </c>
      <c r="G80">
        <v>97</v>
      </c>
      <c r="H80">
        <v>3</v>
      </c>
      <c r="I80">
        <v>11</v>
      </c>
      <c r="J80">
        <v>89</v>
      </c>
      <c r="L80">
        <v>79</v>
      </c>
      <c r="M80">
        <v>21</v>
      </c>
      <c r="N80">
        <v>27</v>
      </c>
      <c r="O80">
        <v>73</v>
      </c>
      <c r="Q80">
        <f t="shared" si="6"/>
        <v>14</v>
      </c>
      <c r="R80">
        <f t="shared" si="7"/>
        <v>7</v>
      </c>
      <c r="S80">
        <f t="shared" si="8"/>
        <v>24</v>
      </c>
      <c r="T80">
        <f t="shared" si="9"/>
        <v>15</v>
      </c>
      <c r="AC80">
        <f t="shared" si="10"/>
        <v>7</v>
      </c>
      <c r="AD80">
        <f t="shared" si="11"/>
        <v>2.6666666666666665</v>
      </c>
    </row>
    <row r="81" spans="1:30" x14ac:dyDescent="0.3">
      <c r="B81">
        <v>82</v>
      </c>
      <c r="C81">
        <v>18</v>
      </c>
      <c r="D81">
        <v>18</v>
      </c>
      <c r="E81">
        <v>82</v>
      </c>
      <c r="G81">
        <v>93</v>
      </c>
      <c r="H81">
        <v>7</v>
      </c>
      <c r="I81">
        <v>16</v>
      </c>
      <c r="J81">
        <v>84</v>
      </c>
      <c r="L81">
        <v>88</v>
      </c>
      <c r="M81">
        <v>12</v>
      </c>
      <c r="N81">
        <v>48</v>
      </c>
      <c r="O81">
        <v>52</v>
      </c>
      <c r="Q81">
        <f t="shared" si="6"/>
        <v>18</v>
      </c>
      <c r="R81">
        <f t="shared" si="7"/>
        <v>11.5</v>
      </c>
      <c r="S81">
        <f t="shared" si="8"/>
        <v>30</v>
      </c>
      <c r="T81">
        <f t="shared" si="9"/>
        <v>19.833333333333332</v>
      </c>
      <c r="AC81">
        <f t="shared" si="10"/>
        <v>11.5</v>
      </c>
      <c r="AD81">
        <f t="shared" si="11"/>
        <v>2.7777777777777772</v>
      </c>
    </row>
    <row r="82" spans="1:30" x14ac:dyDescent="0.3">
      <c r="B82">
        <v>90</v>
      </c>
      <c r="C82">
        <v>10</v>
      </c>
      <c r="D82">
        <v>13</v>
      </c>
      <c r="E82">
        <v>87</v>
      </c>
      <c r="G82">
        <v>90</v>
      </c>
      <c r="H82">
        <v>10</v>
      </c>
      <c r="I82">
        <v>12</v>
      </c>
      <c r="J82">
        <v>88</v>
      </c>
      <c r="L82">
        <v>82</v>
      </c>
      <c r="M82">
        <v>18</v>
      </c>
      <c r="N82">
        <v>29</v>
      </c>
      <c r="O82">
        <v>71</v>
      </c>
      <c r="Q82">
        <f t="shared" si="6"/>
        <v>11.5</v>
      </c>
      <c r="R82">
        <f t="shared" si="7"/>
        <v>11</v>
      </c>
      <c r="S82">
        <f t="shared" si="8"/>
        <v>23.5</v>
      </c>
      <c r="T82">
        <f t="shared" si="9"/>
        <v>15.333333333333334</v>
      </c>
      <c r="AC82">
        <f t="shared" si="10"/>
        <v>11</v>
      </c>
      <c r="AD82">
        <f t="shared" si="11"/>
        <v>1.4444444444444446</v>
      </c>
    </row>
    <row r="83" spans="1:30" x14ac:dyDescent="0.3">
      <c r="B83">
        <v>84</v>
      </c>
      <c r="C83">
        <v>16</v>
      </c>
      <c r="D83">
        <v>17</v>
      </c>
      <c r="E83">
        <v>83</v>
      </c>
      <c r="G83">
        <v>95</v>
      </c>
      <c r="H83">
        <v>5</v>
      </c>
      <c r="I83">
        <v>15</v>
      </c>
      <c r="J83">
        <v>85</v>
      </c>
      <c r="L83">
        <v>68</v>
      </c>
      <c r="M83">
        <v>32</v>
      </c>
      <c r="N83">
        <v>26</v>
      </c>
      <c r="O83">
        <v>74</v>
      </c>
      <c r="Q83">
        <f t="shared" si="6"/>
        <v>16.5</v>
      </c>
      <c r="R83">
        <f t="shared" si="7"/>
        <v>10</v>
      </c>
      <c r="S83">
        <f t="shared" si="8"/>
        <v>29</v>
      </c>
      <c r="T83">
        <f t="shared" si="9"/>
        <v>18.5</v>
      </c>
      <c r="AC83">
        <f t="shared" si="10"/>
        <v>10</v>
      </c>
      <c r="AD83">
        <f t="shared" si="11"/>
        <v>2.833333333333333</v>
      </c>
    </row>
    <row r="84" spans="1:30" x14ac:dyDescent="0.3">
      <c r="B84">
        <v>76</v>
      </c>
      <c r="C84">
        <v>24</v>
      </c>
      <c r="D84">
        <v>7</v>
      </c>
      <c r="E84">
        <v>93</v>
      </c>
      <c r="G84">
        <v>96</v>
      </c>
      <c r="H84">
        <v>4</v>
      </c>
      <c r="I84">
        <v>20</v>
      </c>
      <c r="J84">
        <v>80</v>
      </c>
      <c r="L84">
        <v>94</v>
      </c>
      <c r="M84">
        <v>6</v>
      </c>
      <c r="N84">
        <v>41</v>
      </c>
      <c r="O84">
        <v>59</v>
      </c>
      <c r="Q84">
        <f t="shared" si="6"/>
        <v>15.5</v>
      </c>
      <c r="R84">
        <f t="shared" si="7"/>
        <v>12</v>
      </c>
      <c r="S84">
        <f t="shared" si="8"/>
        <v>23.5</v>
      </c>
      <c r="T84">
        <f t="shared" si="9"/>
        <v>17</v>
      </c>
      <c r="AC84">
        <f t="shared" si="10"/>
        <v>12</v>
      </c>
      <c r="AD84">
        <f t="shared" si="11"/>
        <v>1.6666666666666665</v>
      </c>
    </row>
    <row r="85" spans="1:30" x14ac:dyDescent="0.3">
      <c r="B85">
        <v>84</v>
      </c>
      <c r="C85">
        <v>16</v>
      </c>
      <c r="D85">
        <v>14</v>
      </c>
      <c r="E85">
        <v>86</v>
      </c>
      <c r="G85">
        <v>91</v>
      </c>
      <c r="H85">
        <v>9</v>
      </c>
      <c r="I85">
        <v>11</v>
      </c>
      <c r="J85">
        <v>89</v>
      </c>
      <c r="L85">
        <v>90</v>
      </c>
      <c r="M85">
        <v>10</v>
      </c>
      <c r="N85">
        <v>35</v>
      </c>
      <c r="O85">
        <v>65</v>
      </c>
      <c r="Q85">
        <f t="shared" si="6"/>
        <v>15</v>
      </c>
      <c r="R85">
        <f t="shared" si="7"/>
        <v>10</v>
      </c>
      <c r="S85">
        <f t="shared" si="8"/>
        <v>22.5</v>
      </c>
      <c r="T85">
        <f t="shared" si="9"/>
        <v>15.833333333333334</v>
      </c>
      <c r="AC85">
        <f t="shared" si="10"/>
        <v>10</v>
      </c>
      <c r="AD85">
        <f t="shared" si="11"/>
        <v>1.9444444444444446</v>
      </c>
    </row>
    <row r="87" spans="1:30" x14ac:dyDescent="0.3">
      <c r="A87" t="s">
        <v>44</v>
      </c>
    </row>
    <row r="88" spans="1:30" x14ac:dyDescent="0.3">
      <c r="B88">
        <v>80</v>
      </c>
      <c r="C88">
        <v>20</v>
      </c>
      <c r="D88">
        <v>11</v>
      </c>
      <c r="E88">
        <v>89</v>
      </c>
      <c r="G88">
        <v>95</v>
      </c>
      <c r="H88">
        <v>5</v>
      </c>
      <c r="I88">
        <v>11</v>
      </c>
      <c r="J88">
        <v>89</v>
      </c>
      <c r="L88">
        <v>67</v>
      </c>
      <c r="M88">
        <v>33</v>
      </c>
      <c r="N88">
        <v>25</v>
      </c>
      <c r="O88">
        <v>75</v>
      </c>
      <c r="Q88">
        <f t="shared" si="6"/>
        <v>15.5</v>
      </c>
      <c r="R88">
        <f t="shared" si="7"/>
        <v>8</v>
      </c>
      <c r="S88">
        <f t="shared" si="8"/>
        <v>29</v>
      </c>
      <c r="T88">
        <f t="shared" si="9"/>
        <v>17.5</v>
      </c>
      <c r="AA88">
        <f>AVERAGE(T88:T95)</f>
        <v>16.333333333333332</v>
      </c>
      <c r="AC88">
        <f t="shared" si="10"/>
        <v>8</v>
      </c>
      <c r="AD88">
        <f t="shared" si="11"/>
        <v>3.1666666666666665</v>
      </c>
    </row>
    <row r="89" spans="1:30" x14ac:dyDescent="0.3">
      <c r="B89">
        <v>83</v>
      </c>
      <c r="C89">
        <v>17</v>
      </c>
      <c r="D89">
        <v>17</v>
      </c>
      <c r="E89">
        <v>83</v>
      </c>
      <c r="G89">
        <v>98</v>
      </c>
      <c r="H89">
        <v>2</v>
      </c>
      <c r="I89">
        <v>13</v>
      </c>
      <c r="J89">
        <v>87</v>
      </c>
      <c r="L89">
        <v>77</v>
      </c>
      <c r="M89">
        <v>23</v>
      </c>
      <c r="N89">
        <v>27</v>
      </c>
      <c r="O89">
        <v>73</v>
      </c>
      <c r="Q89">
        <f t="shared" si="6"/>
        <v>17</v>
      </c>
      <c r="R89">
        <f t="shared" si="7"/>
        <v>7.5</v>
      </c>
      <c r="S89">
        <f t="shared" si="8"/>
        <v>25</v>
      </c>
      <c r="T89">
        <f t="shared" si="9"/>
        <v>16.5</v>
      </c>
      <c r="AC89">
        <f t="shared" si="10"/>
        <v>7.5</v>
      </c>
      <c r="AD89">
        <f t="shared" si="11"/>
        <v>3</v>
      </c>
    </row>
    <row r="90" spans="1:30" x14ac:dyDescent="0.3">
      <c r="B90">
        <v>78</v>
      </c>
      <c r="C90">
        <v>22</v>
      </c>
      <c r="D90">
        <v>9</v>
      </c>
      <c r="E90">
        <v>91</v>
      </c>
      <c r="G90">
        <v>93</v>
      </c>
      <c r="H90">
        <v>7</v>
      </c>
      <c r="I90">
        <v>14</v>
      </c>
      <c r="J90">
        <v>86</v>
      </c>
      <c r="L90">
        <v>84</v>
      </c>
      <c r="M90">
        <v>16</v>
      </c>
      <c r="N90">
        <v>25</v>
      </c>
      <c r="O90">
        <v>75</v>
      </c>
      <c r="Q90">
        <f t="shared" si="6"/>
        <v>15.5</v>
      </c>
      <c r="R90">
        <f t="shared" si="7"/>
        <v>10.5</v>
      </c>
      <c r="S90">
        <f t="shared" si="8"/>
        <v>20.5</v>
      </c>
      <c r="T90">
        <f t="shared" si="9"/>
        <v>15.5</v>
      </c>
      <c r="AC90">
        <f t="shared" si="10"/>
        <v>10.5</v>
      </c>
      <c r="AD90">
        <f t="shared" si="11"/>
        <v>1.6666666666666665</v>
      </c>
    </row>
    <row r="91" spans="1:30" x14ac:dyDescent="0.3">
      <c r="B91">
        <v>86</v>
      </c>
      <c r="C91">
        <v>14</v>
      </c>
      <c r="D91">
        <v>18</v>
      </c>
      <c r="E91">
        <v>82</v>
      </c>
      <c r="G91">
        <v>94</v>
      </c>
      <c r="H91">
        <v>6</v>
      </c>
      <c r="I91">
        <v>22</v>
      </c>
      <c r="J91">
        <v>78</v>
      </c>
      <c r="L91">
        <v>82</v>
      </c>
      <c r="M91">
        <v>18</v>
      </c>
      <c r="N91">
        <v>27</v>
      </c>
      <c r="O91">
        <v>73</v>
      </c>
      <c r="Q91">
        <f t="shared" si="6"/>
        <v>16</v>
      </c>
      <c r="R91">
        <f t="shared" si="7"/>
        <v>14</v>
      </c>
      <c r="S91">
        <f t="shared" si="8"/>
        <v>22.5</v>
      </c>
      <c r="T91">
        <f t="shared" si="9"/>
        <v>17.5</v>
      </c>
      <c r="AC91">
        <f t="shared" si="10"/>
        <v>14</v>
      </c>
      <c r="AD91">
        <f t="shared" si="11"/>
        <v>1.1666666666666665</v>
      </c>
    </row>
    <row r="92" spans="1:30" x14ac:dyDescent="0.3">
      <c r="B92">
        <v>86</v>
      </c>
      <c r="C92">
        <v>14</v>
      </c>
      <c r="D92">
        <v>17</v>
      </c>
      <c r="E92">
        <v>83</v>
      </c>
      <c r="G92">
        <v>96</v>
      </c>
      <c r="H92">
        <v>4</v>
      </c>
      <c r="I92">
        <v>15</v>
      </c>
      <c r="J92">
        <v>85</v>
      </c>
      <c r="L92">
        <v>89</v>
      </c>
      <c r="M92">
        <v>11</v>
      </c>
      <c r="N92">
        <v>44</v>
      </c>
      <c r="O92">
        <v>56</v>
      </c>
      <c r="Q92">
        <f t="shared" si="6"/>
        <v>15.5</v>
      </c>
      <c r="R92">
        <f t="shared" si="7"/>
        <v>9.5</v>
      </c>
      <c r="S92">
        <f t="shared" si="8"/>
        <v>27.5</v>
      </c>
      <c r="T92">
        <f t="shared" si="9"/>
        <v>17.5</v>
      </c>
      <c r="AC92">
        <f t="shared" si="10"/>
        <v>9.5</v>
      </c>
      <c r="AD92">
        <f t="shared" si="11"/>
        <v>2.6666666666666665</v>
      </c>
    </row>
    <row r="93" spans="1:30" x14ac:dyDescent="0.3">
      <c r="B93">
        <v>84</v>
      </c>
      <c r="C93">
        <v>16</v>
      </c>
      <c r="D93">
        <v>11</v>
      </c>
      <c r="E93">
        <v>89</v>
      </c>
      <c r="G93">
        <v>94</v>
      </c>
      <c r="H93">
        <v>6</v>
      </c>
      <c r="I93">
        <v>14</v>
      </c>
      <c r="J93">
        <v>86</v>
      </c>
      <c r="L93">
        <v>78</v>
      </c>
      <c r="M93">
        <v>22</v>
      </c>
      <c r="N93">
        <v>26</v>
      </c>
      <c r="O93">
        <v>74</v>
      </c>
      <c r="Q93">
        <f t="shared" si="6"/>
        <v>13.5</v>
      </c>
      <c r="R93">
        <f t="shared" si="7"/>
        <v>10</v>
      </c>
      <c r="S93">
        <f t="shared" si="8"/>
        <v>24</v>
      </c>
      <c r="T93">
        <f t="shared" si="9"/>
        <v>15.833333333333334</v>
      </c>
      <c r="AC93">
        <f t="shared" si="10"/>
        <v>10</v>
      </c>
      <c r="AD93">
        <f t="shared" si="11"/>
        <v>1.9444444444444446</v>
      </c>
    </row>
    <row r="94" spans="1:30" x14ac:dyDescent="0.3">
      <c r="B94">
        <v>81</v>
      </c>
      <c r="C94">
        <v>19</v>
      </c>
      <c r="D94">
        <v>12</v>
      </c>
      <c r="E94">
        <v>88</v>
      </c>
      <c r="G94">
        <v>95</v>
      </c>
      <c r="H94">
        <v>5</v>
      </c>
      <c r="I94">
        <v>13</v>
      </c>
      <c r="J94">
        <v>87</v>
      </c>
      <c r="L94">
        <v>84</v>
      </c>
      <c r="M94">
        <v>16</v>
      </c>
      <c r="N94">
        <v>20</v>
      </c>
      <c r="O94">
        <v>80</v>
      </c>
      <c r="Q94">
        <f t="shared" si="6"/>
        <v>15.5</v>
      </c>
      <c r="R94">
        <f t="shared" si="7"/>
        <v>9</v>
      </c>
      <c r="S94">
        <f t="shared" si="8"/>
        <v>18</v>
      </c>
      <c r="T94">
        <f t="shared" si="9"/>
        <v>14.166666666666666</v>
      </c>
      <c r="AC94">
        <f t="shared" si="10"/>
        <v>9</v>
      </c>
      <c r="AD94">
        <f t="shared" si="11"/>
        <v>1.7222222222222219</v>
      </c>
    </row>
    <row r="95" spans="1:30" x14ac:dyDescent="0.3">
      <c r="B95">
        <v>83</v>
      </c>
      <c r="C95">
        <v>17</v>
      </c>
      <c r="D95">
        <v>21</v>
      </c>
      <c r="E95">
        <v>79</v>
      </c>
      <c r="G95">
        <v>93</v>
      </c>
      <c r="H95">
        <v>7</v>
      </c>
      <c r="I95">
        <v>9</v>
      </c>
      <c r="J95">
        <v>91</v>
      </c>
      <c r="L95">
        <v>89</v>
      </c>
      <c r="M95">
        <v>11</v>
      </c>
      <c r="N95">
        <v>32</v>
      </c>
      <c r="O95">
        <v>68</v>
      </c>
      <c r="Q95">
        <f t="shared" si="6"/>
        <v>19</v>
      </c>
      <c r="R95">
        <f t="shared" si="7"/>
        <v>8</v>
      </c>
      <c r="S95">
        <f t="shared" si="8"/>
        <v>21.5</v>
      </c>
      <c r="T95">
        <f t="shared" si="9"/>
        <v>16.166666666666668</v>
      </c>
      <c r="AC95">
        <f t="shared" si="10"/>
        <v>8</v>
      </c>
      <c r="AD95">
        <f t="shared" si="11"/>
        <v>2.7222222222222223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876D0-4564-402E-A200-EB16E23E2469}">
  <dimension ref="A1:AO14"/>
  <sheetViews>
    <sheetView topLeftCell="K1" workbookViewId="0">
      <selection activeCell="K1" sqref="A1:XFD1"/>
    </sheetView>
  </sheetViews>
  <sheetFormatPr defaultRowHeight="14.4" x14ac:dyDescent="0.3"/>
  <sheetData>
    <row r="1" spans="1:41" x14ac:dyDescent="0.3">
      <c r="A1" t="s">
        <v>50</v>
      </c>
      <c r="Q1" t="s">
        <v>28</v>
      </c>
      <c r="R1" t="s">
        <v>29</v>
      </c>
      <c r="S1" t="s">
        <v>30</v>
      </c>
      <c r="T1" t="s">
        <v>31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32</v>
      </c>
      <c r="AD1" t="s">
        <v>33</v>
      </c>
      <c r="AE1" t="s">
        <v>26</v>
      </c>
      <c r="AF1" t="s">
        <v>27</v>
      </c>
      <c r="AI1" t="s">
        <v>34</v>
      </c>
      <c r="AJ1" t="s">
        <v>24</v>
      </c>
      <c r="AK1" t="s">
        <v>26</v>
      </c>
      <c r="AM1" t="s">
        <v>35</v>
      </c>
      <c r="AN1" t="s">
        <v>24</v>
      </c>
      <c r="AO1" t="s">
        <v>26</v>
      </c>
    </row>
    <row r="2" spans="1:41" x14ac:dyDescent="0.3">
      <c r="B2">
        <v>71</v>
      </c>
      <c r="C2">
        <v>29</v>
      </c>
      <c r="D2">
        <v>11</v>
      </c>
      <c r="E2">
        <v>89</v>
      </c>
      <c r="G2">
        <v>91</v>
      </c>
      <c r="H2">
        <v>9</v>
      </c>
      <c r="I2">
        <v>7</v>
      </c>
      <c r="J2">
        <v>93</v>
      </c>
      <c r="L2">
        <v>78</v>
      </c>
      <c r="M2">
        <v>22</v>
      </c>
      <c r="N2">
        <v>37</v>
      </c>
      <c r="O2">
        <v>63</v>
      </c>
      <c r="Q2">
        <f>AVERAGE(C2:D2)</f>
        <v>20</v>
      </c>
      <c r="R2">
        <f>AVERAGE(H2:I2)</f>
        <v>8</v>
      </c>
      <c r="S2">
        <f>AVERAGE(M2:N2)</f>
        <v>29.5</v>
      </c>
      <c r="T2">
        <f>AVERAGE(Q2:S2)</f>
        <v>19.166666666666668</v>
      </c>
      <c r="U2">
        <f>AVERAGE(Q2:Q14)</f>
        <v>18.384615384615383</v>
      </c>
      <c r="V2">
        <f>_xlfn.STDEV.S(Q2:Q14)</f>
        <v>3.4287622047045256</v>
      </c>
      <c r="W2">
        <f>AVERAGE(R2:R14)</f>
        <v>10.461538461538462</v>
      </c>
      <c r="X2">
        <f>_xlfn.STDEV.S(R2:R14)</f>
        <v>2.8318246360307646</v>
      </c>
      <c r="Y2">
        <f>AVERAGE(S2:S14)</f>
        <v>24.923076923076923</v>
      </c>
      <c r="Z2">
        <f>_xlfn.STDEV.S(S2:S14)</f>
        <v>4.3581635746710745</v>
      </c>
      <c r="AA2">
        <f>AVERAGE(T2:T14)</f>
        <v>17.923076923076927</v>
      </c>
      <c r="AB2">
        <f>_xlfn.STDEV.S(T2:T14)</f>
        <v>1.6081611661093969</v>
      </c>
      <c r="AC2">
        <f>MIN(Q2:S2)</f>
        <v>8</v>
      </c>
      <c r="AD2">
        <f>(1/3)*(T2-AC2)</f>
        <v>3.7222222222222223</v>
      </c>
      <c r="AE2">
        <f>AVERAGE(AD2:AD14)</f>
        <v>2.589743589743589</v>
      </c>
      <c r="AF2">
        <f>_xlfn.STDEV.S(AD2:AD14)</f>
        <v>0.78125494616984537</v>
      </c>
    </row>
    <row r="3" spans="1:41" x14ac:dyDescent="0.3">
      <c r="B3">
        <v>78</v>
      </c>
      <c r="C3">
        <v>22</v>
      </c>
      <c r="D3">
        <v>6</v>
      </c>
      <c r="E3">
        <v>94</v>
      </c>
      <c r="G3">
        <v>93</v>
      </c>
      <c r="H3">
        <v>7</v>
      </c>
      <c r="I3">
        <v>10</v>
      </c>
      <c r="J3">
        <v>90</v>
      </c>
      <c r="L3">
        <v>83</v>
      </c>
      <c r="M3">
        <v>17</v>
      </c>
      <c r="N3">
        <v>38</v>
      </c>
      <c r="O3">
        <v>62</v>
      </c>
      <c r="Q3">
        <f t="shared" ref="Q3:Q14" si="0">AVERAGE(C3:D3)</f>
        <v>14</v>
      </c>
      <c r="R3">
        <f t="shared" ref="R3:R14" si="1">AVERAGE(H3:I3)</f>
        <v>8.5</v>
      </c>
      <c r="S3">
        <f t="shared" ref="S3:S14" si="2">AVERAGE(M3:N3)</f>
        <v>27.5</v>
      </c>
      <c r="T3">
        <f t="shared" ref="T3:T14" si="3">AVERAGE(Q3:S3)</f>
        <v>16.666666666666668</v>
      </c>
      <c r="AC3">
        <f t="shared" ref="AC3:AC14" si="4">MIN(Q3:S3)</f>
        <v>8.5</v>
      </c>
      <c r="AD3">
        <f t="shared" ref="AD3:AD14" si="5">(1/3)*(T3-AC3)</f>
        <v>2.7222222222222223</v>
      </c>
    </row>
    <row r="4" spans="1:41" x14ac:dyDescent="0.3">
      <c r="B4">
        <v>68</v>
      </c>
      <c r="C4">
        <v>32</v>
      </c>
      <c r="D4">
        <v>7</v>
      </c>
      <c r="E4">
        <v>93</v>
      </c>
      <c r="G4">
        <v>91</v>
      </c>
      <c r="H4">
        <v>9</v>
      </c>
      <c r="I4">
        <v>9</v>
      </c>
      <c r="J4">
        <v>91</v>
      </c>
      <c r="L4">
        <v>77</v>
      </c>
      <c r="M4">
        <v>23</v>
      </c>
      <c r="N4">
        <v>20</v>
      </c>
      <c r="O4">
        <v>80</v>
      </c>
      <c r="Q4">
        <f t="shared" si="0"/>
        <v>19.5</v>
      </c>
      <c r="R4">
        <f t="shared" si="1"/>
        <v>9</v>
      </c>
      <c r="S4">
        <f t="shared" si="2"/>
        <v>21.5</v>
      </c>
      <c r="T4">
        <f t="shared" si="3"/>
        <v>16.666666666666668</v>
      </c>
      <c r="AC4">
        <f t="shared" si="4"/>
        <v>9</v>
      </c>
      <c r="AD4">
        <f t="shared" si="5"/>
        <v>2.5555555555555558</v>
      </c>
    </row>
    <row r="5" spans="1:41" x14ac:dyDescent="0.3">
      <c r="B5">
        <v>69</v>
      </c>
      <c r="C5">
        <v>31</v>
      </c>
      <c r="D5">
        <v>6</v>
      </c>
      <c r="E5">
        <v>94</v>
      </c>
      <c r="G5">
        <v>97</v>
      </c>
      <c r="H5">
        <v>3</v>
      </c>
      <c r="I5">
        <v>11</v>
      </c>
      <c r="J5">
        <v>89</v>
      </c>
      <c r="L5">
        <v>70</v>
      </c>
      <c r="M5">
        <v>30</v>
      </c>
      <c r="N5">
        <v>21</v>
      </c>
      <c r="O5">
        <v>79</v>
      </c>
      <c r="Q5">
        <f t="shared" si="0"/>
        <v>18.5</v>
      </c>
      <c r="R5">
        <f t="shared" si="1"/>
        <v>7</v>
      </c>
      <c r="S5">
        <f t="shared" si="2"/>
        <v>25.5</v>
      </c>
      <c r="T5">
        <f t="shared" si="3"/>
        <v>17</v>
      </c>
      <c r="AC5">
        <f t="shared" si="4"/>
        <v>7</v>
      </c>
      <c r="AD5">
        <f t="shared" si="5"/>
        <v>3.333333333333333</v>
      </c>
    </row>
    <row r="6" spans="1:41" x14ac:dyDescent="0.3">
      <c r="B6">
        <v>63</v>
      </c>
      <c r="C6">
        <v>37</v>
      </c>
      <c r="D6">
        <v>9</v>
      </c>
      <c r="E6">
        <v>91</v>
      </c>
      <c r="G6">
        <v>95</v>
      </c>
      <c r="H6">
        <v>5</v>
      </c>
      <c r="I6">
        <v>15</v>
      </c>
      <c r="J6">
        <v>85</v>
      </c>
      <c r="L6">
        <v>78</v>
      </c>
      <c r="M6">
        <v>22</v>
      </c>
      <c r="N6">
        <v>27</v>
      </c>
      <c r="O6">
        <v>73</v>
      </c>
      <c r="Q6">
        <f t="shared" si="0"/>
        <v>23</v>
      </c>
      <c r="R6">
        <f t="shared" si="1"/>
        <v>10</v>
      </c>
      <c r="S6">
        <f t="shared" si="2"/>
        <v>24.5</v>
      </c>
      <c r="T6">
        <f t="shared" si="3"/>
        <v>19.166666666666668</v>
      </c>
      <c r="AC6">
        <f t="shared" si="4"/>
        <v>10</v>
      </c>
      <c r="AD6">
        <f t="shared" si="5"/>
        <v>3.0555555555555558</v>
      </c>
    </row>
    <row r="7" spans="1:41" x14ac:dyDescent="0.3">
      <c r="B7">
        <v>76</v>
      </c>
      <c r="C7">
        <v>24</v>
      </c>
      <c r="D7">
        <v>18</v>
      </c>
      <c r="E7">
        <v>82</v>
      </c>
      <c r="G7">
        <v>89</v>
      </c>
      <c r="H7">
        <v>11</v>
      </c>
      <c r="I7">
        <v>11</v>
      </c>
      <c r="J7">
        <v>89</v>
      </c>
      <c r="L7">
        <v>83</v>
      </c>
      <c r="M7">
        <v>17</v>
      </c>
      <c r="N7">
        <v>26</v>
      </c>
      <c r="O7">
        <v>74</v>
      </c>
      <c r="Q7">
        <f t="shared" si="0"/>
        <v>21</v>
      </c>
      <c r="R7">
        <f t="shared" si="1"/>
        <v>11</v>
      </c>
      <c r="S7">
        <f t="shared" si="2"/>
        <v>21.5</v>
      </c>
      <c r="T7">
        <f t="shared" si="3"/>
        <v>17.833333333333332</v>
      </c>
      <c r="AC7">
        <f t="shared" si="4"/>
        <v>11</v>
      </c>
      <c r="AD7">
        <f t="shared" si="5"/>
        <v>2.2777777777777772</v>
      </c>
    </row>
    <row r="8" spans="1:41" x14ac:dyDescent="0.3">
      <c r="B8">
        <v>78</v>
      </c>
      <c r="C8">
        <v>22</v>
      </c>
      <c r="D8">
        <v>8</v>
      </c>
      <c r="E8">
        <v>92</v>
      </c>
      <c r="G8">
        <v>89</v>
      </c>
      <c r="H8">
        <v>11</v>
      </c>
      <c r="I8">
        <v>8</v>
      </c>
      <c r="J8">
        <v>92</v>
      </c>
      <c r="L8">
        <v>70</v>
      </c>
      <c r="M8">
        <v>30</v>
      </c>
      <c r="N8">
        <v>17</v>
      </c>
      <c r="O8">
        <v>83</v>
      </c>
      <c r="Q8">
        <f t="shared" si="0"/>
        <v>15</v>
      </c>
      <c r="R8">
        <f t="shared" si="1"/>
        <v>9.5</v>
      </c>
      <c r="S8">
        <f t="shared" si="2"/>
        <v>23.5</v>
      </c>
      <c r="T8">
        <f t="shared" si="3"/>
        <v>16</v>
      </c>
      <c r="AC8">
        <f t="shared" si="4"/>
        <v>9.5</v>
      </c>
      <c r="AD8">
        <f t="shared" si="5"/>
        <v>2.1666666666666665</v>
      </c>
    </row>
    <row r="9" spans="1:41" x14ac:dyDescent="0.3">
      <c r="B9">
        <v>72</v>
      </c>
      <c r="C9">
        <v>28</v>
      </c>
      <c r="D9">
        <v>23</v>
      </c>
      <c r="E9">
        <v>77</v>
      </c>
      <c r="G9">
        <v>87</v>
      </c>
      <c r="H9">
        <v>13</v>
      </c>
      <c r="I9">
        <v>8</v>
      </c>
      <c r="J9">
        <v>92</v>
      </c>
      <c r="L9">
        <v>80</v>
      </c>
      <c r="M9">
        <v>20</v>
      </c>
      <c r="N9">
        <v>33</v>
      </c>
      <c r="O9">
        <v>67</v>
      </c>
      <c r="Q9">
        <f t="shared" si="0"/>
        <v>25.5</v>
      </c>
      <c r="R9">
        <f t="shared" si="1"/>
        <v>10.5</v>
      </c>
      <c r="S9">
        <f t="shared" si="2"/>
        <v>26.5</v>
      </c>
      <c r="T9">
        <f t="shared" si="3"/>
        <v>20.833333333333332</v>
      </c>
      <c r="AC9">
        <f t="shared" si="4"/>
        <v>10.5</v>
      </c>
      <c r="AD9">
        <f t="shared" si="5"/>
        <v>3.4444444444444438</v>
      </c>
    </row>
    <row r="10" spans="1:41" x14ac:dyDescent="0.3">
      <c r="B10">
        <v>72</v>
      </c>
      <c r="C10">
        <v>28</v>
      </c>
      <c r="D10">
        <v>9</v>
      </c>
      <c r="E10">
        <v>91</v>
      </c>
      <c r="G10">
        <v>89</v>
      </c>
      <c r="H10">
        <v>11</v>
      </c>
      <c r="I10">
        <v>10</v>
      </c>
      <c r="J10">
        <v>90</v>
      </c>
      <c r="L10">
        <v>60</v>
      </c>
      <c r="M10">
        <v>40</v>
      </c>
      <c r="N10">
        <v>21</v>
      </c>
      <c r="O10">
        <v>79</v>
      </c>
      <c r="Q10">
        <f t="shared" si="0"/>
        <v>18.5</v>
      </c>
      <c r="R10">
        <f t="shared" si="1"/>
        <v>10.5</v>
      </c>
      <c r="S10">
        <f t="shared" si="2"/>
        <v>30.5</v>
      </c>
      <c r="T10">
        <f t="shared" si="3"/>
        <v>19.833333333333332</v>
      </c>
      <c r="AC10">
        <f t="shared" si="4"/>
        <v>10.5</v>
      </c>
      <c r="AD10">
        <f t="shared" si="5"/>
        <v>3.1111111111111107</v>
      </c>
    </row>
    <row r="11" spans="1:41" x14ac:dyDescent="0.3">
      <c r="B11">
        <v>76</v>
      </c>
      <c r="C11">
        <v>24</v>
      </c>
      <c r="D11">
        <v>9</v>
      </c>
      <c r="E11">
        <v>91</v>
      </c>
      <c r="G11">
        <v>88</v>
      </c>
      <c r="H11">
        <v>12</v>
      </c>
      <c r="I11">
        <v>17</v>
      </c>
      <c r="J11">
        <v>83</v>
      </c>
      <c r="L11">
        <v>69</v>
      </c>
      <c r="M11">
        <v>31</v>
      </c>
      <c r="N11">
        <v>24</v>
      </c>
      <c r="O11">
        <v>76</v>
      </c>
      <c r="Q11">
        <f t="shared" si="0"/>
        <v>16.5</v>
      </c>
      <c r="R11">
        <f t="shared" si="1"/>
        <v>14.5</v>
      </c>
      <c r="S11">
        <f t="shared" si="2"/>
        <v>27.5</v>
      </c>
      <c r="T11">
        <f t="shared" si="3"/>
        <v>19.5</v>
      </c>
      <c r="AC11">
        <f t="shared" si="4"/>
        <v>14.5</v>
      </c>
      <c r="AD11">
        <f t="shared" si="5"/>
        <v>1.6666666666666665</v>
      </c>
    </row>
    <row r="12" spans="1:41" x14ac:dyDescent="0.3">
      <c r="B12">
        <v>84</v>
      </c>
      <c r="C12">
        <v>16</v>
      </c>
      <c r="D12">
        <v>15</v>
      </c>
      <c r="E12">
        <v>85</v>
      </c>
      <c r="G12">
        <v>87</v>
      </c>
      <c r="H12">
        <v>13</v>
      </c>
      <c r="I12">
        <v>10</v>
      </c>
      <c r="J12">
        <v>90</v>
      </c>
      <c r="L12">
        <v>69</v>
      </c>
      <c r="M12">
        <v>31</v>
      </c>
      <c r="N12">
        <v>22</v>
      </c>
      <c r="O12">
        <v>78</v>
      </c>
      <c r="Q12">
        <f t="shared" si="0"/>
        <v>15.5</v>
      </c>
      <c r="R12">
        <f t="shared" si="1"/>
        <v>11.5</v>
      </c>
      <c r="S12">
        <f t="shared" si="2"/>
        <v>26.5</v>
      </c>
      <c r="T12">
        <f t="shared" si="3"/>
        <v>17.833333333333332</v>
      </c>
      <c r="AC12">
        <f t="shared" si="4"/>
        <v>11.5</v>
      </c>
      <c r="AD12">
        <f t="shared" si="5"/>
        <v>2.1111111111111107</v>
      </c>
    </row>
    <row r="13" spans="1:41" x14ac:dyDescent="0.3">
      <c r="B13">
        <v>78</v>
      </c>
      <c r="C13">
        <v>22</v>
      </c>
      <c r="D13">
        <v>7</v>
      </c>
      <c r="E13">
        <v>93</v>
      </c>
      <c r="G13">
        <v>92</v>
      </c>
      <c r="H13">
        <v>8</v>
      </c>
      <c r="I13">
        <v>9</v>
      </c>
      <c r="J13">
        <v>91</v>
      </c>
      <c r="L13">
        <v>79</v>
      </c>
      <c r="M13">
        <v>21</v>
      </c>
      <c r="N13">
        <v>31</v>
      </c>
      <c r="O13">
        <v>69</v>
      </c>
      <c r="Q13">
        <f t="shared" si="0"/>
        <v>14.5</v>
      </c>
      <c r="R13">
        <f t="shared" si="1"/>
        <v>8.5</v>
      </c>
      <c r="S13">
        <f t="shared" si="2"/>
        <v>26</v>
      </c>
      <c r="T13">
        <f t="shared" si="3"/>
        <v>16.333333333333332</v>
      </c>
      <c r="AC13">
        <f t="shared" si="4"/>
        <v>8.5</v>
      </c>
      <c r="AD13">
        <f t="shared" si="5"/>
        <v>2.6111111111111107</v>
      </c>
    </row>
    <row r="14" spans="1:41" x14ac:dyDescent="0.3">
      <c r="B14">
        <v>77</v>
      </c>
      <c r="C14">
        <v>23</v>
      </c>
      <c r="D14">
        <v>12</v>
      </c>
      <c r="E14">
        <v>88</v>
      </c>
      <c r="G14">
        <v>82</v>
      </c>
      <c r="H14">
        <v>18</v>
      </c>
      <c r="I14">
        <v>17</v>
      </c>
      <c r="J14">
        <v>83</v>
      </c>
      <c r="L14">
        <v>84</v>
      </c>
      <c r="M14">
        <v>16</v>
      </c>
      <c r="N14">
        <v>11</v>
      </c>
      <c r="O14">
        <v>89</v>
      </c>
      <c r="Q14">
        <f t="shared" si="0"/>
        <v>17.5</v>
      </c>
      <c r="R14">
        <f t="shared" si="1"/>
        <v>17.5</v>
      </c>
      <c r="S14">
        <f t="shared" si="2"/>
        <v>13.5</v>
      </c>
      <c r="T14">
        <f t="shared" si="3"/>
        <v>16.166666666666668</v>
      </c>
      <c r="AC14">
        <f t="shared" si="4"/>
        <v>13.5</v>
      </c>
      <c r="AD14">
        <f t="shared" si="5"/>
        <v>0.88888888888888928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3EEAB-9A09-4D03-ABAF-82E02DD175BF}">
  <dimension ref="A1:AO6"/>
  <sheetViews>
    <sheetView topLeftCell="J1" workbookViewId="0">
      <selection activeCell="J1" sqref="A1:XFD1"/>
    </sheetView>
  </sheetViews>
  <sheetFormatPr defaultRowHeight="14.4" x14ac:dyDescent="0.3"/>
  <sheetData>
    <row r="1" spans="1:41" x14ac:dyDescent="0.3">
      <c r="A1" t="s">
        <v>50</v>
      </c>
      <c r="Q1" t="s">
        <v>28</v>
      </c>
      <c r="R1" t="s">
        <v>29</v>
      </c>
      <c r="S1" t="s">
        <v>30</v>
      </c>
      <c r="T1" t="s">
        <v>31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32</v>
      </c>
      <c r="AD1" t="s">
        <v>33</v>
      </c>
      <c r="AE1" t="s">
        <v>26</v>
      </c>
      <c r="AF1" t="s">
        <v>27</v>
      </c>
      <c r="AI1" t="s">
        <v>34</v>
      </c>
      <c r="AJ1" t="s">
        <v>24</v>
      </c>
      <c r="AK1" t="s">
        <v>26</v>
      </c>
      <c r="AM1" t="s">
        <v>35</v>
      </c>
      <c r="AN1" t="s">
        <v>24</v>
      </c>
      <c r="AO1" t="s">
        <v>26</v>
      </c>
    </row>
    <row r="2" spans="1:41" x14ac:dyDescent="0.3">
      <c r="B2">
        <v>81</v>
      </c>
      <c r="C2">
        <v>19</v>
      </c>
      <c r="D2">
        <v>18</v>
      </c>
      <c r="E2">
        <v>82</v>
      </c>
      <c r="G2">
        <v>98</v>
      </c>
      <c r="H2">
        <v>2</v>
      </c>
      <c r="I2">
        <v>16</v>
      </c>
      <c r="J2">
        <v>84</v>
      </c>
      <c r="L2">
        <v>92</v>
      </c>
      <c r="M2">
        <v>8</v>
      </c>
      <c r="N2">
        <v>48</v>
      </c>
      <c r="O2">
        <v>52</v>
      </c>
      <c r="Q2">
        <f>AVERAGE(C2:D2)</f>
        <v>18.5</v>
      </c>
      <c r="R2">
        <f>AVERAGE(H2:I2)</f>
        <v>9</v>
      </c>
      <c r="S2">
        <f>AVERAGE(M2:N2)</f>
        <v>28</v>
      </c>
      <c r="T2">
        <f>AVERAGE(Q2:S2)</f>
        <v>18.5</v>
      </c>
      <c r="AC2">
        <f>MIN(Q2:S2)</f>
        <v>9</v>
      </c>
      <c r="AD2">
        <f>(1/3)*(T2-AC2)</f>
        <v>3.1666666666666665</v>
      </c>
    </row>
    <row r="4" spans="1:41" x14ac:dyDescent="0.3">
      <c r="A4" t="s">
        <v>51</v>
      </c>
    </row>
    <row r="5" spans="1:41" x14ac:dyDescent="0.3">
      <c r="B5">
        <v>81</v>
      </c>
      <c r="C5">
        <v>19</v>
      </c>
      <c r="D5">
        <v>18</v>
      </c>
      <c r="E5">
        <v>82</v>
      </c>
      <c r="G5">
        <v>98</v>
      </c>
      <c r="H5">
        <v>2</v>
      </c>
      <c r="I5">
        <v>16</v>
      </c>
      <c r="J5">
        <v>84</v>
      </c>
      <c r="L5">
        <v>92</v>
      </c>
      <c r="M5">
        <v>8</v>
      </c>
      <c r="N5">
        <v>48</v>
      </c>
      <c r="O5">
        <v>52</v>
      </c>
      <c r="Q5">
        <f t="shared" ref="Q3:Q6" si="0">AVERAGE(C5:D5)</f>
        <v>18.5</v>
      </c>
      <c r="R5">
        <f t="shared" ref="R3:R6" si="1">AVERAGE(H5:I5)</f>
        <v>9</v>
      </c>
      <c r="S5">
        <f t="shared" ref="S3:S6" si="2">AVERAGE(M5:N5)</f>
        <v>28</v>
      </c>
      <c r="T5">
        <f t="shared" ref="T3:T6" si="3">AVERAGE(Q5:S5)</f>
        <v>18.5</v>
      </c>
      <c r="U5">
        <f>AVERAGE(Q5:Q6)</f>
        <v>18</v>
      </c>
      <c r="V5">
        <f>_xlfn.STDEV.S(Q5:Q6)</f>
        <v>0.70710678118654757</v>
      </c>
      <c r="W5">
        <f>AVERAGE(R5:R6)</f>
        <v>11.75</v>
      </c>
      <c r="X5">
        <f>_xlfn.STDEV.S(R5:R6)</f>
        <v>3.8890872965260113</v>
      </c>
      <c r="Y5">
        <f>AVERAGE(T5:T6)</f>
        <v>19.833333333333336</v>
      </c>
      <c r="Z5">
        <f>_xlfn.STDEV.S(T5:T6)</f>
        <v>1.8856180831641276</v>
      </c>
      <c r="AA5">
        <f>AVERAGE(T5:T6)</f>
        <v>19.833333333333336</v>
      </c>
      <c r="AB5">
        <f>_xlfn.STDEV.S(T5:T6)</f>
        <v>1.8856180831641276</v>
      </c>
      <c r="AC5">
        <f t="shared" ref="AC3:AC6" si="4">MIN(Q5:S5)</f>
        <v>9</v>
      </c>
      <c r="AD5">
        <f t="shared" ref="AD3:AD6" si="5">(1/3)*(T5-AC5)</f>
        <v>3.1666666666666665</v>
      </c>
      <c r="AE5">
        <f>AVERAGE(AD5:AD6)</f>
        <v>2.6944444444444446</v>
      </c>
      <c r="AF5">
        <f>_xlfn.STDEV.S(AD5:AD6)</f>
        <v>0.66782307112062667</v>
      </c>
    </row>
    <row r="6" spans="1:41" x14ac:dyDescent="0.3">
      <c r="B6">
        <v>88</v>
      </c>
      <c r="C6">
        <v>12</v>
      </c>
      <c r="D6">
        <v>23</v>
      </c>
      <c r="E6">
        <v>77</v>
      </c>
      <c r="G6">
        <v>89</v>
      </c>
      <c r="H6">
        <v>11</v>
      </c>
      <c r="I6">
        <v>18</v>
      </c>
      <c r="J6">
        <v>82</v>
      </c>
      <c r="L6">
        <v>72</v>
      </c>
      <c r="M6">
        <v>28</v>
      </c>
      <c r="N6">
        <v>35</v>
      </c>
      <c r="O6">
        <v>65</v>
      </c>
      <c r="Q6">
        <f t="shared" si="0"/>
        <v>17.5</v>
      </c>
      <c r="R6">
        <f t="shared" si="1"/>
        <v>14.5</v>
      </c>
      <c r="S6">
        <f t="shared" si="2"/>
        <v>31.5</v>
      </c>
      <c r="T6">
        <f t="shared" si="3"/>
        <v>21.166666666666668</v>
      </c>
      <c r="AC6">
        <f t="shared" si="4"/>
        <v>14.5</v>
      </c>
      <c r="AD6">
        <f t="shared" si="5"/>
        <v>2.2222222222222223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9FB0B-48D3-4E71-A4E3-92216BB1AC95}">
  <dimension ref="A1:AO79"/>
  <sheetViews>
    <sheetView topLeftCell="O1" workbookViewId="0">
      <selection activeCell="O1" sqref="A1:XFD1"/>
    </sheetView>
  </sheetViews>
  <sheetFormatPr defaultRowHeight="14.4" x14ac:dyDescent="0.3"/>
  <sheetData>
    <row r="1" spans="1:41" x14ac:dyDescent="0.3">
      <c r="A1" t="s">
        <v>11</v>
      </c>
      <c r="Q1" t="s">
        <v>28</v>
      </c>
      <c r="R1" t="s">
        <v>29</v>
      </c>
      <c r="S1" t="s">
        <v>30</v>
      </c>
      <c r="T1" t="s">
        <v>31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32</v>
      </c>
      <c r="AD1" t="s">
        <v>33</v>
      </c>
      <c r="AE1" t="s">
        <v>26</v>
      </c>
      <c r="AF1" t="s">
        <v>27</v>
      </c>
      <c r="AI1" t="s">
        <v>34</v>
      </c>
      <c r="AJ1" t="s">
        <v>24</v>
      </c>
      <c r="AK1" t="s">
        <v>26</v>
      </c>
      <c r="AM1" t="s">
        <v>35</v>
      </c>
      <c r="AN1" t="s">
        <v>24</v>
      </c>
      <c r="AO1" t="s">
        <v>26</v>
      </c>
    </row>
    <row r="2" spans="1:41" x14ac:dyDescent="0.3">
      <c r="B2">
        <v>58</v>
      </c>
      <c r="C2">
        <v>42</v>
      </c>
      <c r="D2">
        <v>8</v>
      </c>
      <c r="E2">
        <v>92</v>
      </c>
      <c r="G2">
        <v>78</v>
      </c>
      <c r="H2">
        <v>22</v>
      </c>
      <c r="I2">
        <v>5</v>
      </c>
      <c r="J2">
        <v>95</v>
      </c>
      <c r="L2">
        <v>77</v>
      </c>
      <c r="M2">
        <v>23</v>
      </c>
      <c r="N2">
        <v>49</v>
      </c>
      <c r="O2">
        <v>51</v>
      </c>
      <c r="Q2">
        <f>AVERAGE(C2:D2)</f>
        <v>25</v>
      </c>
      <c r="R2">
        <f>AVERAGE(H2:I2)</f>
        <v>13.5</v>
      </c>
      <c r="S2">
        <f>AVERAGE(M2:N2)</f>
        <v>36</v>
      </c>
      <c r="T2">
        <f>AVERAGE(Q2:S2)</f>
        <v>24.833333333333332</v>
      </c>
      <c r="U2">
        <f>AVERAGE(Q2:Q15)</f>
        <v>21.857142857142858</v>
      </c>
      <c r="V2">
        <f>_xlfn.STDEV.S(Q2:Q15)</f>
        <v>3.313309822220365</v>
      </c>
      <c r="W2">
        <f>AVERAGE(R2:R15)</f>
        <v>16.142857142857142</v>
      </c>
      <c r="X2">
        <f>_xlfn.STDEV.S(R2:R15)</f>
        <v>2.9445423532918786</v>
      </c>
      <c r="Y2">
        <f>AVERAGE(S2:S15)</f>
        <v>30.714285714285715</v>
      </c>
      <c r="Z2">
        <f>_xlfn.STDEV.S(S2:S15)</f>
        <v>4.0416784675633037</v>
      </c>
      <c r="AA2">
        <f>AVERAGE(T2:T15)</f>
        <v>22.904761904761905</v>
      </c>
      <c r="AB2">
        <f>_xlfn.STDEV.S(T2:T15)</f>
        <v>2.2165985007007727</v>
      </c>
      <c r="AC2">
        <f>MIN(Q2:S2)</f>
        <v>13.5</v>
      </c>
      <c r="AD2">
        <f>(1/3)*(T2-AC2)</f>
        <v>3.7777777777777772</v>
      </c>
      <c r="AE2">
        <f>AVERAGE(AD2:AD15)</f>
        <v>2.2539682539682535</v>
      </c>
      <c r="AF2">
        <f>_xlfn.STDEV.S(AD2:AD15)</f>
        <v>0.72229266116537316</v>
      </c>
    </row>
    <row r="3" spans="1:41" x14ac:dyDescent="0.3">
      <c r="B3">
        <v>67</v>
      </c>
      <c r="C3">
        <v>33</v>
      </c>
      <c r="D3">
        <v>10</v>
      </c>
      <c r="E3">
        <v>90</v>
      </c>
      <c r="G3">
        <v>81</v>
      </c>
      <c r="H3">
        <v>19</v>
      </c>
      <c r="I3">
        <v>7</v>
      </c>
      <c r="J3">
        <v>93</v>
      </c>
      <c r="L3">
        <v>72</v>
      </c>
      <c r="M3">
        <v>28</v>
      </c>
      <c r="N3">
        <v>24</v>
      </c>
      <c r="O3">
        <v>76</v>
      </c>
      <c r="Q3">
        <f t="shared" ref="Q3:Q66" si="0">AVERAGE(C3:D3)</f>
        <v>21.5</v>
      </c>
      <c r="R3">
        <f t="shared" ref="R3:R66" si="1">AVERAGE(H3:I3)</f>
        <v>13</v>
      </c>
      <c r="S3">
        <f t="shared" ref="S3:S66" si="2">AVERAGE(M3:N3)</f>
        <v>26</v>
      </c>
      <c r="T3">
        <f t="shared" ref="T3:T66" si="3">AVERAGE(Q3:S3)</f>
        <v>20.166666666666668</v>
      </c>
      <c r="AC3">
        <f t="shared" ref="AC3:AC66" si="4">MIN(Q3:S3)</f>
        <v>13</v>
      </c>
      <c r="AD3">
        <f t="shared" ref="AD3:AD66" si="5">(1/3)*(T3-AC3)</f>
        <v>2.3888888888888893</v>
      </c>
    </row>
    <row r="4" spans="1:41" x14ac:dyDescent="0.3">
      <c r="B4">
        <v>74</v>
      </c>
      <c r="C4">
        <v>26</v>
      </c>
      <c r="D4">
        <v>8</v>
      </c>
      <c r="E4">
        <v>92</v>
      </c>
      <c r="G4">
        <v>82</v>
      </c>
      <c r="H4">
        <v>18</v>
      </c>
      <c r="I4">
        <v>9</v>
      </c>
      <c r="J4">
        <v>91</v>
      </c>
      <c r="L4">
        <v>70</v>
      </c>
      <c r="M4">
        <v>30</v>
      </c>
      <c r="N4">
        <v>32</v>
      </c>
      <c r="O4">
        <v>68</v>
      </c>
      <c r="Q4">
        <f t="shared" si="0"/>
        <v>17</v>
      </c>
      <c r="R4">
        <f t="shared" si="1"/>
        <v>13.5</v>
      </c>
      <c r="S4">
        <f t="shared" si="2"/>
        <v>31</v>
      </c>
      <c r="T4">
        <f t="shared" si="3"/>
        <v>20.5</v>
      </c>
      <c r="AC4">
        <f t="shared" si="4"/>
        <v>13.5</v>
      </c>
      <c r="AD4">
        <f t="shared" si="5"/>
        <v>2.333333333333333</v>
      </c>
    </row>
    <row r="5" spans="1:41" x14ac:dyDescent="0.3">
      <c r="B5">
        <v>52</v>
      </c>
      <c r="C5">
        <v>48</v>
      </c>
      <c r="D5">
        <v>4</v>
      </c>
      <c r="E5">
        <v>96</v>
      </c>
      <c r="G5">
        <v>61</v>
      </c>
      <c r="H5">
        <v>39</v>
      </c>
      <c r="I5">
        <v>4</v>
      </c>
      <c r="J5">
        <v>96</v>
      </c>
      <c r="L5">
        <v>73</v>
      </c>
      <c r="M5">
        <v>27</v>
      </c>
      <c r="N5">
        <v>34</v>
      </c>
      <c r="O5">
        <v>66</v>
      </c>
      <c r="Q5">
        <f t="shared" si="0"/>
        <v>26</v>
      </c>
      <c r="R5">
        <f t="shared" si="1"/>
        <v>21.5</v>
      </c>
      <c r="S5">
        <f t="shared" si="2"/>
        <v>30.5</v>
      </c>
      <c r="T5">
        <f t="shared" si="3"/>
        <v>26</v>
      </c>
      <c r="AC5">
        <f t="shared" si="4"/>
        <v>21.5</v>
      </c>
      <c r="AD5">
        <f t="shared" si="5"/>
        <v>1.5</v>
      </c>
    </row>
    <row r="6" spans="1:41" x14ac:dyDescent="0.3">
      <c r="B6">
        <v>58</v>
      </c>
      <c r="C6">
        <v>42</v>
      </c>
      <c r="D6">
        <v>7</v>
      </c>
      <c r="E6">
        <v>93</v>
      </c>
      <c r="G6">
        <v>70</v>
      </c>
      <c r="H6">
        <v>30</v>
      </c>
      <c r="I6">
        <v>3</v>
      </c>
      <c r="J6">
        <v>97</v>
      </c>
      <c r="L6">
        <v>81</v>
      </c>
      <c r="M6">
        <v>19</v>
      </c>
      <c r="N6">
        <v>25</v>
      </c>
      <c r="O6">
        <v>75</v>
      </c>
      <c r="Q6">
        <f t="shared" si="0"/>
        <v>24.5</v>
      </c>
      <c r="R6">
        <f t="shared" si="1"/>
        <v>16.5</v>
      </c>
      <c r="S6">
        <f t="shared" si="2"/>
        <v>22</v>
      </c>
      <c r="T6">
        <f t="shared" si="3"/>
        <v>21</v>
      </c>
      <c r="AC6">
        <f t="shared" si="4"/>
        <v>16.5</v>
      </c>
      <c r="AD6">
        <f t="shared" si="5"/>
        <v>1.5</v>
      </c>
    </row>
    <row r="7" spans="1:41" x14ac:dyDescent="0.3">
      <c r="B7">
        <v>67</v>
      </c>
      <c r="C7">
        <v>33</v>
      </c>
      <c r="D7">
        <v>10</v>
      </c>
      <c r="E7">
        <v>90</v>
      </c>
      <c r="G7">
        <v>81</v>
      </c>
      <c r="H7">
        <v>19</v>
      </c>
      <c r="I7">
        <v>6</v>
      </c>
      <c r="J7">
        <v>94</v>
      </c>
      <c r="L7">
        <v>77</v>
      </c>
      <c r="M7">
        <v>23</v>
      </c>
      <c r="N7">
        <v>44</v>
      </c>
      <c r="O7">
        <v>56</v>
      </c>
      <c r="Q7">
        <f t="shared" si="0"/>
        <v>21.5</v>
      </c>
      <c r="R7">
        <f t="shared" si="1"/>
        <v>12.5</v>
      </c>
      <c r="S7">
        <f t="shared" si="2"/>
        <v>33.5</v>
      </c>
      <c r="T7">
        <f t="shared" si="3"/>
        <v>22.5</v>
      </c>
      <c r="AC7">
        <f t="shared" si="4"/>
        <v>12.5</v>
      </c>
      <c r="AD7">
        <f t="shared" si="5"/>
        <v>3.333333333333333</v>
      </c>
    </row>
    <row r="8" spans="1:41" x14ac:dyDescent="0.3">
      <c r="B8">
        <v>59</v>
      </c>
      <c r="C8">
        <v>41</v>
      </c>
      <c r="D8">
        <v>10</v>
      </c>
      <c r="E8">
        <v>90</v>
      </c>
      <c r="G8">
        <v>66</v>
      </c>
      <c r="H8">
        <v>34</v>
      </c>
      <c r="I8">
        <v>3</v>
      </c>
      <c r="J8">
        <v>97</v>
      </c>
      <c r="L8">
        <v>79</v>
      </c>
      <c r="M8">
        <v>21</v>
      </c>
      <c r="N8">
        <v>33</v>
      </c>
      <c r="O8">
        <v>67</v>
      </c>
      <c r="Q8">
        <f t="shared" si="0"/>
        <v>25.5</v>
      </c>
      <c r="R8">
        <f t="shared" si="1"/>
        <v>18.5</v>
      </c>
      <c r="S8">
        <f t="shared" si="2"/>
        <v>27</v>
      </c>
      <c r="T8">
        <f t="shared" si="3"/>
        <v>23.666666666666668</v>
      </c>
      <c r="AC8">
        <f t="shared" si="4"/>
        <v>18.5</v>
      </c>
      <c r="AD8">
        <f t="shared" si="5"/>
        <v>1.7222222222222225</v>
      </c>
    </row>
    <row r="9" spans="1:41" x14ac:dyDescent="0.3">
      <c r="B9">
        <v>72</v>
      </c>
      <c r="C9">
        <v>28</v>
      </c>
      <c r="D9">
        <v>14</v>
      </c>
      <c r="E9">
        <v>86</v>
      </c>
      <c r="G9">
        <v>73</v>
      </c>
      <c r="H9">
        <v>27</v>
      </c>
      <c r="I9">
        <v>8</v>
      </c>
      <c r="J9">
        <v>92</v>
      </c>
      <c r="L9">
        <v>67</v>
      </c>
      <c r="M9">
        <v>33</v>
      </c>
      <c r="N9">
        <v>30</v>
      </c>
      <c r="O9">
        <v>70</v>
      </c>
      <c r="Q9">
        <f t="shared" si="0"/>
        <v>21</v>
      </c>
      <c r="R9">
        <f t="shared" si="1"/>
        <v>17.5</v>
      </c>
      <c r="S9">
        <f t="shared" si="2"/>
        <v>31.5</v>
      </c>
      <c r="T9">
        <f t="shared" si="3"/>
        <v>23.333333333333332</v>
      </c>
      <c r="AC9">
        <f t="shared" si="4"/>
        <v>17.5</v>
      </c>
      <c r="AD9">
        <f t="shared" si="5"/>
        <v>1.944444444444444</v>
      </c>
    </row>
    <row r="10" spans="1:41" x14ac:dyDescent="0.3">
      <c r="B10">
        <v>74</v>
      </c>
      <c r="C10">
        <v>26</v>
      </c>
      <c r="D10">
        <v>9</v>
      </c>
      <c r="E10">
        <v>91</v>
      </c>
      <c r="G10">
        <v>72</v>
      </c>
      <c r="H10">
        <v>28</v>
      </c>
      <c r="I10">
        <v>7</v>
      </c>
      <c r="J10">
        <v>93</v>
      </c>
      <c r="L10">
        <v>72</v>
      </c>
      <c r="M10">
        <v>28</v>
      </c>
      <c r="N10">
        <v>41</v>
      </c>
      <c r="O10">
        <v>59</v>
      </c>
      <c r="Q10">
        <f t="shared" si="0"/>
        <v>17.5</v>
      </c>
      <c r="R10">
        <f t="shared" si="1"/>
        <v>17.5</v>
      </c>
      <c r="S10">
        <f t="shared" si="2"/>
        <v>34.5</v>
      </c>
      <c r="T10">
        <f t="shared" si="3"/>
        <v>23.166666666666668</v>
      </c>
      <c r="AC10">
        <f t="shared" si="4"/>
        <v>17.5</v>
      </c>
      <c r="AD10">
        <f t="shared" si="5"/>
        <v>1.8888888888888893</v>
      </c>
    </row>
    <row r="11" spans="1:41" x14ac:dyDescent="0.3">
      <c r="B11">
        <v>75</v>
      </c>
      <c r="C11">
        <v>25</v>
      </c>
      <c r="D11">
        <v>6</v>
      </c>
      <c r="E11">
        <v>94</v>
      </c>
      <c r="G11">
        <v>80</v>
      </c>
      <c r="H11">
        <v>20</v>
      </c>
      <c r="I11">
        <v>5</v>
      </c>
      <c r="J11">
        <v>95</v>
      </c>
      <c r="L11">
        <v>90</v>
      </c>
      <c r="M11">
        <v>10</v>
      </c>
      <c r="N11">
        <v>44</v>
      </c>
      <c r="O11">
        <v>56</v>
      </c>
      <c r="Q11">
        <f t="shared" si="0"/>
        <v>15.5</v>
      </c>
      <c r="R11">
        <f t="shared" si="1"/>
        <v>12.5</v>
      </c>
      <c r="S11">
        <f t="shared" si="2"/>
        <v>27</v>
      </c>
      <c r="T11">
        <f t="shared" si="3"/>
        <v>18.333333333333332</v>
      </c>
      <c r="AC11">
        <f t="shared" si="4"/>
        <v>12.5</v>
      </c>
      <c r="AD11">
        <f t="shared" si="5"/>
        <v>1.944444444444444</v>
      </c>
    </row>
    <row r="12" spans="1:41" x14ac:dyDescent="0.3">
      <c r="B12">
        <v>62</v>
      </c>
      <c r="C12">
        <v>38</v>
      </c>
      <c r="D12">
        <v>11</v>
      </c>
      <c r="E12">
        <v>89</v>
      </c>
      <c r="G12">
        <v>77</v>
      </c>
      <c r="H12">
        <v>23</v>
      </c>
      <c r="I12">
        <v>6</v>
      </c>
      <c r="J12">
        <v>94</v>
      </c>
      <c r="L12">
        <v>74</v>
      </c>
      <c r="M12">
        <v>26</v>
      </c>
      <c r="N12">
        <v>43</v>
      </c>
      <c r="O12">
        <v>57</v>
      </c>
      <c r="Q12">
        <f t="shared" si="0"/>
        <v>24.5</v>
      </c>
      <c r="R12">
        <f t="shared" si="1"/>
        <v>14.5</v>
      </c>
      <c r="S12">
        <f t="shared" si="2"/>
        <v>34.5</v>
      </c>
      <c r="T12">
        <f t="shared" si="3"/>
        <v>24.5</v>
      </c>
      <c r="AC12">
        <f t="shared" si="4"/>
        <v>14.5</v>
      </c>
      <c r="AD12">
        <f t="shared" si="5"/>
        <v>3.333333333333333</v>
      </c>
    </row>
    <row r="13" spans="1:41" x14ac:dyDescent="0.3">
      <c r="B13">
        <v>68</v>
      </c>
      <c r="C13">
        <v>32</v>
      </c>
      <c r="D13">
        <v>9</v>
      </c>
      <c r="E13">
        <v>91</v>
      </c>
      <c r="G13">
        <v>75</v>
      </c>
      <c r="H13">
        <v>25</v>
      </c>
      <c r="I13">
        <v>9</v>
      </c>
      <c r="J13">
        <v>91</v>
      </c>
      <c r="L13">
        <v>63</v>
      </c>
      <c r="M13">
        <v>37</v>
      </c>
      <c r="N13">
        <v>30</v>
      </c>
      <c r="O13">
        <v>70</v>
      </c>
      <c r="Q13">
        <f t="shared" si="0"/>
        <v>20.5</v>
      </c>
      <c r="R13">
        <f t="shared" si="1"/>
        <v>17</v>
      </c>
      <c r="S13">
        <f t="shared" si="2"/>
        <v>33.5</v>
      </c>
      <c r="T13">
        <f t="shared" si="3"/>
        <v>23.666666666666668</v>
      </c>
      <c r="AC13">
        <f t="shared" si="4"/>
        <v>17</v>
      </c>
      <c r="AD13">
        <f t="shared" si="5"/>
        <v>2.2222222222222223</v>
      </c>
    </row>
    <row r="14" spans="1:41" x14ac:dyDescent="0.3">
      <c r="B14">
        <v>66</v>
      </c>
      <c r="C14">
        <v>34</v>
      </c>
      <c r="D14">
        <v>12</v>
      </c>
      <c r="E14">
        <v>88</v>
      </c>
      <c r="G14">
        <v>70</v>
      </c>
      <c r="H14">
        <v>30</v>
      </c>
      <c r="I14">
        <v>5</v>
      </c>
      <c r="J14">
        <v>95</v>
      </c>
      <c r="L14">
        <v>65</v>
      </c>
      <c r="M14">
        <v>35</v>
      </c>
      <c r="N14">
        <v>23</v>
      </c>
      <c r="O14">
        <v>77</v>
      </c>
      <c r="Q14">
        <f t="shared" si="0"/>
        <v>23</v>
      </c>
      <c r="R14">
        <f t="shared" si="1"/>
        <v>17.5</v>
      </c>
      <c r="S14">
        <f t="shared" si="2"/>
        <v>29</v>
      </c>
      <c r="T14">
        <f t="shared" si="3"/>
        <v>23.166666666666668</v>
      </c>
      <c r="AC14">
        <f t="shared" si="4"/>
        <v>17.5</v>
      </c>
      <c r="AD14">
        <f t="shared" si="5"/>
        <v>1.8888888888888893</v>
      </c>
    </row>
    <row r="15" spans="1:41" x14ac:dyDescent="0.3">
      <c r="B15">
        <v>62</v>
      </c>
      <c r="C15">
        <v>38</v>
      </c>
      <c r="D15">
        <v>8</v>
      </c>
      <c r="E15">
        <v>92</v>
      </c>
      <c r="G15">
        <v>67</v>
      </c>
      <c r="H15">
        <v>33</v>
      </c>
      <c r="I15">
        <v>8</v>
      </c>
      <c r="J15">
        <v>92</v>
      </c>
      <c r="L15">
        <v>73</v>
      </c>
      <c r="M15">
        <v>27</v>
      </c>
      <c r="N15">
        <v>41</v>
      </c>
      <c r="O15">
        <v>59</v>
      </c>
      <c r="Q15">
        <f t="shared" si="0"/>
        <v>23</v>
      </c>
      <c r="R15">
        <f t="shared" si="1"/>
        <v>20.5</v>
      </c>
      <c r="S15">
        <f t="shared" si="2"/>
        <v>34</v>
      </c>
      <c r="T15">
        <f t="shared" si="3"/>
        <v>25.833333333333332</v>
      </c>
      <c r="AC15">
        <f t="shared" si="4"/>
        <v>20.5</v>
      </c>
      <c r="AD15">
        <f t="shared" si="5"/>
        <v>1.7777777777777772</v>
      </c>
    </row>
    <row r="17" spans="1:30" x14ac:dyDescent="0.3">
      <c r="A17" t="s">
        <v>9</v>
      </c>
    </row>
    <row r="18" spans="1:30" x14ac:dyDescent="0.3">
      <c r="B18">
        <v>56</v>
      </c>
      <c r="C18">
        <v>44</v>
      </c>
      <c r="D18">
        <v>8</v>
      </c>
      <c r="E18">
        <v>92</v>
      </c>
      <c r="G18">
        <v>71</v>
      </c>
      <c r="H18">
        <v>29</v>
      </c>
      <c r="I18">
        <v>3</v>
      </c>
      <c r="J18">
        <v>97</v>
      </c>
      <c r="L18">
        <v>83</v>
      </c>
      <c r="M18">
        <v>17</v>
      </c>
      <c r="N18">
        <v>49</v>
      </c>
      <c r="O18">
        <v>51</v>
      </c>
      <c r="Q18">
        <f t="shared" si="0"/>
        <v>26</v>
      </c>
      <c r="R18">
        <f t="shared" si="1"/>
        <v>16</v>
      </c>
      <c r="S18">
        <f t="shared" si="2"/>
        <v>33</v>
      </c>
      <c r="T18">
        <f t="shared" si="3"/>
        <v>25</v>
      </c>
      <c r="AA18">
        <f>AVERAGE(T18:T31)</f>
        <v>25.773809523809526</v>
      </c>
      <c r="AC18">
        <f t="shared" si="4"/>
        <v>16</v>
      </c>
      <c r="AD18">
        <f t="shared" si="5"/>
        <v>3</v>
      </c>
    </row>
    <row r="19" spans="1:30" x14ac:dyDescent="0.3">
      <c r="B19">
        <v>27</v>
      </c>
      <c r="C19">
        <v>73</v>
      </c>
      <c r="D19">
        <v>3</v>
      </c>
      <c r="E19">
        <v>97</v>
      </c>
      <c r="G19">
        <v>33</v>
      </c>
      <c r="H19">
        <v>67</v>
      </c>
      <c r="I19">
        <v>0</v>
      </c>
      <c r="J19">
        <v>100</v>
      </c>
      <c r="L19">
        <v>54</v>
      </c>
      <c r="M19">
        <v>46</v>
      </c>
      <c r="N19">
        <v>17</v>
      </c>
      <c r="O19">
        <v>83</v>
      </c>
      <c r="Q19">
        <f t="shared" si="0"/>
        <v>38</v>
      </c>
      <c r="R19">
        <f t="shared" si="1"/>
        <v>33.5</v>
      </c>
      <c r="S19">
        <f t="shared" si="2"/>
        <v>31.5</v>
      </c>
      <c r="T19">
        <f t="shared" si="3"/>
        <v>34.333333333333336</v>
      </c>
      <c r="AC19">
        <f t="shared" si="4"/>
        <v>31.5</v>
      </c>
      <c r="AD19">
        <f t="shared" si="5"/>
        <v>0.9444444444444452</v>
      </c>
    </row>
    <row r="20" spans="1:30" x14ac:dyDescent="0.3">
      <c r="B20">
        <v>57</v>
      </c>
      <c r="C20">
        <v>43</v>
      </c>
      <c r="D20">
        <v>17</v>
      </c>
      <c r="E20">
        <v>83</v>
      </c>
      <c r="G20">
        <v>73</v>
      </c>
      <c r="H20">
        <v>27</v>
      </c>
      <c r="I20">
        <v>8</v>
      </c>
      <c r="J20">
        <v>92</v>
      </c>
      <c r="L20">
        <v>72</v>
      </c>
      <c r="M20">
        <v>28</v>
      </c>
      <c r="N20">
        <v>37</v>
      </c>
      <c r="O20">
        <v>63</v>
      </c>
      <c r="Q20">
        <f t="shared" si="0"/>
        <v>30</v>
      </c>
      <c r="R20">
        <f t="shared" si="1"/>
        <v>17.5</v>
      </c>
      <c r="S20">
        <f t="shared" si="2"/>
        <v>32.5</v>
      </c>
      <c r="T20">
        <f t="shared" si="3"/>
        <v>26.666666666666668</v>
      </c>
      <c r="AC20">
        <f t="shared" si="4"/>
        <v>17.5</v>
      </c>
      <c r="AD20">
        <f t="shared" si="5"/>
        <v>3.0555555555555558</v>
      </c>
    </row>
    <row r="21" spans="1:30" x14ac:dyDescent="0.3">
      <c r="B21">
        <v>59</v>
      </c>
      <c r="C21">
        <v>41</v>
      </c>
      <c r="D21">
        <v>7</v>
      </c>
      <c r="E21">
        <v>93</v>
      </c>
      <c r="G21">
        <v>64</v>
      </c>
      <c r="H21">
        <v>36</v>
      </c>
      <c r="I21">
        <v>4</v>
      </c>
      <c r="J21">
        <v>96</v>
      </c>
      <c r="L21">
        <v>59</v>
      </c>
      <c r="M21">
        <v>41</v>
      </c>
      <c r="N21">
        <v>26</v>
      </c>
      <c r="O21">
        <v>74</v>
      </c>
      <c r="Q21">
        <f t="shared" si="0"/>
        <v>24</v>
      </c>
      <c r="R21">
        <f t="shared" si="1"/>
        <v>20</v>
      </c>
      <c r="S21">
        <f t="shared" si="2"/>
        <v>33.5</v>
      </c>
      <c r="T21">
        <f t="shared" si="3"/>
        <v>25.833333333333332</v>
      </c>
      <c r="AC21">
        <f t="shared" si="4"/>
        <v>20</v>
      </c>
      <c r="AD21">
        <f t="shared" si="5"/>
        <v>1.944444444444444</v>
      </c>
    </row>
    <row r="22" spans="1:30" x14ac:dyDescent="0.3">
      <c r="B22">
        <v>58</v>
      </c>
      <c r="C22">
        <v>42</v>
      </c>
      <c r="D22">
        <v>4</v>
      </c>
      <c r="E22">
        <v>96</v>
      </c>
      <c r="G22">
        <v>70</v>
      </c>
      <c r="H22">
        <v>30</v>
      </c>
      <c r="I22">
        <v>12</v>
      </c>
      <c r="J22">
        <v>88</v>
      </c>
      <c r="L22">
        <v>83</v>
      </c>
      <c r="M22">
        <v>17</v>
      </c>
      <c r="N22">
        <v>35</v>
      </c>
      <c r="O22">
        <v>65</v>
      </c>
      <c r="Q22">
        <f t="shared" si="0"/>
        <v>23</v>
      </c>
      <c r="R22">
        <f t="shared" si="1"/>
        <v>21</v>
      </c>
      <c r="S22">
        <f t="shared" si="2"/>
        <v>26</v>
      </c>
      <c r="T22">
        <f t="shared" si="3"/>
        <v>23.333333333333332</v>
      </c>
      <c r="AC22">
        <f t="shared" si="4"/>
        <v>21</v>
      </c>
      <c r="AD22">
        <f t="shared" si="5"/>
        <v>0.77777777777777735</v>
      </c>
    </row>
    <row r="23" spans="1:30" x14ac:dyDescent="0.3">
      <c r="B23">
        <v>68</v>
      </c>
      <c r="C23">
        <v>32</v>
      </c>
      <c r="D23">
        <v>9</v>
      </c>
      <c r="E23">
        <v>91</v>
      </c>
      <c r="G23">
        <v>72</v>
      </c>
      <c r="H23">
        <v>28</v>
      </c>
      <c r="I23">
        <v>6</v>
      </c>
      <c r="J23">
        <v>94</v>
      </c>
      <c r="L23">
        <v>79</v>
      </c>
      <c r="M23">
        <v>21</v>
      </c>
      <c r="N23">
        <v>37</v>
      </c>
      <c r="O23">
        <v>63</v>
      </c>
      <c r="Q23">
        <f t="shared" si="0"/>
        <v>20.5</v>
      </c>
      <c r="R23">
        <f t="shared" si="1"/>
        <v>17</v>
      </c>
      <c r="S23">
        <f t="shared" si="2"/>
        <v>29</v>
      </c>
      <c r="T23">
        <f t="shared" si="3"/>
        <v>22.166666666666668</v>
      </c>
      <c r="AC23">
        <f t="shared" si="4"/>
        <v>17</v>
      </c>
      <c r="AD23">
        <f t="shared" si="5"/>
        <v>1.7222222222222225</v>
      </c>
    </row>
    <row r="24" spans="1:30" x14ac:dyDescent="0.3">
      <c r="B24">
        <v>48</v>
      </c>
      <c r="C24">
        <v>52</v>
      </c>
      <c r="D24">
        <v>3</v>
      </c>
      <c r="E24">
        <v>97</v>
      </c>
      <c r="G24">
        <v>52</v>
      </c>
      <c r="H24">
        <v>48</v>
      </c>
      <c r="I24">
        <v>5</v>
      </c>
      <c r="J24">
        <v>95</v>
      </c>
      <c r="L24">
        <v>56</v>
      </c>
      <c r="M24">
        <v>44</v>
      </c>
      <c r="N24">
        <v>18</v>
      </c>
      <c r="O24">
        <v>82</v>
      </c>
      <c r="Q24">
        <f t="shared" si="0"/>
        <v>27.5</v>
      </c>
      <c r="R24">
        <f t="shared" si="1"/>
        <v>26.5</v>
      </c>
      <c r="S24">
        <f t="shared" si="2"/>
        <v>31</v>
      </c>
      <c r="T24">
        <f t="shared" si="3"/>
        <v>28.333333333333332</v>
      </c>
      <c r="AC24">
        <f t="shared" si="4"/>
        <v>26.5</v>
      </c>
      <c r="AD24">
        <f t="shared" si="5"/>
        <v>0.61111111111111072</v>
      </c>
    </row>
    <row r="25" spans="1:30" x14ac:dyDescent="0.3">
      <c r="B25">
        <v>61</v>
      </c>
      <c r="C25">
        <v>39</v>
      </c>
      <c r="D25">
        <v>12</v>
      </c>
      <c r="E25">
        <v>88</v>
      </c>
      <c r="G25">
        <v>67</v>
      </c>
      <c r="H25">
        <v>33</v>
      </c>
      <c r="I25">
        <v>4</v>
      </c>
      <c r="J25">
        <v>96</v>
      </c>
      <c r="L25">
        <v>72</v>
      </c>
      <c r="M25">
        <v>28</v>
      </c>
      <c r="N25">
        <v>38</v>
      </c>
      <c r="O25">
        <v>62</v>
      </c>
      <c r="Q25">
        <f t="shared" si="0"/>
        <v>25.5</v>
      </c>
      <c r="R25">
        <f t="shared" si="1"/>
        <v>18.5</v>
      </c>
      <c r="S25">
        <f t="shared" si="2"/>
        <v>33</v>
      </c>
      <c r="T25">
        <f t="shared" si="3"/>
        <v>25.666666666666668</v>
      </c>
      <c r="AC25">
        <f t="shared" si="4"/>
        <v>18.5</v>
      </c>
      <c r="AD25">
        <f t="shared" si="5"/>
        <v>2.3888888888888893</v>
      </c>
    </row>
    <row r="26" spans="1:30" x14ac:dyDescent="0.3">
      <c r="B26">
        <v>66</v>
      </c>
      <c r="C26">
        <v>34</v>
      </c>
      <c r="D26">
        <v>14</v>
      </c>
      <c r="E26">
        <v>86</v>
      </c>
      <c r="G26">
        <v>75</v>
      </c>
      <c r="H26">
        <v>25</v>
      </c>
      <c r="I26">
        <v>5</v>
      </c>
      <c r="J26">
        <v>95</v>
      </c>
      <c r="L26">
        <v>57</v>
      </c>
      <c r="M26">
        <v>43</v>
      </c>
      <c r="N26">
        <v>41</v>
      </c>
      <c r="O26">
        <v>59</v>
      </c>
      <c r="Q26">
        <f t="shared" si="0"/>
        <v>24</v>
      </c>
      <c r="R26">
        <f t="shared" si="1"/>
        <v>15</v>
      </c>
      <c r="S26">
        <f t="shared" si="2"/>
        <v>42</v>
      </c>
      <c r="T26">
        <f t="shared" si="3"/>
        <v>27</v>
      </c>
      <c r="AC26">
        <f t="shared" si="4"/>
        <v>15</v>
      </c>
      <c r="AD26">
        <f t="shared" si="5"/>
        <v>4</v>
      </c>
    </row>
    <row r="27" spans="1:30" x14ac:dyDescent="0.3">
      <c r="B27">
        <v>71</v>
      </c>
      <c r="C27">
        <v>29</v>
      </c>
      <c r="D27">
        <v>15</v>
      </c>
      <c r="E27">
        <v>85</v>
      </c>
      <c r="G27">
        <v>75</v>
      </c>
      <c r="H27">
        <v>25</v>
      </c>
      <c r="I27">
        <v>12</v>
      </c>
      <c r="J27">
        <v>88</v>
      </c>
      <c r="L27">
        <v>65</v>
      </c>
      <c r="M27">
        <v>35</v>
      </c>
      <c r="N27">
        <v>41</v>
      </c>
      <c r="O27">
        <v>59</v>
      </c>
      <c r="Q27">
        <f t="shared" si="0"/>
        <v>22</v>
      </c>
      <c r="R27">
        <f t="shared" si="1"/>
        <v>18.5</v>
      </c>
      <c r="S27">
        <f t="shared" si="2"/>
        <v>38</v>
      </c>
      <c r="T27">
        <f t="shared" si="3"/>
        <v>26.166666666666668</v>
      </c>
      <c r="AC27">
        <f t="shared" si="4"/>
        <v>18.5</v>
      </c>
      <c r="AD27">
        <f t="shared" si="5"/>
        <v>2.5555555555555558</v>
      </c>
    </row>
    <row r="28" spans="1:30" x14ac:dyDescent="0.3">
      <c r="B28">
        <v>78</v>
      </c>
      <c r="C28">
        <v>22</v>
      </c>
      <c r="D28">
        <v>11</v>
      </c>
      <c r="E28">
        <v>89</v>
      </c>
      <c r="G28">
        <v>83</v>
      </c>
      <c r="H28">
        <v>17</v>
      </c>
      <c r="I28">
        <v>6</v>
      </c>
      <c r="J28">
        <v>94</v>
      </c>
      <c r="L28">
        <v>82</v>
      </c>
      <c r="M28">
        <v>18</v>
      </c>
      <c r="N28">
        <v>28</v>
      </c>
      <c r="O28">
        <v>72</v>
      </c>
      <c r="Q28">
        <f t="shared" si="0"/>
        <v>16.5</v>
      </c>
      <c r="R28">
        <f t="shared" si="1"/>
        <v>11.5</v>
      </c>
      <c r="S28">
        <f t="shared" si="2"/>
        <v>23</v>
      </c>
      <c r="T28">
        <f t="shared" si="3"/>
        <v>17</v>
      </c>
      <c r="AC28">
        <f t="shared" si="4"/>
        <v>11.5</v>
      </c>
      <c r="AD28">
        <f t="shared" si="5"/>
        <v>1.8333333333333333</v>
      </c>
    </row>
    <row r="29" spans="1:30" x14ac:dyDescent="0.3">
      <c r="B29">
        <v>60</v>
      </c>
      <c r="C29">
        <v>40</v>
      </c>
      <c r="D29">
        <v>14</v>
      </c>
      <c r="E29">
        <v>86</v>
      </c>
      <c r="G29">
        <v>76</v>
      </c>
      <c r="H29">
        <v>24</v>
      </c>
      <c r="I29">
        <v>8</v>
      </c>
      <c r="J29">
        <v>92</v>
      </c>
      <c r="L29">
        <v>59</v>
      </c>
      <c r="M29">
        <v>41</v>
      </c>
      <c r="N29">
        <v>50</v>
      </c>
      <c r="O29">
        <v>50</v>
      </c>
      <c r="Q29">
        <f t="shared" si="0"/>
        <v>27</v>
      </c>
      <c r="R29">
        <f t="shared" si="1"/>
        <v>16</v>
      </c>
      <c r="S29">
        <f t="shared" si="2"/>
        <v>45.5</v>
      </c>
      <c r="T29">
        <f t="shared" si="3"/>
        <v>29.5</v>
      </c>
      <c r="AC29">
        <f t="shared" si="4"/>
        <v>16</v>
      </c>
      <c r="AD29">
        <f t="shared" si="5"/>
        <v>4.5</v>
      </c>
    </row>
    <row r="30" spans="1:30" x14ac:dyDescent="0.3">
      <c r="B30">
        <v>67</v>
      </c>
      <c r="C30">
        <v>33</v>
      </c>
      <c r="D30">
        <v>12</v>
      </c>
      <c r="E30">
        <v>88</v>
      </c>
      <c r="G30">
        <v>78</v>
      </c>
      <c r="H30">
        <v>22</v>
      </c>
      <c r="I30">
        <v>5</v>
      </c>
      <c r="J30">
        <v>95</v>
      </c>
      <c r="L30">
        <v>53</v>
      </c>
      <c r="M30">
        <v>47</v>
      </c>
      <c r="N30">
        <v>41</v>
      </c>
      <c r="O30">
        <v>59</v>
      </c>
      <c r="Q30">
        <f t="shared" si="0"/>
        <v>22.5</v>
      </c>
      <c r="R30">
        <f t="shared" si="1"/>
        <v>13.5</v>
      </c>
      <c r="S30">
        <f t="shared" si="2"/>
        <v>44</v>
      </c>
      <c r="T30">
        <f t="shared" si="3"/>
        <v>26.666666666666668</v>
      </c>
      <c r="AC30">
        <f t="shared" si="4"/>
        <v>13.5</v>
      </c>
      <c r="AD30">
        <f t="shared" si="5"/>
        <v>4.3888888888888893</v>
      </c>
    </row>
    <row r="31" spans="1:30" x14ac:dyDescent="0.3">
      <c r="B31">
        <v>65</v>
      </c>
      <c r="C31">
        <v>35</v>
      </c>
      <c r="D31">
        <v>12</v>
      </c>
      <c r="E31">
        <v>88</v>
      </c>
      <c r="G31">
        <v>78</v>
      </c>
      <c r="H31">
        <v>22</v>
      </c>
      <c r="I31">
        <v>8</v>
      </c>
      <c r="J31">
        <v>92</v>
      </c>
      <c r="L31">
        <v>74</v>
      </c>
      <c r="M31">
        <v>26</v>
      </c>
      <c r="N31">
        <v>36</v>
      </c>
      <c r="O31">
        <v>64</v>
      </c>
      <c r="Q31">
        <f t="shared" si="0"/>
        <v>23.5</v>
      </c>
      <c r="R31">
        <f t="shared" si="1"/>
        <v>15</v>
      </c>
      <c r="S31">
        <f t="shared" si="2"/>
        <v>31</v>
      </c>
      <c r="T31">
        <f t="shared" si="3"/>
        <v>23.166666666666668</v>
      </c>
      <c r="AC31">
        <f t="shared" si="4"/>
        <v>15</v>
      </c>
      <c r="AD31">
        <f t="shared" si="5"/>
        <v>2.7222222222222223</v>
      </c>
    </row>
    <row r="33" spans="1:30" x14ac:dyDescent="0.3">
      <c r="A33" t="s">
        <v>47</v>
      </c>
    </row>
    <row r="34" spans="1:30" x14ac:dyDescent="0.3">
      <c r="B34">
        <v>67</v>
      </c>
      <c r="C34">
        <v>33</v>
      </c>
      <c r="D34">
        <v>12</v>
      </c>
      <c r="E34">
        <v>88</v>
      </c>
      <c r="G34">
        <v>69</v>
      </c>
      <c r="H34">
        <v>31</v>
      </c>
      <c r="I34">
        <v>4</v>
      </c>
      <c r="J34">
        <v>96</v>
      </c>
      <c r="L34">
        <v>80</v>
      </c>
      <c r="M34">
        <v>20</v>
      </c>
      <c r="N34">
        <v>34</v>
      </c>
      <c r="O34">
        <v>66</v>
      </c>
      <c r="Q34">
        <f t="shared" si="0"/>
        <v>22.5</v>
      </c>
      <c r="R34">
        <f t="shared" si="1"/>
        <v>17.5</v>
      </c>
      <c r="S34">
        <f t="shared" si="2"/>
        <v>27</v>
      </c>
      <c r="T34">
        <f t="shared" si="3"/>
        <v>22.333333333333332</v>
      </c>
      <c r="AA34">
        <f>AVERAGE(T34:T47)</f>
        <v>24.297619047619044</v>
      </c>
      <c r="AC34">
        <f t="shared" si="4"/>
        <v>17.5</v>
      </c>
      <c r="AD34">
        <f t="shared" si="5"/>
        <v>1.6111111111111107</v>
      </c>
    </row>
    <row r="35" spans="1:30" x14ac:dyDescent="0.3">
      <c r="B35">
        <v>55</v>
      </c>
      <c r="C35">
        <v>45</v>
      </c>
      <c r="D35">
        <v>9</v>
      </c>
      <c r="E35">
        <v>91</v>
      </c>
      <c r="G35">
        <v>58</v>
      </c>
      <c r="H35">
        <v>42</v>
      </c>
      <c r="I35">
        <v>9</v>
      </c>
      <c r="J35">
        <v>91</v>
      </c>
      <c r="L35">
        <v>73</v>
      </c>
      <c r="M35">
        <v>27</v>
      </c>
      <c r="N35">
        <v>65</v>
      </c>
      <c r="O35">
        <v>35</v>
      </c>
      <c r="Q35">
        <f t="shared" si="0"/>
        <v>27</v>
      </c>
      <c r="R35">
        <f t="shared" si="1"/>
        <v>25.5</v>
      </c>
      <c r="S35">
        <f t="shared" si="2"/>
        <v>46</v>
      </c>
      <c r="T35">
        <f t="shared" si="3"/>
        <v>32.833333333333336</v>
      </c>
      <c r="AC35">
        <f t="shared" si="4"/>
        <v>25.5</v>
      </c>
      <c r="AD35">
        <f t="shared" si="5"/>
        <v>2.4444444444444451</v>
      </c>
    </row>
    <row r="36" spans="1:30" x14ac:dyDescent="0.3">
      <c r="B36">
        <v>70</v>
      </c>
      <c r="C36">
        <v>30</v>
      </c>
      <c r="D36">
        <v>7</v>
      </c>
      <c r="E36">
        <v>93</v>
      </c>
      <c r="G36">
        <v>75</v>
      </c>
      <c r="H36">
        <v>25</v>
      </c>
      <c r="I36">
        <v>4</v>
      </c>
      <c r="J36">
        <v>96</v>
      </c>
      <c r="L36">
        <v>83</v>
      </c>
      <c r="M36">
        <v>17</v>
      </c>
      <c r="N36">
        <v>37</v>
      </c>
      <c r="O36">
        <v>63</v>
      </c>
      <c r="Q36">
        <f t="shared" si="0"/>
        <v>18.5</v>
      </c>
      <c r="R36">
        <f t="shared" si="1"/>
        <v>14.5</v>
      </c>
      <c r="S36">
        <f t="shared" si="2"/>
        <v>27</v>
      </c>
      <c r="T36">
        <f t="shared" si="3"/>
        <v>20</v>
      </c>
      <c r="AC36">
        <f t="shared" si="4"/>
        <v>14.5</v>
      </c>
      <c r="AD36">
        <f t="shared" si="5"/>
        <v>1.8333333333333333</v>
      </c>
    </row>
    <row r="37" spans="1:30" x14ac:dyDescent="0.3">
      <c r="B37">
        <v>71</v>
      </c>
      <c r="C37">
        <v>29</v>
      </c>
      <c r="D37">
        <v>10</v>
      </c>
      <c r="E37">
        <v>90</v>
      </c>
      <c r="G37">
        <v>76</v>
      </c>
      <c r="H37">
        <v>24</v>
      </c>
      <c r="I37">
        <v>3</v>
      </c>
      <c r="J37">
        <v>97</v>
      </c>
      <c r="L37">
        <v>61</v>
      </c>
      <c r="M37">
        <v>39</v>
      </c>
      <c r="N37">
        <v>25</v>
      </c>
      <c r="O37">
        <v>75</v>
      </c>
      <c r="Q37">
        <f t="shared" si="0"/>
        <v>19.5</v>
      </c>
      <c r="R37">
        <f t="shared" si="1"/>
        <v>13.5</v>
      </c>
      <c r="S37">
        <f t="shared" si="2"/>
        <v>32</v>
      </c>
      <c r="T37">
        <f t="shared" si="3"/>
        <v>21.666666666666668</v>
      </c>
      <c r="AC37">
        <f t="shared" si="4"/>
        <v>13.5</v>
      </c>
      <c r="AD37">
        <f t="shared" si="5"/>
        <v>2.7222222222222223</v>
      </c>
    </row>
    <row r="38" spans="1:30" x14ac:dyDescent="0.3">
      <c r="B38">
        <v>67</v>
      </c>
      <c r="C38">
        <v>33</v>
      </c>
      <c r="D38">
        <v>12</v>
      </c>
      <c r="E38">
        <v>88</v>
      </c>
      <c r="G38">
        <v>83</v>
      </c>
      <c r="H38">
        <v>17</v>
      </c>
      <c r="I38">
        <v>5</v>
      </c>
      <c r="J38">
        <v>95</v>
      </c>
      <c r="L38">
        <v>75</v>
      </c>
      <c r="M38">
        <v>25</v>
      </c>
      <c r="N38">
        <v>33</v>
      </c>
      <c r="O38">
        <v>67</v>
      </c>
      <c r="Q38">
        <f t="shared" si="0"/>
        <v>22.5</v>
      </c>
      <c r="R38">
        <f t="shared" si="1"/>
        <v>11</v>
      </c>
      <c r="S38">
        <f t="shared" si="2"/>
        <v>29</v>
      </c>
      <c r="T38">
        <f t="shared" si="3"/>
        <v>20.833333333333332</v>
      </c>
      <c r="AC38">
        <f t="shared" si="4"/>
        <v>11</v>
      </c>
      <c r="AD38">
        <f t="shared" si="5"/>
        <v>3.2777777777777772</v>
      </c>
    </row>
    <row r="39" spans="1:30" x14ac:dyDescent="0.3">
      <c r="B39">
        <v>61</v>
      </c>
      <c r="C39">
        <v>39</v>
      </c>
      <c r="D39">
        <v>8</v>
      </c>
      <c r="E39">
        <v>92</v>
      </c>
      <c r="G39">
        <v>79</v>
      </c>
      <c r="H39">
        <v>21</v>
      </c>
      <c r="I39">
        <v>6</v>
      </c>
      <c r="J39">
        <v>94</v>
      </c>
      <c r="L39">
        <v>75</v>
      </c>
      <c r="M39">
        <v>25</v>
      </c>
      <c r="N39">
        <v>40</v>
      </c>
      <c r="O39">
        <v>60</v>
      </c>
      <c r="Q39">
        <f t="shared" si="0"/>
        <v>23.5</v>
      </c>
      <c r="R39">
        <f t="shared" si="1"/>
        <v>13.5</v>
      </c>
      <c r="S39">
        <f t="shared" si="2"/>
        <v>32.5</v>
      </c>
      <c r="T39">
        <f t="shared" si="3"/>
        <v>23.166666666666668</v>
      </c>
      <c r="AC39">
        <f t="shared" si="4"/>
        <v>13.5</v>
      </c>
      <c r="AD39">
        <f t="shared" si="5"/>
        <v>3.2222222222222223</v>
      </c>
    </row>
    <row r="40" spans="1:30" x14ac:dyDescent="0.3">
      <c r="B40">
        <v>72</v>
      </c>
      <c r="C40">
        <v>28</v>
      </c>
      <c r="D40">
        <v>9</v>
      </c>
      <c r="E40">
        <v>91</v>
      </c>
      <c r="G40">
        <v>78</v>
      </c>
      <c r="H40">
        <v>22</v>
      </c>
      <c r="I40">
        <v>11</v>
      </c>
      <c r="J40">
        <v>89</v>
      </c>
      <c r="L40">
        <v>76</v>
      </c>
      <c r="M40">
        <v>24</v>
      </c>
      <c r="N40">
        <v>50</v>
      </c>
      <c r="O40">
        <v>50</v>
      </c>
      <c r="Q40">
        <f t="shared" si="0"/>
        <v>18.5</v>
      </c>
      <c r="R40">
        <f t="shared" si="1"/>
        <v>16.5</v>
      </c>
      <c r="S40">
        <f t="shared" si="2"/>
        <v>37</v>
      </c>
      <c r="T40">
        <f t="shared" si="3"/>
        <v>24</v>
      </c>
      <c r="AC40">
        <f t="shared" si="4"/>
        <v>16.5</v>
      </c>
      <c r="AD40">
        <f t="shared" si="5"/>
        <v>2.5</v>
      </c>
    </row>
    <row r="41" spans="1:30" x14ac:dyDescent="0.3">
      <c r="B41">
        <v>56</v>
      </c>
      <c r="C41">
        <v>44</v>
      </c>
      <c r="D41">
        <v>6</v>
      </c>
      <c r="E41">
        <v>94</v>
      </c>
      <c r="G41">
        <v>64</v>
      </c>
      <c r="H41">
        <v>36</v>
      </c>
      <c r="I41">
        <v>6</v>
      </c>
      <c r="J41">
        <v>94</v>
      </c>
      <c r="L41">
        <v>68</v>
      </c>
      <c r="M41">
        <v>32</v>
      </c>
      <c r="N41">
        <v>38</v>
      </c>
      <c r="O41">
        <v>62</v>
      </c>
      <c r="Q41">
        <f t="shared" si="0"/>
        <v>25</v>
      </c>
      <c r="R41">
        <f t="shared" si="1"/>
        <v>21</v>
      </c>
      <c r="S41">
        <f t="shared" si="2"/>
        <v>35</v>
      </c>
      <c r="T41">
        <f t="shared" si="3"/>
        <v>27</v>
      </c>
      <c r="AC41">
        <f t="shared" si="4"/>
        <v>21</v>
      </c>
      <c r="AD41">
        <f t="shared" si="5"/>
        <v>2</v>
      </c>
    </row>
    <row r="42" spans="1:30" x14ac:dyDescent="0.3">
      <c r="B42">
        <v>63</v>
      </c>
      <c r="C42">
        <v>37</v>
      </c>
      <c r="D42">
        <v>9</v>
      </c>
      <c r="E42">
        <v>91</v>
      </c>
      <c r="G42">
        <v>76</v>
      </c>
      <c r="H42">
        <v>24</v>
      </c>
      <c r="I42">
        <v>4</v>
      </c>
      <c r="J42">
        <v>96</v>
      </c>
      <c r="L42">
        <v>73</v>
      </c>
      <c r="M42">
        <v>27</v>
      </c>
      <c r="N42">
        <v>47</v>
      </c>
      <c r="O42">
        <v>53</v>
      </c>
      <c r="Q42">
        <f t="shared" si="0"/>
        <v>23</v>
      </c>
      <c r="R42">
        <f t="shared" si="1"/>
        <v>14</v>
      </c>
      <c r="S42">
        <f t="shared" si="2"/>
        <v>37</v>
      </c>
      <c r="T42">
        <f t="shared" si="3"/>
        <v>24.666666666666668</v>
      </c>
      <c r="AC42">
        <f t="shared" si="4"/>
        <v>14</v>
      </c>
      <c r="AD42">
        <f t="shared" si="5"/>
        <v>3.5555555555555558</v>
      </c>
    </row>
    <row r="43" spans="1:30" x14ac:dyDescent="0.3">
      <c r="B43">
        <v>57</v>
      </c>
      <c r="C43">
        <v>43</v>
      </c>
      <c r="D43">
        <v>5</v>
      </c>
      <c r="E43">
        <v>95</v>
      </c>
      <c r="G43">
        <v>73</v>
      </c>
      <c r="H43">
        <v>27</v>
      </c>
      <c r="I43">
        <v>2</v>
      </c>
      <c r="J43">
        <v>98</v>
      </c>
      <c r="L43">
        <v>53</v>
      </c>
      <c r="M43">
        <v>47</v>
      </c>
      <c r="N43">
        <v>31</v>
      </c>
      <c r="O43">
        <v>69</v>
      </c>
      <c r="Q43">
        <f t="shared" si="0"/>
        <v>24</v>
      </c>
      <c r="R43">
        <f t="shared" si="1"/>
        <v>14.5</v>
      </c>
      <c r="S43">
        <f t="shared" si="2"/>
        <v>39</v>
      </c>
      <c r="T43">
        <f t="shared" si="3"/>
        <v>25.833333333333332</v>
      </c>
      <c r="AC43">
        <f t="shared" si="4"/>
        <v>14.5</v>
      </c>
      <c r="AD43">
        <f t="shared" si="5"/>
        <v>3.7777777777777772</v>
      </c>
    </row>
    <row r="44" spans="1:30" x14ac:dyDescent="0.3">
      <c r="B44">
        <v>72</v>
      </c>
      <c r="C44">
        <v>28</v>
      </c>
      <c r="D44">
        <v>12</v>
      </c>
      <c r="E44">
        <v>88</v>
      </c>
      <c r="G44">
        <v>77</v>
      </c>
      <c r="H44">
        <v>23</v>
      </c>
      <c r="I44">
        <v>6</v>
      </c>
      <c r="J44">
        <v>94</v>
      </c>
      <c r="L44">
        <v>81</v>
      </c>
      <c r="M44">
        <v>19</v>
      </c>
      <c r="N44">
        <v>42</v>
      </c>
      <c r="O44">
        <v>58</v>
      </c>
      <c r="Q44">
        <f t="shared" si="0"/>
        <v>20</v>
      </c>
      <c r="R44">
        <f t="shared" si="1"/>
        <v>14.5</v>
      </c>
      <c r="S44">
        <f t="shared" si="2"/>
        <v>30.5</v>
      </c>
      <c r="T44">
        <f t="shared" si="3"/>
        <v>21.666666666666668</v>
      </c>
      <c r="AC44">
        <f t="shared" si="4"/>
        <v>14.5</v>
      </c>
      <c r="AD44">
        <f t="shared" si="5"/>
        <v>2.3888888888888893</v>
      </c>
    </row>
    <row r="45" spans="1:30" x14ac:dyDescent="0.3">
      <c r="B45">
        <v>66</v>
      </c>
      <c r="C45">
        <v>34</v>
      </c>
      <c r="D45">
        <v>18</v>
      </c>
      <c r="E45">
        <v>82</v>
      </c>
      <c r="G45">
        <v>82</v>
      </c>
      <c r="H45">
        <v>18</v>
      </c>
      <c r="I45">
        <v>6</v>
      </c>
      <c r="J45">
        <v>94</v>
      </c>
      <c r="L45">
        <v>85</v>
      </c>
      <c r="M45">
        <v>15</v>
      </c>
      <c r="N45">
        <v>35</v>
      </c>
      <c r="O45">
        <v>65</v>
      </c>
      <c r="Q45">
        <f t="shared" si="0"/>
        <v>26</v>
      </c>
      <c r="R45">
        <f t="shared" si="1"/>
        <v>12</v>
      </c>
      <c r="S45">
        <f t="shared" si="2"/>
        <v>25</v>
      </c>
      <c r="T45">
        <f t="shared" si="3"/>
        <v>21</v>
      </c>
      <c r="AC45">
        <f t="shared" si="4"/>
        <v>12</v>
      </c>
      <c r="AD45">
        <f t="shared" si="5"/>
        <v>3</v>
      </c>
    </row>
    <row r="46" spans="1:30" x14ac:dyDescent="0.3">
      <c r="B46">
        <v>58</v>
      </c>
      <c r="C46">
        <v>42</v>
      </c>
      <c r="D46">
        <v>9</v>
      </c>
      <c r="E46">
        <v>91</v>
      </c>
      <c r="G46">
        <v>65</v>
      </c>
      <c r="H46">
        <v>35</v>
      </c>
      <c r="I46">
        <v>5</v>
      </c>
      <c r="J46">
        <v>95</v>
      </c>
      <c r="L46">
        <v>84</v>
      </c>
      <c r="M46">
        <v>16</v>
      </c>
      <c r="N46">
        <v>54</v>
      </c>
      <c r="O46">
        <v>46</v>
      </c>
      <c r="Q46">
        <f t="shared" si="0"/>
        <v>25.5</v>
      </c>
      <c r="R46">
        <f t="shared" si="1"/>
        <v>20</v>
      </c>
      <c r="S46">
        <f t="shared" si="2"/>
        <v>35</v>
      </c>
      <c r="T46">
        <f t="shared" si="3"/>
        <v>26.833333333333332</v>
      </c>
      <c r="AC46">
        <f t="shared" si="4"/>
        <v>20</v>
      </c>
      <c r="AD46">
        <f t="shared" si="5"/>
        <v>2.2777777777777772</v>
      </c>
    </row>
    <row r="47" spans="1:30" x14ac:dyDescent="0.3">
      <c r="B47">
        <v>34</v>
      </c>
      <c r="C47">
        <v>66</v>
      </c>
      <c r="D47">
        <v>5</v>
      </c>
      <c r="E47">
        <v>95</v>
      </c>
      <c r="G47">
        <v>54</v>
      </c>
      <c r="H47">
        <v>46</v>
      </c>
      <c r="I47">
        <v>0</v>
      </c>
      <c r="J47">
        <v>100</v>
      </c>
      <c r="L47">
        <v>55</v>
      </c>
      <c r="M47">
        <v>45</v>
      </c>
      <c r="N47">
        <v>8</v>
      </c>
      <c r="O47">
        <v>92</v>
      </c>
      <c r="Q47">
        <f t="shared" si="0"/>
        <v>35.5</v>
      </c>
      <c r="R47">
        <f t="shared" si="1"/>
        <v>23</v>
      </c>
      <c r="S47">
        <f t="shared" si="2"/>
        <v>26.5</v>
      </c>
      <c r="T47">
        <f t="shared" si="3"/>
        <v>28.333333333333332</v>
      </c>
      <c r="AC47">
        <f t="shared" si="4"/>
        <v>23</v>
      </c>
      <c r="AD47">
        <f t="shared" si="5"/>
        <v>1.7777777777777772</v>
      </c>
    </row>
    <row r="49" spans="1:30" x14ac:dyDescent="0.3">
      <c r="A49" t="s">
        <v>48</v>
      </c>
    </row>
    <row r="50" spans="1:30" x14ac:dyDescent="0.3">
      <c r="B50">
        <v>67</v>
      </c>
      <c r="C50">
        <v>33</v>
      </c>
      <c r="D50">
        <v>11</v>
      </c>
      <c r="E50">
        <v>89</v>
      </c>
      <c r="G50">
        <v>80</v>
      </c>
      <c r="H50">
        <v>20</v>
      </c>
      <c r="I50">
        <v>7</v>
      </c>
      <c r="J50">
        <v>93</v>
      </c>
      <c r="L50">
        <v>70</v>
      </c>
      <c r="M50">
        <v>30</v>
      </c>
      <c r="N50">
        <v>41</v>
      </c>
      <c r="O50">
        <v>59</v>
      </c>
      <c r="Q50">
        <f t="shared" si="0"/>
        <v>22</v>
      </c>
      <c r="R50">
        <f t="shared" si="1"/>
        <v>13.5</v>
      </c>
      <c r="S50">
        <f t="shared" si="2"/>
        <v>35.5</v>
      </c>
      <c r="T50">
        <f t="shared" si="3"/>
        <v>23.666666666666668</v>
      </c>
      <c r="AA50">
        <f>AVERAGE(T50:T63)</f>
        <v>23.833333333333336</v>
      </c>
      <c r="AC50">
        <f t="shared" si="4"/>
        <v>13.5</v>
      </c>
      <c r="AD50">
        <f t="shared" si="5"/>
        <v>3.3888888888888893</v>
      </c>
    </row>
    <row r="51" spans="1:30" x14ac:dyDescent="0.3">
      <c r="B51">
        <v>67</v>
      </c>
      <c r="C51">
        <v>33</v>
      </c>
      <c r="D51">
        <v>10</v>
      </c>
      <c r="E51">
        <v>90</v>
      </c>
      <c r="G51">
        <v>71</v>
      </c>
      <c r="H51">
        <v>29</v>
      </c>
      <c r="I51">
        <v>5</v>
      </c>
      <c r="J51">
        <v>95</v>
      </c>
      <c r="L51">
        <v>62</v>
      </c>
      <c r="M51">
        <v>38</v>
      </c>
      <c r="N51">
        <v>28</v>
      </c>
      <c r="O51">
        <v>72</v>
      </c>
      <c r="Q51">
        <f t="shared" si="0"/>
        <v>21.5</v>
      </c>
      <c r="R51">
        <f t="shared" si="1"/>
        <v>17</v>
      </c>
      <c r="S51">
        <f t="shared" si="2"/>
        <v>33</v>
      </c>
      <c r="T51">
        <f t="shared" si="3"/>
        <v>23.833333333333332</v>
      </c>
      <c r="AC51">
        <f t="shared" si="4"/>
        <v>17</v>
      </c>
      <c r="AD51">
        <f t="shared" si="5"/>
        <v>2.2777777777777772</v>
      </c>
    </row>
    <row r="52" spans="1:30" x14ac:dyDescent="0.3">
      <c r="B52">
        <v>62</v>
      </c>
      <c r="C52">
        <v>38</v>
      </c>
      <c r="D52">
        <v>12</v>
      </c>
      <c r="E52">
        <v>88</v>
      </c>
      <c r="G52">
        <v>76</v>
      </c>
      <c r="H52">
        <v>24</v>
      </c>
      <c r="I52">
        <v>12</v>
      </c>
      <c r="J52">
        <v>88</v>
      </c>
      <c r="L52">
        <v>77</v>
      </c>
      <c r="M52">
        <v>23</v>
      </c>
      <c r="N52">
        <v>37</v>
      </c>
      <c r="O52">
        <v>63</v>
      </c>
      <c r="Q52">
        <f t="shared" si="0"/>
        <v>25</v>
      </c>
      <c r="R52">
        <f t="shared" si="1"/>
        <v>18</v>
      </c>
      <c r="S52">
        <f t="shared" si="2"/>
        <v>30</v>
      </c>
      <c r="T52">
        <f t="shared" si="3"/>
        <v>24.333333333333332</v>
      </c>
      <c r="AC52">
        <f t="shared" si="4"/>
        <v>18</v>
      </c>
      <c r="AD52">
        <f t="shared" si="5"/>
        <v>2.1111111111111107</v>
      </c>
    </row>
    <row r="53" spans="1:30" x14ac:dyDescent="0.3">
      <c r="B53">
        <v>74</v>
      </c>
      <c r="C53">
        <v>26</v>
      </c>
      <c r="D53">
        <v>10</v>
      </c>
      <c r="E53">
        <v>90</v>
      </c>
      <c r="G53">
        <v>83</v>
      </c>
      <c r="H53">
        <v>17</v>
      </c>
      <c r="I53">
        <v>10</v>
      </c>
      <c r="J53">
        <v>90</v>
      </c>
      <c r="L53">
        <v>78</v>
      </c>
      <c r="M53">
        <v>22</v>
      </c>
      <c r="N53">
        <v>46</v>
      </c>
      <c r="O53">
        <v>54</v>
      </c>
      <c r="Q53">
        <f t="shared" si="0"/>
        <v>18</v>
      </c>
      <c r="R53">
        <f t="shared" si="1"/>
        <v>13.5</v>
      </c>
      <c r="S53">
        <f t="shared" si="2"/>
        <v>34</v>
      </c>
      <c r="T53">
        <f t="shared" si="3"/>
        <v>21.833333333333332</v>
      </c>
      <c r="AC53">
        <f t="shared" si="4"/>
        <v>13.5</v>
      </c>
      <c r="AD53">
        <f t="shared" si="5"/>
        <v>2.7777777777777772</v>
      </c>
    </row>
    <row r="54" spans="1:30" x14ac:dyDescent="0.3">
      <c r="B54">
        <v>67</v>
      </c>
      <c r="C54">
        <v>33</v>
      </c>
      <c r="D54">
        <v>19</v>
      </c>
      <c r="E54">
        <v>81</v>
      </c>
      <c r="G54">
        <v>77</v>
      </c>
      <c r="H54">
        <v>23</v>
      </c>
      <c r="I54">
        <v>8</v>
      </c>
      <c r="J54">
        <v>92</v>
      </c>
      <c r="L54">
        <v>76</v>
      </c>
      <c r="M54">
        <v>24</v>
      </c>
      <c r="N54">
        <v>39</v>
      </c>
      <c r="O54">
        <v>61</v>
      </c>
      <c r="Q54">
        <f t="shared" si="0"/>
        <v>26</v>
      </c>
      <c r="R54">
        <f t="shared" si="1"/>
        <v>15.5</v>
      </c>
      <c r="S54">
        <f t="shared" si="2"/>
        <v>31.5</v>
      </c>
      <c r="T54">
        <f t="shared" si="3"/>
        <v>24.333333333333332</v>
      </c>
      <c r="AC54">
        <f t="shared" si="4"/>
        <v>15.5</v>
      </c>
      <c r="AD54">
        <f t="shared" si="5"/>
        <v>2.9444444444444438</v>
      </c>
    </row>
    <row r="55" spans="1:30" x14ac:dyDescent="0.3">
      <c r="B55">
        <v>50</v>
      </c>
      <c r="C55">
        <v>50</v>
      </c>
      <c r="D55">
        <v>2</v>
      </c>
      <c r="E55">
        <v>98</v>
      </c>
      <c r="G55">
        <v>80</v>
      </c>
      <c r="H55">
        <v>20</v>
      </c>
      <c r="I55">
        <v>6</v>
      </c>
      <c r="J55">
        <v>94</v>
      </c>
      <c r="L55">
        <v>64</v>
      </c>
      <c r="M55">
        <v>36</v>
      </c>
      <c r="N55">
        <v>35</v>
      </c>
      <c r="O55">
        <v>65</v>
      </c>
      <c r="Q55">
        <f t="shared" si="0"/>
        <v>26</v>
      </c>
      <c r="R55">
        <f t="shared" si="1"/>
        <v>13</v>
      </c>
      <c r="S55">
        <f t="shared" si="2"/>
        <v>35.5</v>
      </c>
      <c r="T55">
        <f t="shared" si="3"/>
        <v>24.833333333333332</v>
      </c>
      <c r="AC55">
        <f t="shared" si="4"/>
        <v>13</v>
      </c>
      <c r="AD55">
        <f t="shared" si="5"/>
        <v>3.9444444444444438</v>
      </c>
    </row>
    <row r="56" spans="1:30" x14ac:dyDescent="0.3">
      <c r="B56">
        <v>67</v>
      </c>
      <c r="C56">
        <v>33</v>
      </c>
      <c r="D56">
        <v>5</v>
      </c>
      <c r="E56">
        <v>95</v>
      </c>
      <c r="G56">
        <v>77</v>
      </c>
      <c r="H56">
        <v>23</v>
      </c>
      <c r="I56">
        <v>14</v>
      </c>
      <c r="J56">
        <v>86</v>
      </c>
      <c r="L56">
        <v>79</v>
      </c>
      <c r="M56">
        <v>21</v>
      </c>
      <c r="N56">
        <v>41</v>
      </c>
      <c r="O56">
        <v>59</v>
      </c>
      <c r="Q56">
        <f t="shared" si="0"/>
        <v>19</v>
      </c>
      <c r="R56">
        <f t="shared" si="1"/>
        <v>18.5</v>
      </c>
      <c r="S56">
        <f t="shared" si="2"/>
        <v>31</v>
      </c>
      <c r="T56">
        <f t="shared" si="3"/>
        <v>22.833333333333332</v>
      </c>
      <c r="AC56">
        <f t="shared" si="4"/>
        <v>18.5</v>
      </c>
      <c r="AD56">
        <f t="shared" si="5"/>
        <v>1.444444444444444</v>
      </c>
    </row>
    <row r="57" spans="1:30" x14ac:dyDescent="0.3">
      <c r="B57">
        <v>65</v>
      </c>
      <c r="C57">
        <v>35</v>
      </c>
      <c r="D57">
        <v>11</v>
      </c>
      <c r="E57">
        <v>89</v>
      </c>
      <c r="G57">
        <v>73</v>
      </c>
      <c r="H57">
        <v>27</v>
      </c>
      <c r="I57">
        <v>9</v>
      </c>
      <c r="J57">
        <v>91</v>
      </c>
      <c r="L57">
        <v>85</v>
      </c>
      <c r="M57">
        <v>15</v>
      </c>
      <c r="N57">
        <v>55</v>
      </c>
      <c r="O57">
        <v>45</v>
      </c>
      <c r="Q57">
        <f t="shared" si="0"/>
        <v>23</v>
      </c>
      <c r="R57">
        <f t="shared" si="1"/>
        <v>18</v>
      </c>
      <c r="S57">
        <f t="shared" si="2"/>
        <v>35</v>
      </c>
      <c r="T57">
        <f t="shared" si="3"/>
        <v>25.333333333333332</v>
      </c>
      <c r="AC57">
        <f t="shared" si="4"/>
        <v>18</v>
      </c>
      <c r="AD57">
        <f t="shared" si="5"/>
        <v>2.4444444444444438</v>
      </c>
    </row>
    <row r="58" spans="1:30" x14ac:dyDescent="0.3">
      <c r="B58">
        <v>65</v>
      </c>
      <c r="C58">
        <v>35</v>
      </c>
      <c r="D58">
        <v>11</v>
      </c>
      <c r="E58">
        <v>89</v>
      </c>
      <c r="G58">
        <v>84</v>
      </c>
      <c r="H58">
        <v>16</v>
      </c>
      <c r="I58">
        <v>9</v>
      </c>
      <c r="J58">
        <v>91</v>
      </c>
      <c r="L58">
        <v>68</v>
      </c>
      <c r="M58">
        <v>32</v>
      </c>
      <c r="N58">
        <v>44</v>
      </c>
      <c r="O58">
        <v>56</v>
      </c>
      <c r="Q58">
        <f t="shared" si="0"/>
        <v>23</v>
      </c>
      <c r="R58">
        <f t="shared" si="1"/>
        <v>12.5</v>
      </c>
      <c r="S58">
        <f t="shared" si="2"/>
        <v>38</v>
      </c>
      <c r="T58">
        <f t="shared" si="3"/>
        <v>24.5</v>
      </c>
      <c r="AC58">
        <f t="shared" si="4"/>
        <v>12.5</v>
      </c>
      <c r="AD58">
        <f t="shared" si="5"/>
        <v>4</v>
      </c>
    </row>
    <row r="59" spans="1:30" x14ac:dyDescent="0.3">
      <c r="B59">
        <v>70</v>
      </c>
      <c r="C59">
        <v>30</v>
      </c>
      <c r="D59">
        <v>8</v>
      </c>
      <c r="E59">
        <v>92</v>
      </c>
      <c r="G59">
        <v>75</v>
      </c>
      <c r="H59">
        <v>25</v>
      </c>
      <c r="I59">
        <v>5</v>
      </c>
      <c r="J59">
        <v>95</v>
      </c>
      <c r="L59">
        <v>81</v>
      </c>
      <c r="M59">
        <v>19</v>
      </c>
      <c r="N59">
        <v>36</v>
      </c>
      <c r="O59">
        <v>64</v>
      </c>
      <c r="Q59">
        <f t="shared" si="0"/>
        <v>19</v>
      </c>
      <c r="R59">
        <f t="shared" si="1"/>
        <v>15</v>
      </c>
      <c r="S59">
        <f t="shared" si="2"/>
        <v>27.5</v>
      </c>
      <c r="T59">
        <f t="shared" si="3"/>
        <v>20.5</v>
      </c>
      <c r="AC59">
        <f t="shared" si="4"/>
        <v>15</v>
      </c>
      <c r="AD59">
        <f t="shared" si="5"/>
        <v>1.8333333333333333</v>
      </c>
    </row>
    <row r="60" spans="1:30" x14ac:dyDescent="0.3">
      <c r="B60">
        <v>40</v>
      </c>
      <c r="C60">
        <v>60</v>
      </c>
      <c r="D60">
        <v>5</v>
      </c>
      <c r="E60">
        <v>95</v>
      </c>
      <c r="G60">
        <v>59</v>
      </c>
      <c r="H60">
        <v>41</v>
      </c>
      <c r="I60">
        <v>3</v>
      </c>
      <c r="J60">
        <v>97</v>
      </c>
      <c r="L60">
        <v>42</v>
      </c>
      <c r="M60">
        <v>58</v>
      </c>
      <c r="N60">
        <v>24</v>
      </c>
      <c r="O60">
        <v>76</v>
      </c>
      <c r="Q60">
        <f t="shared" si="0"/>
        <v>32.5</v>
      </c>
      <c r="R60">
        <f t="shared" si="1"/>
        <v>22</v>
      </c>
      <c r="S60">
        <f t="shared" si="2"/>
        <v>41</v>
      </c>
      <c r="T60">
        <f t="shared" si="3"/>
        <v>31.833333333333332</v>
      </c>
      <c r="AC60">
        <f t="shared" si="4"/>
        <v>22</v>
      </c>
      <c r="AD60">
        <f t="shared" si="5"/>
        <v>3.2777777777777772</v>
      </c>
    </row>
    <row r="61" spans="1:30" x14ac:dyDescent="0.3">
      <c r="B61">
        <v>70</v>
      </c>
      <c r="C61">
        <v>30</v>
      </c>
      <c r="D61">
        <v>8</v>
      </c>
      <c r="E61">
        <v>92</v>
      </c>
      <c r="G61">
        <v>67</v>
      </c>
      <c r="H61">
        <v>33</v>
      </c>
      <c r="I61">
        <v>4</v>
      </c>
      <c r="J61">
        <v>96</v>
      </c>
      <c r="L61">
        <v>76</v>
      </c>
      <c r="M61">
        <v>24</v>
      </c>
      <c r="N61">
        <v>34</v>
      </c>
      <c r="O61">
        <v>66</v>
      </c>
      <c r="Q61">
        <f t="shared" si="0"/>
        <v>19</v>
      </c>
      <c r="R61">
        <f t="shared" si="1"/>
        <v>18.5</v>
      </c>
      <c r="S61">
        <f t="shared" si="2"/>
        <v>29</v>
      </c>
      <c r="T61">
        <f t="shared" si="3"/>
        <v>22.166666666666668</v>
      </c>
      <c r="AC61">
        <f t="shared" si="4"/>
        <v>18.5</v>
      </c>
      <c r="AD61">
        <f t="shared" si="5"/>
        <v>1.2222222222222225</v>
      </c>
    </row>
    <row r="62" spans="1:30" x14ac:dyDescent="0.3">
      <c r="B62">
        <v>70</v>
      </c>
      <c r="C62">
        <v>30</v>
      </c>
      <c r="D62">
        <v>8</v>
      </c>
      <c r="E62">
        <v>92</v>
      </c>
      <c r="G62">
        <v>80</v>
      </c>
      <c r="H62">
        <v>20</v>
      </c>
      <c r="I62">
        <v>10</v>
      </c>
      <c r="J62">
        <v>90</v>
      </c>
      <c r="L62">
        <v>77</v>
      </c>
      <c r="M62">
        <v>23</v>
      </c>
      <c r="N62">
        <v>24</v>
      </c>
      <c r="O62">
        <v>76</v>
      </c>
      <c r="Q62">
        <f t="shared" si="0"/>
        <v>19</v>
      </c>
      <c r="R62">
        <f t="shared" si="1"/>
        <v>15</v>
      </c>
      <c r="S62">
        <f t="shared" si="2"/>
        <v>23.5</v>
      </c>
      <c r="T62">
        <f t="shared" si="3"/>
        <v>19.166666666666668</v>
      </c>
      <c r="AC62">
        <f t="shared" si="4"/>
        <v>15</v>
      </c>
      <c r="AD62">
        <f t="shared" si="5"/>
        <v>1.3888888888888893</v>
      </c>
    </row>
    <row r="63" spans="1:30" x14ac:dyDescent="0.3">
      <c r="B63">
        <v>59</v>
      </c>
      <c r="C63">
        <v>41</v>
      </c>
      <c r="D63">
        <v>16</v>
      </c>
      <c r="E63">
        <v>84</v>
      </c>
      <c r="G63">
        <v>76</v>
      </c>
      <c r="H63">
        <v>24</v>
      </c>
      <c r="I63">
        <v>7</v>
      </c>
      <c r="J63">
        <v>93</v>
      </c>
      <c r="L63">
        <v>74</v>
      </c>
      <c r="M63">
        <v>26</v>
      </c>
      <c r="N63">
        <v>33</v>
      </c>
      <c r="O63">
        <v>67</v>
      </c>
      <c r="Q63">
        <f t="shared" si="0"/>
        <v>28.5</v>
      </c>
      <c r="R63">
        <f t="shared" si="1"/>
        <v>15.5</v>
      </c>
      <c r="S63">
        <f t="shared" si="2"/>
        <v>29.5</v>
      </c>
      <c r="T63">
        <f t="shared" si="3"/>
        <v>24.5</v>
      </c>
      <c r="AC63">
        <f t="shared" si="4"/>
        <v>15.5</v>
      </c>
      <c r="AD63">
        <f t="shared" si="5"/>
        <v>3</v>
      </c>
    </row>
    <row r="65" spans="1:30" x14ac:dyDescent="0.3">
      <c r="A65" t="s">
        <v>49</v>
      </c>
    </row>
    <row r="66" spans="1:30" x14ac:dyDescent="0.3">
      <c r="B66">
        <v>57</v>
      </c>
      <c r="C66">
        <v>43</v>
      </c>
      <c r="D66">
        <v>6</v>
      </c>
      <c r="E66">
        <v>94</v>
      </c>
      <c r="G66">
        <v>72</v>
      </c>
      <c r="H66">
        <v>28</v>
      </c>
      <c r="I66">
        <v>5</v>
      </c>
      <c r="J66">
        <v>95</v>
      </c>
      <c r="L66">
        <v>74</v>
      </c>
      <c r="M66">
        <v>26</v>
      </c>
      <c r="N66">
        <v>25</v>
      </c>
      <c r="O66">
        <v>75</v>
      </c>
      <c r="Q66">
        <f t="shared" si="0"/>
        <v>24.5</v>
      </c>
      <c r="R66">
        <f t="shared" si="1"/>
        <v>16.5</v>
      </c>
      <c r="S66">
        <f t="shared" si="2"/>
        <v>25.5</v>
      </c>
      <c r="T66">
        <f t="shared" si="3"/>
        <v>22.166666666666668</v>
      </c>
      <c r="AA66">
        <f>AVERAGE(T66:T79)</f>
        <v>23.904761904761902</v>
      </c>
      <c r="AC66">
        <f t="shared" si="4"/>
        <v>16.5</v>
      </c>
      <c r="AD66">
        <f t="shared" si="5"/>
        <v>1.8888888888888893</v>
      </c>
    </row>
    <row r="67" spans="1:30" x14ac:dyDescent="0.3">
      <c r="B67">
        <v>75</v>
      </c>
      <c r="C67">
        <v>25</v>
      </c>
      <c r="D67">
        <v>16</v>
      </c>
      <c r="E67">
        <v>84</v>
      </c>
      <c r="G67">
        <v>83</v>
      </c>
      <c r="H67">
        <v>17</v>
      </c>
      <c r="I67">
        <v>13</v>
      </c>
      <c r="J67">
        <v>87</v>
      </c>
      <c r="L67">
        <v>64</v>
      </c>
      <c r="M67">
        <v>36</v>
      </c>
      <c r="N67">
        <v>31</v>
      </c>
      <c r="O67">
        <v>69</v>
      </c>
      <c r="Q67">
        <f t="shared" ref="Q67:Q79" si="6">AVERAGE(C67:D67)</f>
        <v>20.5</v>
      </c>
      <c r="R67">
        <f t="shared" ref="R67:R79" si="7">AVERAGE(H67:I67)</f>
        <v>15</v>
      </c>
      <c r="S67">
        <f t="shared" ref="S67:S79" si="8">AVERAGE(M67:N67)</f>
        <v>33.5</v>
      </c>
      <c r="T67">
        <f t="shared" ref="T67:T79" si="9">AVERAGE(Q67:S67)</f>
        <v>23</v>
      </c>
      <c r="AC67">
        <f t="shared" ref="AC67:AC79" si="10">MIN(Q67:S67)</f>
        <v>15</v>
      </c>
      <c r="AD67">
        <f t="shared" ref="AD67:AD79" si="11">(1/3)*(T67-AC67)</f>
        <v>2.6666666666666665</v>
      </c>
    </row>
    <row r="68" spans="1:30" x14ac:dyDescent="0.3">
      <c r="B68">
        <v>64</v>
      </c>
      <c r="C68">
        <v>36</v>
      </c>
      <c r="D68">
        <v>14</v>
      </c>
      <c r="E68">
        <v>86</v>
      </c>
      <c r="G68">
        <v>78</v>
      </c>
      <c r="H68">
        <v>22</v>
      </c>
      <c r="I68">
        <v>4</v>
      </c>
      <c r="J68">
        <v>96</v>
      </c>
      <c r="L68">
        <v>70</v>
      </c>
      <c r="M68">
        <v>30</v>
      </c>
      <c r="N68">
        <v>33</v>
      </c>
      <c r="O68">
        <v>67</v>
      </c>
      <c r="Q68">
        <f t="shared" si="6"/>
        <v>25</v>
      </c>
      <c r="R68">
        <f t="shared" si="7"/>
        <v>13</v>
      </c>
      <c r="S68">
        <f t="shared" si="8"/>
        <v>31.5</v>
      </c>
      <c r="T68">
        <f t="shared" si="9"/>
        <v>23.166666666666668</v>
      </c>
      <c r="AC68">
        <f t="shared" si="10"/>
        <v>13</v>
      </c>
      <c r="AD68">
        <f t="shared" si="11"/>
        <v>3.3888888888888893</v>
      </c>
    </row>
    <row r="69" spans="1:30" x14ac:dyDescent="0.3">
      <c r="B69">
        <v>43</v>
      </c>
      <c r="C69">
        <v>57</v>
      </c>
      <c r="D69">
        <v>4</v>
      </c>
      <c r="E69">
        <v>96</v>
      </c>
      <c r="G69">
        <v>68</v>
      </c>
      <c r="H69">
        <v>32</v>
      </c>
      <c r="I69">
        <v>2</v>
      </c>
      <c r="J69">
        <v>98</v>
      </c>
      <c r="L69">
        <v>78</v>
      </c>
      <c r="M69">
        <v>22</v>
      </c>
      <c r="N69">
        <v>35</v>
      </c>
      <c r="O69">
        <v>65</v>
      </c>
      <c r="Q69">
        <f t="shared" si="6"/>
        <v>30.5</v>
      </c>
      <c r="R69">
        <f t="shared" si="7"/>
        <v>17</v>
      </c>
      <c r="S69">
        <f t="shared" si="8"/>
        <v>28.5</v>
      </c>
      <c r="T69">
        <f t="shared" si="9"/>
        <v>25.333333333333332</v>
      </c>
      <c r="AC69">
        <f t="shared" si="10"/>
        <v>17</v>
      </c>
      <c r="AD69">
        <f t="shared" si="11"/>
        <v>2.7777777777777772</v>
      </c>
    </row>
    <row r="70" spans="1:30" x14ac:dyDescent="0.3">
      <c r="B70">
        <v>70</v>
      </c>
      <c r="C70">
        <v>30</v>
      </c>
      <c r="D70">
        <v>20</v>
      </c>
      <c r="E70">
        <v>80</v>
      </c>
      <c r="G70">
        <v>75</v>
      </c>
      <c r="H70">
        <v>25</v>
      </c>
      <c r="I70">
        <v>5</v>
      </c>
      <c r="J70">
        <v>95</v>
      </c>
      <c r="L70">
        <v>76</v>
      </c>
      <c r="M70">
        <v>24</v>
      </c>
      <c r="N70">
        <v>44</v>
      </c>
      <c r="O70">
        <v>56</v>
      </c>
      <c r="Q70">
        <f t="shared" si="6"/>
        <v>25</v>
      </c>
      <c r="R70">
        <f t="shared" si="7"/>
        <v>15</v>
      </c>
      <c r="S70">
        <f t="shared" si="8"/>
        <v>34</v>
      </c>
      <c r="T70">
        <f t="shared" si="9"/>
        <v>24.666666666666668</v>
      </c>
      <c r="AC70">
        <f t="shared" si="10"/>
        <v>15</v>
      </c>
      <c r="AD70">
        <f t="shared" si="11"/>
        <v>3.2222222222222223</v>
      </c>
    </row>
    <row r="71" spans="1:30" x14ac:dyDescent="0.3">
      <c r="B71">
        <v>55</v>
      </c>
      <c r="C71">
        <v>45</v>
      </c>
      <c r="D71">
        <v>5</v>
      </c>
      <c r="E71">
        <v>95</v>
      </c>
      <c r="G71">
        <v>69</v>
      </c>
      <c r="H71">
        <v>31</v>
      </c>
      <c r="I71">
        <v>10</v>
      </c>
      <c r="J71">
        <v>90</v>
      </c>
      <c r="L71">
        <v>80</v>
      </c>
      <c r="M71">
        <v>20</v>
      </c>
      <c r="N71">
        <v>26</v>
      </c>
      <c r="O71">
        <v>74</v>
      </c>
      <c r="Q71">
        <f t="shared" si="6"/>
        <v>25</v>
      </c>
      <c r="R71">
        <f t="shared" si="7"/>
        <v>20.5</v>
      </c>
      <c r="S71">
        <f t="shared" si="8"/>
        <v>23</v>
      </c>
      <c r="T71">
        <f t="shared" si="9"/>
        <v>22.833333333333332</v>
      </c>
      <c r="AC71">
        <f t="shared" si="10"/>
        <v>20.5</v>
      </c>
      <c r="AD71">
        <f t="shared" si="11"/>
        <v>0.77777777777777735</v>
      </c>
    </row>
    <row r="72" spans="1:30" x14ac:dyDescent="0.3">
      <c r="B72">
        <v>59</v>
      </c>
      <c r="C72">
        <v>41</v>
      </c>
      <c r="D72">
        <v>8</v>
      </c>
      <c r="E72">
        <v>92</v>
      </c>
      <c r="G72">
        <v>77</v>
      </c>
      <c r="H72">
        <v>23</v>
      </c>
      <c r="I72">
        <v>5</v>
      </c>
      <c r="J72">
        <v>95</v>
      </c>
      <c r="L72">
        <v>70</v>
      </c>
      <c r="M72">
        <v>30</v>
      </c>
      <c r="N72">
        <v>49</v>
      </c>
      <c r="O72">
        <v>51</v>
      </c>
      <c r="Q72">
        <f t="shared" si="6"/>
        <v>24.5</v>
      </c>
      <c r="R72">
        <f t="shared" si="7"/>
        <v>14</v>
      </c>
      <c r="S72">
        <f t="shared" si="8"/>
        <v>39.5</v>
      </c>
      <c r="T72">
        <f t="shared" si="9"/>
        <v>26</v>
      </c>
      <c r="AC72">
        <f t="shared" si="10"/>
        <v>14</v>
      </c>
      <c r="AD72">
        <f t="shared" si="11"/>
        <v>4</v>
      </c>
    </row>
    <row r="73" spans="1:30" x14ac:dyDescent="0.3">
      <c r="B73">
        <v>59</v>
      </c>
      <c r="C73">
        <v>41</v>
      </c>
      <c r="D73">
        <v>3</v>
      </c>
      <c r="E73">
        <v>97</v>
      </c>
      <c r="G73">
        <v>76</v>
      </c>
      <c r="H73">
        <v>24</v>
      </c>
      <c r="I73">
        <v>6</v>
      </c>
      <c r="J73">
        <v>94</v>
      </c>
      <c r="L73">
        <v>60</v>
      </c>
      <c r="M73">
        <v>40</v>
      </c>
      <c r="N73">
        <v>25</v>
      </c>
      <c r="O73">
        <v>75</v>
      </c>
      <c r="Q73">
        <f t="shared" si="6"/>
        <v>22</v>
      </c>
      <c r="R73">
        <f t="shared" si="7"/>
        <v>15</v>
      </c>
      <c r="S73">
        <f t="shared" si="8"/>
        <v>32.5</v>
      </c>
      <c r="T73">
        <f t="shared" si="9"/>
        <v>23.166666666666668</v>
      </c>
      <c r="AC73">
        <f t="shared" si="10"/>
        <v>15</v>
      </c>
      <c r="AD73">
        <f t="shared" si="11"/>
        <v>2.7222222222222223</v>
      </c>
    </row>
    <row r="74" spans="1:30" x14ac:dyDescent="0.3">
      <c r="B74">
        <v>58</v>
      </c>
      <c r="C74">
        <v>42</v>
      </c>
      <c r="D74">
        <v>9</v>
      </c>
      <c r="E74">
        <v>91</v>
      </c>
      <c r="G74">
        <v>62</v>
      </c>
      <c r="H74">
        <v>38</v>
      </c>
      <c r="I74">
        <v>9</v>
      </c>
      <c r="J74">
        <v>91</v>
      </c>
      <c r="L74">
        <v>71</v>
      </c>
      <c r="M74">
        <v>29</v>
      </c>
      <c r="N74">
        <v>53</v>
      </c>
      <c r="O74">
        <v>47</v>
      </c>
      <c r="Q74">
        <f t="shared" si="6"/>
        <v>25.5</v>
      </c>
      <c r="R74">
        <f t="shared" si="7"/>
        <v>23.5</v>
      </c>
      <c r="S74">
        <f t="shared" si="8"/>
        <v>41</v>
      </c>
      <c r="T74">
        <f t="shared" si="9"/>
        <v>30</v>
      </c>
      <c r="AC74">
        <f t="shared" si="10"/>
        <v>23.5</v>
      </c>
      <c r="AD74">
        <f t="shared" si="11"/>
        <v>2.1666666666666665</v>
      </c>
    </row>
    <row r="75" spans="1:30" x14ac:dyDescent="0.3">
      <c r="B75">
        <v>66</v>
      </c>
      <c r="C75">
        <v>34</v>
      </c>
      <c r="D75">
        <v>12</v>
      </c>
      <c r="E75">
        <v>88</v>
      </c>
      <c r="G75">
        <v>69</v>
      </c>
      <c r="H75">
        <v>31</v>
      </c>
      <c r="I75">
        <v>4</v>
      </c>
      <c r="J75">
        <v>96</v>
      </c>
      <c r="L75">
        <v>82</v>
      </c>
      <c r="M75">
        <v>18</v>
      </c>
      <c r="N75">
        <v>41</v>
      </c>
      <c r="O75">
        <v>59</v>
      </c>
      <c r="Q75">
        <f t="shared" si="6"/>
        <v>23</v>
      </c>
      <c r="R75">
        <f t="shared" si="7"/>
        <v>17.5</v>
      </c>
      <c r="S75">
        <f t="shared" si="8"/>
        <v>29.5</v>
      </c>
      <c r="T75">
        <f t="shared" si="9"/>
        <v>23.333333333333332</v>
      </c>
      <c r="AC75">
        <f t="shared" si="10"/>
        <v>17.5</v>
      </c>
      <c r="AD75">
        <f t="shared" si="11"/>
        <v>1.944444444444444</v>
      </c>
    </row>
    <row r="76" spans="1:30" x14ac:dyDescent="0.3">
      <c r="B76">
        <v>77</v>
      </c>
      <c r="C76">
        <v>23</v>
      </c>
      <c r="D76">
        <v>12</v>
      </c>
      <c r="E76">
        <v>88</v>
      </c>
      <c r="G76">
        <v>86</v>
      </c>
      <c r="H76">
        <v>14</v>
      </c>
      <c r="I76">
        <v>11</v>
      </c>
      <c r="J76">
        <v>89</v>
      </c>
      <c r="L76">
        <v>77</v>
      </c>
      <c r="M76">
        <v>23</v>
      </c>
      <c r="N76">
        <v>45</v>
      </c>
      <c r="O76">
        <v>55</v>
      </c>
      <c r="Q76">
        <f t="shared" si="6"/>
        <v>17.5</v>
      </c>
      <c r="R76">
        <f t="shared" si="7"/>
        <v>12.5</v>
      </c>
      <c r="S76">
        <f t="shared" si="8"/>
        <v>34</v>
      </c>
      <c r="T76">
        <f t="shared" si="9"/>
        <v>21.333333333333332</v>
      </c>
      <c r="AC76">
        <f t="shared" si="10"/>
        <v>12.5</v>
      </c>
      <c r="AD76">
        <f t="shared" si="11"/>
        <v>2.9444444444444438</v>
      </c>
    </row>
    <row r="77" spans="1:30" x14ac:dyDescent="0.3">
      <c r="B77">
        <v>63</v>
      </c>
      <c r="C77">
        <v>37</v>
      </c>
      <c r="D77">
        <v>9</v>
      </c>
      <c r="E77">
        <v>91</v>
      </c>
      <c r="G77">
        <v>72</v>
      </c>
      <c r="H77">
        <v>28</v>
      </c>
      <c r="I77">
        <v>7</v>
      </c>
      <c r="J77">
        <v>93</v>
      </c>
      <c r="L77">
        <v>70</v>
      </c>
      <c r="M77">
        <v>30</v>
      </c>
      <c r="N77">
        <v>29</v>
      </c>
      <c r="O77">
        <v>71</v>
      </c>
      <c r="Q77">
        <f t="shared" si="6"/>
        <v>23</v>
      </c>
      <c r="R77">
        <f t="shared" si="7"/>
        <v>17.5</v>
      </c>
      <c r="S77">
        <f t="shared" si="8"/>
        <v>29.5</v>
      </c>
      <c r="T77">
        <f t="shared" si="9"/>
        <v>23.333333333333332</v>
      </c>
      <c r="AC77">
        <f t="shared" si="10"/>
        <v>17.5</v>
      </c>
      <c r="AD77">
        <f t="shared" si="11"/>
        <v>1.944444444444444</v>
      </c>
    </row>
    <row r="78" spans="1:30" x14ac:dyDescent="0.3">
      <c r="B78">
        <v>73</v>
      </c>
      <c r="C78">
        <v>27</v>
      </c>
      <c r="D78">
        <v>9</v>
      </c>
      <c r="E78">
        <v>91</v>
      </c>
      <c r="G78">
        <v>72</v>
      </c>
      <c r="H78">
        <v>28</v>
      </c>
      <c r="I78">
        <v>10</v>
      </c>
      <c r="J78">
        <v>90</v>
      </c>
      <c r="L78">
        <v>72</v>
      </c>
      <c r="M78">
        <v>28</v>
      </c>
      <c r="N78">
        <v>33</v>
      </c>
      <c r="O78">
        <v>67</v>
      </c>
      <c r="Q78">
        <f t="shared" si="6"/>
        <v>18</v>
      </c>
      <c r="R78">
        <f t="shared" si="7"/>
        <v>19</v>
      </c>
      <c r="S78">
        <f t="shared" si="8"/>
        <v>30.5</v>
      </c>
      <c r="T78">
        <f t="shared" si="9"/>
        <v>22.5</v>
      </c>
      <c r="AC78">
        <f t="shared" si="10"/>
        <v>18</v>
      </c>
      <c r="AD78">
        <f t="shared" si="11"/>
        <v>1.5</v>
      </c>
    </row>
    <row r="79" spans="1:30" x14ac:dyDescent="0.3">
      <c r="B79">
        <v>60</v>
      </c>
      <c r="C79">
        <v>40</v>
      </c>
      <c r="D79">
        <v>13</v>
      </c>
      <c r="E79">
        <v>87</v>
      </c>
      <c r="G79">
        <v>70</v>
      </c>
      <c r="H79">
        <v>30</v>
      </c>
      <c r="I79">
        <v>3</v>
      </c>
      <c r="J79">
        <v>97</v>
      </c>
      <c r="L79">
        <v>80</v>
      </c>
      <c r="M79">
        <v>20</v>
      </c>
      <c r="N79">
        <v>37</v>
      </c>
      <c r="O79">
        <v>63</v>
      </c>
      <c r="Q79">
        <f t="shared" si="6"/>
        <v>26.5</v>
      </c>
      <c r="R79">
        <f t="shared" si="7"/>
        <v>16.5</v>
      </c>
      <c r="S79">
        <f t="shared" si="8"/>
        <v>28.5</v>
      </c>
      <c r="T79">
        <f t="shared" si="9"/>
        <v>23.833333333333332</v>
      </c>
      <c r="AC79">
        <f t="shared" si="10"/>
        <v>16.5</v>
      </c>
      <c r="AD79">
        <f t="shared" si="11"/>
        <v>2.4444444444444438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837B9-D018-4819-8BAE-10BB638B88CF}">
  <dimension ref="A1:AO79"/>
  <sheetViews>
    <sheetView topLeftCell="O44" workbookViewId="0">
      <selection activeCell="AF50" activeCellId="2" sqref="U50:AB50 AE50 AF50"/>
    </sheetView>
  </sheetViews>
  <sheetFormatPr defaultRowHeight="14.4" x14ac:dyDescent="0.3"/>
  <sheetData>
    <row r="1" spans="1:41" x14ac:dyDescent="0.3">
      <c r="A1" t="s">
        <v>11</v>
      </c>
      <c r="Q1" t="s">
        <v>28</v>
      </c>
      <c r="R1" t="s">
        <v>29</v>
      </c>
      <c r="S1" t="s">
        <v>30</v>
      </c>
      <c r="T1" t="s">
        <v>31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32</v>
      </c>
      <c r="AD1" t="s">
        <v>33</v>
      </c>
      <c r="AE1" t="s">
        <v>26</v>
      </c>
      <c r="AF1" t="s">
        <v>27</v>
      </c>
      <c r="AI1" t="s">
        <v>34</v>
      </c>
      <c r="AJ1" t="s">
        <v>24</v>
      </c>
      <c r="AK1" t="s">
        <v>26</v>
      </c>
      <c r="AM1" t="s">
        <v>35</v>
      </c>
      <c r="AN1" t="s">
        <v>24</v>
      </c>
      <c r="AO1" t="s">
        <v>26</v>
      </c>
    </row>
    <row r="2" spans="1:41" x14ac:dyDescent="0.3">
      <c r="B2">
        <v>54</v>
      </c>
      <c r="C2">
        <v>46</v>
      </c>
      <c r="D2">
        <v>8</v>
      </c>
      <c r="E2">
        <v>92</v>
      </c>
      <c r="G2">
        <v>53</v>
      </c>
      <c r="H2">
        <v>47</v>
      </c>
      <c r="I2">
        <v>2</v>
      </c>
      <c r="J2">
        <v>98</v>
      </c>
      <c r="L2">
        <v>67</v>
      </c>
      <c r="M2">
        <v>33</v>
      </c>
      <c r="N2">
        <v>24</v>
      </c>
      <c r="O2">
        <v>76</v>
      </c>
      <c r="Q2">
        <f>AVERAGE(C2:D2)</f>
        <v>27</v>
      </c>
      <c r="R2">
        <f>AVERAGE(H2:I2)</f>
        <v>24.5</v>
      </c>
      <c r="S2">
        <f>AVERAGE(M2:N2)</f>
        <v>28.5</v>
      </c>
      <c r="T2">
        <f>AVERAGE(Q2:S2)</f>
        <v>26.666666666666668</v>
      </c>
      <c r="U2">
        <f>AVERAGE(Q2:Q15)</f>
        <v>25</v>
      </c>
      <c r="V2">
        <f>_xlfn.STDEV.S(Q2:Q15)</f>
        <v>5.4596421409916882</v>
      </c>
      <c r="W2">
        <f>AVERAGE(R2:R15)</f>
        <v>19</v>
      </c>
      <c r="X2">
        <f>_xlfn.STDEV.S(R2:R15)</f>
        <v>7.7409997366668941</v>
      </c>
      <c r="Y2">
        <f>AVERAGE(S2:S15)</f>
        <v>31.607142857142858</v>
      </c>
      <c r="Z2">
        <f>_xlfn.STDEV.S(S2:S15)</f>
        <v>4.6788335636655809</v>
      </c>
      <c r="AA2">
        <f>AVERAGE(T2:T15)</f>
        <v>25.202380952380953</v>
      </c>
      <c r="AB2">
        <f>_xlfn.STDEV.S(T2:T15)</f>
        <v>4.4946209880943364</v>
      </c>
      <c r="AC2">
        <f>MIN(Q2:S2)</f>
        <v>24.5</v>
      </c>
      <c r="AD2">
        <f>(1/3)*(T2-AC2)</f>
        <v>0.72222222222222254</v>
      </c>
      <c r="AE2">
        <f>AVERAGE(AD2:AD15)</f>
        <v>2.1865079365079363</v>
      </c>
      <c r="AF2">
        <f>_xlfn.STDEV.S(AD2:AD15)</f>
        <v>1.1048127347856338</v>
      </c>
    </row>
    <row r="3" spans="1:41" x14ac:dyDescent="0.3">
      <c r="B3">
        <v>26</v>
      </c>
      <c r="C3">
        <v>74</v>
      </c>
      <c r="D3">
        <v>2</v>
      </c>
      <c r="E3">
        <v>98</v>
      </c>
      <c r="G3">
        <v>24</v>
      </c>
      <c r="H3">
        <v>76</v>
      </c>
      <c r="I3">
        <v>1</v>
      </c>
      <c r="J3">
        <v>99</v>
      </c>
      <c r="L3">
        <v>48</v>
      </c>
      <c r="M3">
        <v>52</v>
      </c>
      <c r="N3">
        <v>20</v>
      </c>
      <c r="O3">
        <v>80</v>
      </c>
      <c r="Q3">
        <f t="shared" ref="Q3:Q66" si="0">AVERAGE(C3:D3)</f>
        <v>38</v>
      </c>
      <c r="R3">
        <f t="shared" ref="R3:R66" si="1">AVERAGE(H3:I3)</f>
        <v>38.5</v>
      </c>
      <c r="S3">
        <f t="shared" ref="S3:S66" si="2">AVERAGE(M3:N3)</f>
        <v>36</v>
      </c>
      <c r="T3">
        <f t="shared" ref="T3:T66" si="3">AVERAGE(Q3:S3)</f>
        <v>37.5</v>
      </c>
      <c r="AC3">
        <f t="shared" ref="AC3:AC66" si="4">MIN(Q3:S3)</f>
        <v>36</v>
      </c>
      <c r="AD3">
        <f t="shared" ref="AD3:AD66" si="5">(1/3)*(T3-AC3)</f>
        <v>0.5</v>
      </c>
    </row>
    <row r="4" spans="1:41" x14ac:dyDescent="0.3">
      <c r="B4">
        <v>71</v>
      </c>
      <c r="C4">
        <v>29</v>
      </c>
      <c r="D4">
        <v>6</v>
      </c>
      <c r="E4">
        <v>94</v>
      </c>
      <c r="G4">
        <v>81</v>
      </c>
      <c r="H4">
        <v>19</v>
      </c>
      <c r="I4">
        <v>8</v>
      </c>
      <c r="J4">
        <v>92</v>
      </c>
      <c r="L4">
        <v>64</v>
      </c>
      <c r="M4">
        <v>36</v>
      </c>
      <c r="N4">
        <v>33</v>
      </c>
      <c r="O4">
        <v>67</v>
      </c>
      <c r="Q4">
        <f t="shared" si="0"/>
        <v>17.5</v>
      </c>
      <c r="R4">
        <f t="shared" si="1"/>
        <v>13.5</v>
      </c>
      <c r="S4">
        <f t="shared" si="2"/>
        <v>34.5</v>
      </c>
      <c r="T4">
        <f t="shared" si="3"/>
        <v>21.833333333333332</v>
      </c>
      <c r="AC4">
        <f t="shared" si="4"/>
        <v>13.5</v>
      </c>
      <c r="AD4">
        <f t="shared" si="5"/>
        <v>2.7777777777777772</v>
      </c>
    </row>
    <row r="5" spans="1:41" x14ac:dyDescent="0.3">
      <c r="B5">
        <v>53</v>
      </c>
      <c r="C5">
        <v>47</v>
      </c>
      <c r="D5">
        <v>6</v>
      </c>
      <c r="E5">
        <v>94</v>
      </c>
      <c r="G5">
        <v>61</v>
      </c>
      <c r="H5">
        <v>39</v>
      </c>
      <c r="I5">
        <v>5</v>
      </c>
      <c r="J5">
        <v>95</v>
      </c>
      <c r="L5">
        <v>65</v>
      </c>
      <c r="M5">
        <v>35</v>
      </c>
      <c r="N5">
        <v>28</v>
      </c>
      <c r="O5">
        <v>72</v>
      </c>
      <c r="Q5">
        <f t="shared" si="0"/>
        <v>26.5</v>
      </c>
      <c r="R5">
        <f t="shared" si="1"/>
        <v>22</v>
      </c>
      <c r="S5">
        <f t="shared" si="2"/>
        <v>31.5</v>
      </c>
      <c r="T5">
        <f t="shared" si="3"/>
        <v>26.666666666666668</v>
      </c>
      <c r="AC5">
        <f t="shared" si="4"/>
        <v>22</v>
      </c>
      <c r="AD5">
        <f t="shared" si="5"/>
        <v>1.5555555555555558</v>
      </c>
    </row>
    <row r="6" spans="1:41" x14ac:dyDescent="0.3">
      <c r="B6">
        <v>62</v>
      </c>
      <c r="C6">
        <v>38</v>
      </c>
      <c r="D6">
        <v>8</v>
      </c>
      <c r="E6">
        <v>92</v>
      </c>
      <c r="G6">
        <v>82</v>
      </c>
      <c r="H6">
        <v>18</v>
      </c>
      <c r="I6">
        <v>3</v>
      </c>
      <c r="J6">
        <v>97</v>
      </c>
      <c r="L6">
        <v>73</v>
      </c>
      <c r="M6">
        <v>27</v>
      </c>
      <c r="N6">
        <v>42</v>
      </c>
      <c r="O6">
        <v>58</v>
      </c>
      <c r="Q6">
        <f t="shared" si="0"/>
        <v>23</v>
      </c>
      <c r="R6">
        <f t="shared" si="1"/>
        <v>10.5</v>
      </c>
      <c r="S6">
        <f t="shared" si="2"/>
        <v>34.5</v>
      </c>
      <c r="T6">
        <f t="shared" si="3"/>
        <v>22.666666666666668</v>
      </c>
      <c r="AC6">
        <f t="shared" si="4"/>
        <v>10.5</v>
      </c>
      <c r="AD6">
        <f t="shared" si="5"/>
        <v>4.0555555555555554</v>
      </c>
    </row>
    <row r="7" spans="1:41" x14ac:dyDescent="0.3">
      <c r="B7">
        <v>80</v>
      </c>
      <c r="C7">
        <v>20</v>
      </c>
      <c r="D7">
        <v>9</v>
      </c>
      <c r="E7">
        <v>91</v>
      </c>
      <c r="G7">
        <v>83</v>
      </c>
      <c r="H7">
        <v>17</v>
      </c>
      <c r="I7">
        <v>8</v>
      </c>
      <c r="J7">
        <v>92</v>
      </c>
      <c r="L7">
        <v>71</v>
      </c>
      <c r="M7">
        <v>29</v>
      </c>
      <c r="N7">
        <v>40</v>
      </c>
      <c r="O7">
        <v>60</v>
      </c>
      <c r="Q7">
        <f t="shared" si="0"/>
        <v>14.5</v>
      </c>
      <c r="R7">
        <f t="shared" si="1"/>
        <v>12.5</v>
      </c>
      <c r="S7">
        <f t="shared" si="2"/>
        <v>34.5</v>
      </c>
      <c r="T7">
        <f t="shared" si="3"/>
        <v>20.5</v>
      </c>
      <c r="AC7">
        <f t="shared" si="4"/>
        <v>12.5</v>
      </c>
      <c r="AD7">
        <f t="shared" si="5"/>
        <v>2.6666666666666665</v>
      </c>
    </row>
    <row r="8" spans="1:41" x14ac:dyDescent="0.3">
      <c r="B8">
        <v>64</v>
      </c>
      <c r="C8">
        <v>36</v>
      </c>
      <c r="D8">
        <v>14</v>
      </c>
      <c r="E8">
        <v>86</v>
      </c>
      <c r="G8">
        <v>65</v>
      </c>
      <c r="H8">
        <v>35</v>
      </c>
      <c r="I8">
        <v>7</v>
      </c>
      <c r="J8">
        <v>93</v>
      </c>
      <c r="L8">
        <v>74</v>
      </c>
      <c r="M8">
        <v>26</v>
      </c>
      <c r="N8">
        <v>61</v>
      </c>
      <c r="O8">
        <v>39</v>
      </c>
      <c r="Q8">
        <f t="shared" si="0"/>
        <v>25</v>
      </c>
      <c r="R8">
        <f t="shared" si="1"/>
        <v>21</v>
      </c>
      <c r="S8">
        <f t="shared" si="2"/>
        <v>43.5</v>
      </c>
      <c r="T8">
        <f t="shared" si="3"/>
        <v>29.833333333333332</v>
      </c>
      <c r="AC8">
        <f t="shared" si="4"/>
        <v>21</v>
      </c>
      <c r="AD8">
        <f t="shared" si="5"/>
        <v>2.9444444444444438</v>
      </c>
    </row>
    <row r="9" spans="1:41" x14ac:dyDescent="0.3">
      <c r="B9">
        <v>54</v>
      </c>
      <c r="C9">
        <v>46</v>
      </c>
      <c r="D9">
        <v>4</v>
      </c>
      <c r="E9">
        <v>96</v>
      </c>
      <c r="G9">
        <v>60</v>
      </c>
      <c r="H9">
        <v>40</v>
      </c>
      <c r="I9">
        <v>1</v>
      </c>
      <c r="J9">
        <v>99</v>
      </c>
      <c r="L9">
        <v>62</v>
      </c>
      <c r="M9">
        <v>38</v>
      </c>
      <c r="N9">
        <v>19</v>
      </c>
      <c r="O9">
        <v>81</v>
      </c>
      <c r="Q9">
        <f t="shared" si="0"/>
        <v>25</v>
      </c>
      <c r="R9">
        <f t="shared" si="1"/>
        <v>20.5</v>
      </c>
      <c r="S9">
        <f t="shared" si="2"/>
        <v>28.5</v>
      </c>
      <c r="T9">
        <f t="shared" si="3"/>
        <v>24.666666666666668</v>
      </c>
      <c r="AC9">
        <f t="shared" si="4"/>
        <v>20.5</v>
      </c>
      <c r="AD9">
        <f t="shared" si="5"/>
        <v>1.3888888888888893</v>
      </c>
    </row>
    <row r="10" spans="1:41" x14ac:dyDescent="0.3">
      <c r="B10">
        <v>54</v>
      </c>
      <c r="C10">
        <v>46</v>
      </c>
      <c r="D10">
        <v>5</v>
      </c>
      <c r="E10">
        <v>95</v>
      </c>
      <c r="G10">
        <v>70</v>
      </c>
      <c r="H10">
        <v>30</v>
      </c>
      <c r="I10">
        <v>2</v>
      </c>
      <c r="J10">
        <v>98</v>
      </c>
      <c r="L10">
        <v>76</v>
      </c>
      <c r="M10">
        <v>24</v>
      </c>
      <c r="N10">
        <v>29</v>
      </c>
      <c r="O10">
        <v>71</v>
      </c>
      <c r="Q10">
        <f t="shared" si="0"/>
        <v>25.5</v>
      </c>
      <c r="R10">
        <f t="shared" si="1"/>
        <v>16</v>
      </c>
      <c r="S10">
        <f t="shared" si="2"/>
        <v>26.5</v>
      </c>
      <c r="T10">
        <f t="shared" si="3"/>
        <v>22.666666666666668</v>
      </c>
      <c r="AC10">
        <f t="shared" si="4"/>
        <v>16</v>
      </c>
      <c r="AD10">
        <f t="shared" si="5"/>
        <v>2.2222222222222223</v>
      </c>
    </row>
    <row r="11" spans="1:41" x14ac:dyDescent="0.3">
      <c r="B11">
        <v>45</v>
      </c>
      <c r="C11">
        <v>55</v>
      </c>
      <c r="D11">
        <v>3</v>
      </c>
      <c r="E11">
        <v>97</v>
      </c>
      <c r="G11">
        <v>48</v>
      </c>
      <c r="H11">
        <v>52</v>
      </c>
      <c r="I11">
        <v>4</v>
      </c>
      <c r="J11">
        <v>96</v>
      </c>
      <c r="L11">
        <v>65</v>
      </c>
      <c r="M11">
        <v>35</v>
      </c>
      <c r="N11">
        <v>16</v>
      </c>
      <c r="O11">
        <v>84</v>
      </c>
      <c r="Q11">
        <f t="shared" si="0"/>
        <v>29</v>
      </c>
      <c r="R11">
        <f t="shared" si="1"/>
        <v>28</v>
      </c>
      <c r="S11">
        <f t="shared" si="2"/>
        <v>25.5</v>
      </c>
      <c r="T11">
        <f t="shared" si="3"/>
        <v>27.5</v>
      </c>
      <c r="AC11">
        <f t="shared" si="4"/>
        <v>25.5</v>
      </c>
      <c r="AD11">
        <f t="shared" si="5"/>
        <v>0.66666666666666663</v>
      </c>
    </row>
    <row r="12" spans="1:41" x14ac:dyDescent="0.3">
      <c r="B12">
        <v>61</v>
      </c>
      <c r="C12">
        <v>39</v>
      </c>
      <c r="D12">
        <v>9</v>
      </c>
      <c r="E12">
        <v>91</v>
      </c>
      <c r="G12">
        <v>80</v>
      </c>
      <c r="H12">
        <v>20</v>
      </c>
      <c r="I12">
        <v>8</v>
      </c>
      <c r="J12">
        <v>92</v>
      </c>
      <c r="L12">
        <v>82</v>
      </c>
      <c r="M12">
        <v>18</v>
      </c>
      <c r="N12">
        <v>41</v>
      </c>
      <c r="O12">
        <v>59</v>
      </c>
      <c r="Q12">
        <f t="shared" si="0"/>
        <v>24</v>
      </c>
      <c r="R12">
        <f t="shared" si="1"/>
        <v>14</v>
      </c>
      <c r="S12">
        <f t="shared" si="2"/>
        <v>29.5</v>
      </c>
      <c r="T12">
        <f t="shared" si="3"/>
        <v>22.5</v>
      </c>
      <c r="AC12">
        <f t="shared" si="4"/>
        <v>14</v>
      </c>
      <c r="AD12">
        <f t="shared" si="5"/>
        <v>2.833333333333333</v>
      </c>
    </row>
    <row r="13" spans="1:41" x14ac:dyDescent="0.3">
      <c r="B13">
        <v>50</v>
      </c>
      <c r="C13">
        <v>50</v>
      </c>
      <c r="D13">
        <v>8</v>
      </c>
      <c r="E13">
        <v>92</v>
      </c>
      <c r="G13">
        <v>70</v>
      </c>
      <c r="H13">
        <v>30</v>
      </c>
      <c r="I13">
        <v>5</v>
      </c>
      <c r="J13">
        <v>95</v>
      </c>
      <c r="L13">
        <v>75</v>
      </c>
      <c r="M13">
        <v>25</v>
      </c>
      <c r="N13">
        <v>37</v>
      </c>
      <c r="O13">
        <v>63</v>
      </c>
      <c r="Q13">
        <f t="shared" si="0"/>
        <v>29</v>
      </c>
      <c r="R13">
        <f t="shared" si="1"/>
        <v>17.5</v>
      </c>
      <c r="S13">
        <f t="shared" si="2"/>
        <v>31</v>
      </c>
      <c r="T13">
        <f t="shared" si="3"/>
        <v>25.833333333333332</v>
      </c>
      <c r="AC13">
        <f t="shared" si="4"/>
        <v>17.5</v>
      </c>
      <c r="AD13">
        <f t="shared" si="5"/>
        <v>2.7777777777777772</v>
      </c>
    </row>
    <row r="14" spans="1:41" x14ac:dyDescent="0.3">
      <c r="B14">
        <v>64</v>
      </c>
      <c r="C14">
        <v>36</v>
      </c>
      <c r="D14">
        <v>9</v>
      </c>
      <c r="E14">
        <v>91</v>
      </c>
      <c r="G14">
        <v>89</v>
      </c>
      <c r="H14">
        <v>11</v>
      </c>
      <c r="I14">
        <v>8</v>
      </c>
      <c r="J14">
        <v>92</v>
      </c>
      <c r="L14">
        <v>77</v>
      </c>
      <c r="M14">
        <v>23</v>
      </c>
      <c r="N14">
        <v>35</v>
      </c>
      <c r="O14">
        <v>65</v>
      </c>
      <c r="Q14">
        <f t="shared" si="0"/>
        <v>22.5</v>
      </c>
      <c r="R14">
        <f t="shared" si="1"/>
        <v>9.5</v>
      </c>
      <c r="S14">
        <f t="shared" si="2"/>
        <v>29</v>
      </c>
      <c r="T14">
        <f t="shared" si="3"/>
        <v>20.333333333333332</v>
      </c>
      <c r="AC14">
        <f t="shared" si="4"/>
        <v>9.5</v>
      </c>
      <c r="AD14">
        <f t="shared" si="5"/>
        <v>3.6111111111111107</v>
      </c>
    </row>
    <row r="15" spans="1:41" x14ac:dyDescent="0.3">
      <c r="B15">
        <v>57</v>
      </c>
      <c r="C15">
        <v>43</v>
      </c>
      <c r="D15">
        <v>4</v>
      </c>
      <c r="E15">
        <v>96</v>
      </c>
      <c r="G15">
        <v>65</v>
      </c>
      <c r="H15">
        <v>35</v>
      </c>
      <c r="I15">
        <v>1</v>
      </c>
      <c r="J15">
        <v>99</v>
      </c>
      <c r="L15">
        <v>65</v>
      </c>
      <c r="M15">
        <v>35</v>
      </c>
      <c r="N15">
        <v>24</v>
      </c>
      <c r="O15">
        <v>76</v>
      </c>
      <c r="Q15">
        <f t="shared" si="0"/>
        <v>23.5</v>
      </c>
      <c r="R15">
        <f t="shared" si="1"/>
        <v>18</v>
      </c>
      <c r="S15">
        <f t="shared" si="2"/>
        <v>29.5</v>
      </c>
      <c r="T15">
        <f t="shared" si="3"/>
        <v>23.666666666666668</v>
      </c>
      <c r="AC15">
        <f t="shared" si="4"/>
        <v>18</v>
      </c>
      <c r="AD15">
        <f t="shared" si="5"/>
        <v>1.8888888888888893</v>
      </c>
    </row>
    <row r="17" spans="1:30" x14ac:dyDescent="0.3">
      <c r="A17" t="s">
        <v>9</v>
      </c>
    </row>
    <row r="18" spans="1:30" x14ac:dyDescent="0.3">
      <c r="B18">
        <v>65</v>
      </c>
      <c r="C18">
        <v>35</v>
      </c>
      <c r="D18">
        <v>12</v>
      </c>
      <c r="E18">
        <v>88</v>
      </c>
      <c r="G18">
        <v>69</v>
      </c>
      <c r="H18">
        <v>31</v>
      </c>
      <c r="I18">
        <v>6</v>
      </c>
      <c r="J18">
        <v>94</v>
      </c>
      <c r="L18">
        <v>74</v>
      </c>
      <c r="M18">
        <v>26</v>
      </c>
      <c r="N18">
        <v>26</v>
      </c>
      <c r="O18">
        <v>74</v>
      </c>
      <c r="Q18">
        <f t="shared" si="0"/>
        <v>23.5</v>
      </c>
      <c r="R18">
        <f t="shared" si="1"/>
        <v>18.5</v>
      </c>
      <c r="S18">
        <f t="shared" si="2"/>
        <v>26</v>
      </c>
      <c r="T18">
        <f t="shared" si="3"/>
        <v>22.666666666666668</v>
      </c>
      <c r="AA18">
        <f>AVERAGE(T18:T31)</f>
        <v>24.190476190476186</v>
      </c>
      <c r="AC18">
        <f t="shared" si="4"/>
        <v>18.5</v>
      </c>
      <c r="AD18">
        <f t="shared" si="5"/>
        <v>1.3888888888888893</v>
      </c>
    </row>
    <row r="19" spans="1:30" x14ac:dyDescent="0.3">
      <c r="B19">
        <v>60</v>
      </c>
      <c r="C19">
        <v>40</v>
      </c>
      <c r="D19">
        <v>10</v>
      </c>
      <c r="E19">
        <v>90</v>
      </c>
      <c r="G19">
        <v>72</v>
      </c>
      <c r="H19">
        <v>28</v>
      </c>
      <c r="I19">
        <v>6</v>
      </c>
      <c r="J19">
        <v>94</v>
      </c>
      <c r="L19">
        <v>75</v>
      </c>
      <c r="M19">
        <v>25</v>
      </c>
      <c r="N19">
        <v>44</v>
      </c>
      <c r="O19">
        <v>56</v>
      </c>
      <c r="Q19">
        <f t="shared" si="0"/>
        <v>25</v>
      </c>
      <c r="R19">
        <f t="shared" si="1"/>
        <v>17</v>
      </c>
      <c r="S19">
        <f t="shared" si="2"/>
        <v>34.5</v>
      </c>
      <c r="T19">
        <f t="shared" si="3"/>
        <v>25.5</v>
      </c>
      <c r="AC19">
        <f t="shared" si="4"/>
        <v>17</v>
      </c>
      <c r="AD19">
        <f t="shared" si="5"/>
        <v>2.833333333333333</v>
      </c>
    </row>
    <row r="20" spans="1:30" x14ac:dyDescent="0.3">
      <c r="B20">
        <v>62</v>
      </c>
      <c r="C20">
        <v>38</v>
      </c>
      <c r="D20">
        <v>8</v>
      </c>
      <c r="E20">
        <v>92</v>
      </c>
      <c r="G20">
        <v>78</v>
      </c>
      <c r="H20">
        <v>22</v>
      </c>
      <c r="I20">
        <v>7</v>
      </c>
      <c r="J20">
        <v>93</v>
      </c>
      <c r="L20">
        <v>74</v>
      </c>
      <c r="M20">
        <v>26</v>
      </c>
      <c r="N20">
        <v>50</v>
      </c>
      <c r="O20">
        <v>50</v>
      </c>
      <c r="Q20">
        <f t="shared" si="0"/>
        <v>23</v>
      </c>
      <c r="R20">
        <f t="shared" si="1"/>
        <v>14.5</v>
      </c>
      <c r="S20">
        <f t="shared" si="2"/>
        <v>38</v>
      </c>
      <c r="T20">
        <f t="shared" si="3"/>
        <v>25.166666666666668</v>
      </c>
      <c r="AC20">
        <f t="shared" si="4"/>
        <v>14.5</v>
      </c>
      <c r="AD20">
        <f t="shared" si="5"/>
        <v>3.5555555555555558</v>
      </c>
    </row>
    <row r="21" spans="1:30" x14ac:dyDescent="0.3">
      <c r="B21">
        <v>58</v>
      </c>
      <c r="C21">
        <v>42</v>
      </c>
      <c r="D21">
        <v>9</v>
      </c>
      <c r="E21">
        <v>91</v>
      </c>
      <c r="G21">
        <v>62</v>
      </c>
      <c r="H21">
        <v>38</v>
      </c>
      <c r="I21">
        <v>2</v>
      </c>
      <c r="J21">
        <v>98</v>
      </c>
      <c r="L21">
        <v>72</v>
      </c>
      <c r="M21">
        <v>28</v>
      </c>
      <c r="N21">
        <v>39</v>
      </c>
      <c r="O21">
        <v>61</v>
      </c>
      <c r="Q21">
        <f t="shared" si="0"/>
        <v>25.5</v>
      </c>
      <c r="R21">
        <f t="shared" si="1"/>
        <v>20</v>
      </c>
      <c r="S21">
        <f t="shared" si="2"/>
        <v>33.5</v>
      </c>
      <c r="T21">
        <f t="shared" si="3"/>
        <v>26.333333333333332</v>
      </c>
      <c r="AC21">
        <f t="shared" si="4"/>
        <v>20</v>
      </c>
      <c r="AD21">
        <f t="shared" si="5"/>
        <v>2.1111111111111107</v>
      </c>
    </row>
    <row r="22" spans="1:30" x14ac:dyDescent="0.3">
      <c r="B22">
        <v>66</v>
      </c>
      <c r="C22">
        <v>34</v>
      </c>
      <c r="D22">
        <v>9</v>
      </c>
      <c r="E22">
        <v>91</v>
      </c>
      <c r="G22">
        <v>77</v>
      </c>
      <c r="H22">
        <v>23</v>
      </c>
      <c r="I22">
        <v>4</v>
      </c>
      <c r="J22">
        <v>96</v>
      </c>
      <c r="L22">
        <v>74</v>
      </c>
      <c r="M22">
        <v>26</v>
      </c>
      <c r="N22">
        <v>40</v>
      </c>
      <c r="O22">
        <v>60</v>
      </c>
      <c r="Q22">
        <f t="shared" si="0"/>
        <v>21.5</v>
      </c>
      <c r="R22">
        <f t="shared" si="1"/>
        <v>13.5</v>
      </c>
      <c r="S22">
        <f t="shared" si="2"/>
        <v>33</v>
      </c>
      <c r="T22">
        <f t="shared" si="3"/>
        <v>22.666666666666668</v>
      </c>
      <c r="AC22">
        <f t="shared" si="4"/>
        <v>13.5</v>
      </c>
      <c r="AD22">
        <f t="shared" si="5"/>
        <v>3.0555555555555558</v>
      </c>
    </row>
    <row r="23" spans="1:30" x14ac:dyDescent="0.3">
      <c r="B23">
        <v>52</v>
      </c>
      <c r="C23">
        <v>48</v>
      </c>
      <c r="D23">
        <v>3</v>
      </c>
      <c r="E23">
        <v>97</v>
      </c>
      <c r="G23">
        <v>76</v>
      </c>
      <c r="H23">
        <v>24</v>
      </c>
      <c r="I23">
        <v>7</v>
      </c>
      <c r="J23">
        <v>93</v>
      </c>
      <c r="L23">
        <v>77</v>
      </c>
      <c r="M23">
        <v>23</v>
      </c>
      <c r="N23">
        <v>45</v>
      </c>
      <c r="O23">
        <v>55</v>
      </c>
      <c r="Q23">
        <f t="shared" si="0"/>
        <v>25.5</v>
      </c>
      <c r="R23">
        <f t="shared" si="1"/>
        <v>15.5</v>
      </c>
      <c r="S23">
        <f t="shared" si="2"/>
        <v>34</v>
      </c>
      <c r="T23">
        <f t="shared" si="3"/>
        <v>25</v>
      </c>
      <c r="AC23">
        <f t="shared" si="4"/>
        <v>15.5</v>
      </c>
      <c r="AD23">
        <f t="shared" si="5"/>
        <v>3.1666666666666665</v>
      </c>
    </row>
    <row r="24" spans="1:30" x14ac:dyDescent="0.3">
      <c r="B24">
        <v>66</v>
      </c>
      <c r="C24">
        <v>34</v>
      </c>
      <c r="D24">
        <v>7</v>
      </c>
      <c r="E24">
        <v>93</v>
      </c>
      <c r="G24">
        <v>75</v>
      </c>
      <c r="H24">
        <v>25</v>
      </c>
      <c r="I24">
        <v>10</v>
      </c>
      <c r="J24">
        <v>90</v>
      </c>
      <c r="L24">
        <v>70</v>
      </c>
      <c r="M24">
        <v>30</v>
      </c>
      <c r="N24">
        <v>30</v>
      </c>
      <c r="O24">
        <v>70</v>
      </c>
      <c r="Q24">
        <f t="shared" si="0"/>
        <v>20.5</v>
      </c>
      <c r="R24">
        <f t="shared" si="1"/>
        <v>17.5</v>
      </c>
      <c r="S24">
        <f t="shared" si="2"/>
        <v>30</v>
      </c>
      <c r="T24">
        <f t="shared" si="3"/>
        <v>22.666666666666668</v>
      </c>
      <c r="AC24">
        <f t="shared" si="4"/>
        <v>17.5</v>
      </c>
      <c r="AD24">
        <f t="shared" si="5"/>
        <v>1.7222222222222225</v>
      </c>
    </row>
    <row r="25" spans="1:30" x14ac:dyDescent="0.3">
      <c r="B25">
        <v>72</v>
      </c>
      <c r="C25">
        <v>28</v>
      </c>
      <c r="D25">
        <v>13</v>
      </c>
      <c r="E25">
        <v>87</v>
      </c>
      <c r="G25">
        <v>78</v>
      </c>
      <c r="H25">
        <v>22</v>
      </c>
      <c r="I25">
        <v>11</v>
      </c>
      <c r="J25">
        <v>89</v>
      </c>
      <c r="L25">
        <v>75</v>
      </c>
      <c r="M25">
        <v>25</v>
      </c>
      <c r="N25">
        <v>40</v>
      </c>
      <c r="O25">
        <v>60</v>
      </c>
      <c r="Q25">
        <f t="shared" si="0"/>
        <v>20.5</v>
      </c>
      <c r="R25">
        <f t="shared" si="1"/>
        <v>16.5</v>
      </c>
      <c r="S25">
        <f t="shared" si="2"/>
        <v>32.5</v>
      </c>
      <c r="T25">
        <f t="shared" si="3"/>
        <v>23.166666666666668</v>
      </c>
      <c r="AC25">
        <f t="shared" si="4"/>
        <v>16.5</v>
      </c>
      <c r="AD25">
        <f t="shared" si="5"/>
        <v>2.2222222222222223</v>
      </c>
    </row>
    <row r="26" spans="1:30" x14ac:dyDescent="0.3">
      <c r="B26">
        <v>60</v>
      </c>
      <c r="C26">
        <v>40</v>
      </c>
      <c r="D26">
        <v>8</v>
      </c>
      <c r="E26">
        <v>92</v>
      </c>
      <c r="G26">
        <v>67</v>
      </c>
      <c r="H26">
        <v>33</v>
      </c>
      <c r="I26">
        <v>3</v>
      </c>
      <c r="J26">
        <v>97</v>
      </c>
      <c r="L26">
        <v>65</v>
      </c>
      <c r="M26">
        <v>35</v>
      </c>
      <c r="N26">
        <v>28</v>
      </c>
      <c r="O26">
        <v>72</v>
      </c>
      <c r="Q26">
        <f t="shared" si="0"/>
        <v>24</v>
      </c>
      <c r="R26">
        <f t="shared" si="1"/>
        <v>18</v>
      </c>
      <c r="S26">
        <f t="shared" si="2"/>
        <v>31.5</v>
      </c>
      <c r="T26">
        <f t="shared" si="3"/>
        <v>24.5</v>
      </c>
      <c r="AC26">
        <f t="shared" si="4"/>
        <v>18</v>
      </c>
      <c r="AD26">
        <f t="shared" si="5"/>
        <v>2.1666666666666665</v>
      </c>
    </row>
    <row r="27" spans="1:30" x14ac:dyDescent="0.3">
      <c r="B27">
        <v>43</v>
      </c>
      <c r="C27">
        <v>57</v>
      </c>
      <c r="D27">
        <v>3</v>
      </c>
      <c r="E27">
        <v>97</v>
      </c>
      <c r="G27">
        <v>62</v>
      </c>
      <c r="H27">
        <v>38</v>
      </c>
      <c r="I27">
        <v>4</v>
      </c>
      <c r="J27">
        <v>96</v>
      </c>
      <c r="L27">
        <v>70</v>
      </c>
      <c r="M27">
        <v>30</v>
      </c>
      <c r="N27">
        <v>32</v>
      </c>
      <c r="O27">
        <v>68</v>
      </c>
      <c r="Q27">
        <f t="shared" si="0"/>
        <v>30</v>
      </c>
      <c r="R27">
        <f t="shared" si="1"/>
        <v>21</v>
      </c>
      <c r="S27">
        <f t="shared" si="2"/>
        <v>31</v>
      </c>
      <c r="T27">
        <f t="shared" si="3"/>
        <v>27.333333333333332</v>
      </c>
      <c r="AC27">
        <f t="shared" si="4"/>
        <v>21</v>
      </c>
      <c r="AD27">
        <f t="shared" si="5"/>
        <v>2.1111111111111107</v>
      </c>
    </row>
    <row r="28" spans="1:30" x14ac:dyDescent="0.3">
      <c r="B28">
        <v>64</v>
      </c>
      <c r="C28">
        <v>36</v>
      </c>
      <c r="D28">
        <v>12</v>
      </c>
      <c r="E28">
        <v>88</v>
      </c>
      <c r="G28">
        <v>72</v>
      </c>
      <c r="H28">
        <v>28</v>
      </c>
      <c r="I28">
        <v>2</v>
      </c>
      <c r="J28">
        <v>98</v>
      </c>
      <c r="L28">
        <v>70</v>
      </c>
      <c r="M28">
        <v>30</v>
      </c>
      <c r="N28">
        <v>38</v>
      </c>
      <c r="O28">
        <v>62</v>
      </c>
      <c r="Q28">
        <f t="shared" si="0"/>
        <v>24</v>
      </c>
      <c r="R28">
        <f t="shared" si="1"/>
        <v>15</v>
      </c>
      <c r="S28">
        <f t="shared" si="2"/>
        <v>34</v>
      </c>
      <c r="T28">
        <f t="shared" si="3"/>
        <v>24.333333333333332</v>
      </c>
      <c r="AC28">
        <f t="shared" si="4"/>
        <v>15</v>
      </c>
      <c r="AD28">
        <f t="shared" si="5"/>
        <v>3.1111111111111107</v>
      </c>
    </row>
    <row r="29" spans="1:30" x14ac:dyDescent="0.3">
      <c r="B29">
        <v>69</v>
      </c>
      <c r="C29">
        <v>31</v>
      </c>
      <c r="D29">
        <v>7</v>
      </c>
      <c r="E29">
        <v>93</v>
      </c>
      <c r="G29">
        <v>74</v>
      </c>
      <c r="H29">
        <v>26</v>
      </c>
      <c r="I29">
        <v>4</v>
      </c>
      <c r="J29">
        <v>96</v>
      </c>
      <c r="L29">
        <v>83</v>
      </c>
      <c r="M29">
        <v>17</v>
      </c>
      <c r="N29">
        <v>49</v>
      </c>
      <c r="O29">
        <v>51</v>
      </c>
      <c r="Q29">
        <f t="shared" si="0"/>
        <v>19</v>
      </c>
      <c r="R29">
        <f t="shared" si="1"/>
        <v>15</v>
      </c>
      <c r="S29">
        <f t="shared" si="2"/>
        <v>33</v>
      </c>
      <c r="T29">
        <f t="shared" si="3"/>
        <v>22.333333333333332</v>
      </c>
      <c r="AC29">
        <f t="shared" si="4"/>
        <v>15</v>
      </c>
      <c r="AD29">
        <f t="shared" si="5"/>
        <v>2.4444444444444438</v>
      </c>
    </row>
    <row r="30" spans="1:30" x14ac:dyDescent="0.3">
      <c r="B30">
        <v>63</v>
      </c>
      <c r="C30">
        <v>37</v>
      </c>
      <c r="D30">
        <v>9</v>
      </c>
      <c r="E30">
        <v>91</v>
      </c>
      <c r="G30">
        <v>69</v>
      </c>
      <c r="H30">
        <v>31</v>
      </c>
      <c r="I30">
        <v>6</v>
      </c>
      <c r="J30">
        <v>94</v>
      </c>
      <c r="L30">
        <v>77</v>
      </c>
      <c r="M30">
        <v>23</v>
      </c>
      <c r="N30">
        <v>43</v>
      </c>
      <c r="O30">
        <v>57</v>
      </c>
      <c r="Q30">
        <f t="shared" si="0"/>
        <v>23</v>
      </c>
      <c r="R30">
        <f t="shared" si="1"/>
        <v>18.5</v>
      </c>
      <c r="S30">
        <f t="shared" si="2"/>
        <v>33</v>
      </c>
      <c r="T30">
        <f t="shared" si="3"/>
        <v>24.833333333333332</v>
      </c>
      <c r="AC30">
        <f t="shared" si="4"/>
        <v>18.5</v>
      </c>
      <c r="AD30">
        <f t="shared" si="5"/>
        <v>2.1111111111111107</v>
      </c>
    </row>
    <row r="31" spans="1:30" x14ac:dyDescent="0.3">
      <c r="B31">
        <v>71</v>
      </c>
      <c r="C31">
        <v>29</v>
      </c>
      <c r="D31">
        <v>14</v>
      </c>
      <c r="E31">
        <v>86</v>
      </c>
      <c r="G31">
        <v>72</v>
      </c>
      <c r="H31">
        <v>28</v>
      </c>
      <c r="I31">
        <v>8</v>
      </c>
      <c r="J31">
        <v>92</v>
      </c>
      <c r="L31">
        <v>73</v>
      </c>
      <c r="M31">
        <v>27</v>
      </c>
      <c r="N31">
        <v>27</v>
      </c>
      <c r="O31">
        <v>73</v>
      </c>
      <c r="Q31">
        <f t="shared" si="0"/>
        <v>21.5</v>
      </c>
      <c r="R31">
        <f t="shared" si="1"/>
        <v>18</v>
      </c>
      <c r="S31">
        <f t="shared" si="2"/>
        <v>27</v>
      </c>
      <c r="T31">
        <f t="shared" si="3"/>
        <v>22.166666666666668</v>
      </c>
      <c r="AC31">
        <f t="shared" si="4"/>
        <v>18</v>
      </c>
      <c r="AD31">
        <f t="shared" si="5"/>
        <v>1.3888888888888893</v>
      </c>
    </row>
    <row r="33" spans="1:30" x14ac:dyDescent="0.3">
      <c r="A33" t="s">
        <v>47</v>
      </c>
    </row>
    <row r="34" spans="1:30" x14ac:dyDescent="0.3">
      <c r="B34">
        <v>67</v>
      </c>
      <c r="C34">
        <v>33</v>
      </c>
      <c r="D34">
        <v>15</v>
      </c>
      <c r="E34">
        <v>85</v>
      </c>
      <c r="G34">
        <v>75</v>
      </c>
      <c r="H34">
        <v>25</v>
      </c>
      <c r="I34">
        <v>9</v>
      </c>
      <c r="J34">
        <v>91</v>
      </c>
      <c r="L34">
        <v>84</v>
      </c>
      <c r="M34">
        <v>16</v>
      </c>
      <c r="N34">
        <v>40</v>
      </c>
      <c r="O34">
        <v>60</v>
      </c>
      <c r="Q34">
        <f t="shared" si="0"/>
        <v>24</v>
      </c>
      <c r="R34">
        <f t="shared" si="1"/>
        <v>17</v>
      </c>
      <c r="S34">
        <f t="shared" si="2"/>
        <v>28</v>
      </c>
      <c r="T34">
        <f t="shared" si="3"/>
        <v>23</v>
      </c>
      <c r="AA34">
        <f>AVERAGE(T34:T47)</f>
        <v>24.714285714285719</v>
      </c>
      <c r="AC34">
        <f t="shared" si="4"/>
        <v>17</v>
      </c>
      <c r="AD34">
        <f t="shared" si="5"/>
        <v>2</v>
      </c>
    </row>
    <row r="35" spans="1:30" x14ac:dyDescent="0.3">
      <c r="B35">
        <v>60</v>
      </c>
      <c r="C35">
        <v>40</v>
      </c>
      <c r="D35">
        <v>10</v>
      </c>
      <c r="E35">
        <v>90</v>
      </c>
      <c r="G35">
        <v>74</v>
      </c>
      <c r="H35">
        <v>26</v>
      </c>
      <c r="I35">
        <v>10</v>
      </c>
      <c r="J35">
        <v>90</v>
      </c>
      <c r="L35">
        <v>76</v>
      </c>
      <c r="M35">
        <v>24</v>
      </c>
      <c r="N35">
        <v>52</v>
      </c>
      <c r="O35">
        <v>48</v>
      </c>
      <c r="Q35">
        <f t="shared" si="0"/>
        <v>25</v>
      </c>
      <c r="R35">
        <f t="shared" si="1"/>
        <v>18</v>
      </c>
      <c r="S35">
        <f t="shared" si="2"/>
        <v>38</v>
      </c>
      <c r="T35">
        <f t="shared" si="3"/>
        <v>27</v>
      </c>
      <c r="AC35">
        <f t="shared" si="4"/>
        <v>18</v>
      </c>
      <c r="AD35">
        <f t="shared" si="5"/>
        <v>3</v>
      </c>
    </row>
    <row r="36" spans="1:30" x14ac:dyDescent="0.3">
      <c r="B36">
        <v>56</v>
      </c>
      <c r="C36">
        <v>44</v>
      </c>
      <c r="D36">
        <v>3</v>
      </c>
      <c r="E36">
        <v>97</v>
      </c>
      <c r="G36">
        <v>69</v>
      </c>
      <c r="H36">
        <v>31</v>
      </c>
      <c r="I36">
        <v>5</v>
      </c>
      <c r="J36">
        <v>95</v>
      </c>
      <c r="L36">
        <v>65</v>
      </c>
      <c r="M36">
        <v>35</v>
      </c>
      <c r="N36">
        <v>33</v>
      </c>
      <c r="O36">
        <v>67</v>
      </c>
      <c r="Q36">
        <f t="shared" si="0"/>
        <v>23.5</v>
      </c>
      <c r="R36">
        <f t="shared" si="1"/>
        <v>18</v>
      </c>
      <c r="S36">
        <f t="shared" si="2"/>
        <v>34</v>
      </c>
      <c r="T36">
        <f t="shared" si="3"/>
        <v>25.166666666666668</v>
      </c>
      <c r="AC36">
        <f t="shared" si="4"/>
        <v>18</v>
      </c>
      <c r="AD36">
        <f t="shared" si="5"/>
        <v>2.3888888888888893</v>
      </c>
    </row>
    <row r="37" spans="1:30" x14ac:dyDescent="0.3">
      <c r="B37">
        <v>60</v>
      </c>
      <c r="C37">
        <v>40</v>
      </c>
      <c r="D37">
        <v>10</v>
      </c>
      <c r="E37">
        <v>90</v>
      </c>
      <c r="G37">
        <v>74</v>
      </c>
      <c r="H37">
        <v>26</v>
      </c>
      <c r="I37">
        <v>2</v>
      </c>
      <c r="J37">
        <v>98</v>
      </c>
      <c r="L37">
        <v>61</v>
      </c>
      <c r="M37">
        <v>39</v>
      </c>
      <c r="N37">
        <v>23</v>
      </c>
      <c r="O37">
        <v>77</v>
      </c>
      <c r="Q37">
        <f t="shared" si="0"/>
        <v>25</v>
      </c>
      <c r="R37">
        <f t="shared" si="1"/>
        <v>14</v>
      </c>
      <c r="S37">
        <f t="shared" si="2"/>
        <v>31</v>
      </c>
      <c r="T37">
        <f t="shared" si="3"/>
        <v>23.333333333333332</v>
      </c>
      <c r="AC37">
        <f t="shared" si="4"/>
        <v>14</v>
      </c>
      <c r="AD37">
        <f t="shared" si="5"/>
        <v>3.1111111111111107</v>
      </c>
    </row>
    <row r="38" spans="1:30" x14ac:dyDescent="0.3">
      <c r="B38">
        <v>46</v>
      </c>
      <c r="C38">
        <v>54</v>
      </c>
      <c r="D38">
        <v>2</v>
      </c>
      <c r="E38">
        <v>98</v>
      </c>
      <c r="G38">
        <v>61</v>
      </c>
      <c r="H38">
        <v>39</v>
      </c>
      <c r="I38">
        <v>1</v>
      </c>
      <c r="J38">
        <v>99</v>
      </c>
      <c r="L38">
        <v>71</v>
      </c>
      <c r="M38">
        <v>29</v>
      </c>
      <c r="N38">
        <v>46</v>
      </c>
      <c r="O38">
        <v>54</v>
      </c>
      <c r="Q38">
        <f t="shared" si="0"/>
        <v>28</v>
      </c>
      <c r="R38">
        <f t="shared" si="1"/>
        <v>20</v>
      </c>
      <c r="S38">
        <f t="shared" si="2"/>
        <v>37.5</v>
      </c>
      <c r="T38">
        <f t="shared" si="3"/>
        <v>28.5</v>
      </c>
      <c r="AC38">
        <f t="shared" si="4"/>
        <v>20</v>
      </c>
      <c r="AD38">
        <f t="shared" si="5"/>
        <v>2.833333333333333</v>
      </c>
    </row>
    <row r="39" spans="1:30" x14ac:dyDescent="0.3">
      <c r="B39">
        <v>57</v>
      </c>
      <c r="C39">
        <v>43</v>
      </c>
      <c r="D39">
        <v>5</v>
      </c>
      <c r="E39">
        <v>95</v>
      </c>
      <c r="G39">
        <v>68</v>
      </c>
      <c r="H39">
        <v>32</v>
      </c>
      <c r="I39">
        <v>5</v>
      </c>
      <c r="J39">
        <v>95</v>
      </c>
      <c r="L39">
        <v>65</v>
      </c>
      <c r="M39">
        <v>35</v>
      </c>
      <c r="N39">
        <v>30</v>
      </c>
      <c r="O39">
        <v>70</v>
      </c>
      <c r="Q39">
        <f t="shared" si="0"/>
        <v>24</v>
      </c>
      <c r="R39">
        <f t="shared" si="1"/>
        <v>18.5</v>
      </c>
      <c r="S39">
        <f t="shared" si="2"/>
        <v>32.5</v>
      </c>
      <c r="T39">
        <f t="shared" si="3"/>
        <v>25</v>
      </c>
      <c r="AC39">
        <f t="shared" si="4"/>
        <v>18.5</v>
      </c>
      <c r="AD39">
        <f t="shared" si="5"/>
        <v>2.1666666666666665</v>
      </c>
    </row>
    <row r="40" spans="1:30" x14ac:dyDescent="0.3">
      <c r="B40">
        <v>59</v>
      </c>
      <c r="C40">
        <v>41</v>
      </c>
      <c r="D40">
        <v>13</v>
      </c>
      <c r="E40">
        <v>87</v>
      </c>
      <c r="G40">
        <v>79</v>
      </c>
      <c r="H40">
        <v>21</v>
      </c>
      <c r="I40">
        <v>5</v>
      </c>
      <c r="J40">
        <v>95</v>
      </c>
      <c r="L40">
        <v>71</v>
      </c>
      <c r="M40">
        <v>29</v>
      </c>
      <c r="N40">
        <v>27</v>
      </c>
      <c r="O40">
        <v>73</v>
      </c>
      <c r="Q40">
        <f t="shared" si="0"/>
        <v>27</v>
      </c>
      <c r="R40">
        <f t="shared" si="1"/>
        <v>13</v>
      </c>
      <c r="S40">
        <f t="shared" si="2"/>
        <v>28</v>
      </c>
      <c r="T40">
        <f t="shared" si="3"/>
        <v>22.666666666666668</v>
      </c>
      <c r="AC40">
        <f t="shared" si="4"/>
        <v>13</v>
      </c>
      <c r="AD40">
        <f t="shared" si="5"/>
        <v>3.2222222222222223</v>
      </c>
    </row>
    <row r="41" spans="1:30" x14ac:dyDescent="0.3">
      <c r="B41">
        <v>55</v>
      </c>
      <c r="C41">
        <v>45</v>
      </c>
      <c r="D41">
        <v>12</v>
      </c>
      <c r="E41">
        <v>88</v>
      </c>
      <c r="G41">
        <v>76</v>
      </c>
      <c r="H41">
        <v>24</v>
      </c>
      <c r="I41">
        <v>9</v>
      </c>
      <c r="J41">
        <v>91</v>
      </c>
      <c r="L41">
        <v>69</v>
      </c>
      <c r="M41">
        <v>31</v>
      </c>
      <c r="N41">
        <v>41</v>
      </c>
      <c r="O41">
        <v>59</v>
      </c>
      <c r="Q41">
        <f t="shared" si="0"/>
        <v>28.5</v>
      </c>
      <c r="R41">
        <f t="shared" si="1"/>
        <v>16.5</v>
      </c>
      <c r="S41">
        <f t="shared" si="2"/>
        <v>36</v>
      </c>
      <c r="T41">
        <f t="shared" si="3"/>
        <v>27</v>
      </c>
      <c r="AC41">
        <f t="shared" si="4"/>
        <v>16.5</v>
      </c>
      <c r="AD41">
        <f t="shared" si="5"/>
        <v>3.5</v>
      </c>
    </row>
    <row r="42" spans="1:30" x14ac:dyDescent="0.3">
      <c r="B42">
        <v>66</v>
      </c>
      <c r="C42">
        <v>34</v>
      </c>
      <c r="D42">
        <v>4</v>
      </c>
      <c r="E42">
        <v>96</v>
      </c>
      <c r="G42">
        <v>65</v>
      </c>
      <c r="H42">
        <v>35</v>
      </c>
      <c r="I42">
        <v>5</v>
      </c>
      <c r="J42">
        <v>95</v>
      </c>
      <c r="L42">
        <v>77</v>
      </c>
      <c r="M42">
        <v>23</v>
      </c>
      <c r="N42">
        <v>30</v>
      </c>
      <c r="O42">
        <v>70</v>
      </c>
      <c r="Q42">
        <f t="shared" si="0"/>
        <v>19</v>
      </c>
      <c r="R42">
        <f t="shared" si="1"/>
        <v>20</v>
      </c>
      <c r="S42">
        <f t="shared" si="2"/>
        <v>26.5</v>
      </c>
      <c r="T42">
        <f t="shared" si="3"/>
        <v>21.833333333333332</v>
      </c>
      <c r="AC42">
        <f t="shared" si="4"/>
        <v>19</v>
      </c>
      <c r="AD42">
        <f t="shared" si="5"/>
        <v>0.94444444444444398</v>
      </c>
    </row>
    <row r="43" spans="1:30" x14ac:dyDescent="0.3">
      <c r="B43">
        <v>67</v>
      </c>
      <c r="C43">
        <v>33</v>
      </c>
      <c r="D43">
        <v>10</v>
      </c>
      <c r="E43">
        <v>90</v>
      </c>
      <c r="G43">
        <v>78</v>
      </c>
      <c r="H43">
        <v>22</v>
      </c>
      <c r="I43">
        <v>5</v>
      </c>
      <c r="J43">
        <v>95</v>
      </c>
      <c r="L43">
        <v>83</v>
      </c>
      <c r="M43">
        <v>17</v>
      </c>
      <c r="N43">
        <v>53</v>
      </c>
      <c r="O43">
        <v>47</v>
      </c>
      <c r="Q43">
        <f t="shared" si="0"/>
        <v>21.5</v>
      </c>
      <c r="R43">
        <f t="shared" si="1"/>
        <v>13.5</v>
      </c>
      <c r="S43">
        <f t="shared" si="2"/>
        <v>35</v>
      </c>
      <c r="T43">
        <f t="shared" si="3"/>
        <v>23.333333333333332</v>
      </c>
      <c r="AC43">
        <f t="shared" si="4"/>
        <v>13.5</v>
      </c>
      <c r="AD43">
        <f t="shared" si="5"/>
        <v>3.2777777777777772</v>
      </c>
    </row>
    <row r="44" spans="1:30" x14ac:dyDescent="0.3">
      <c r="B44">
        <v>62</v>
      </c>
      <c r="C44">
        <v>38</v>
      </c>
      <c r="D44">
        <v>9</v>
      </c>
      <c r="E44">
        <v>91</v>
      </c>
      <c r="G44">
        <v>73</v>
      </c>
      <c r="H44">
        <v>27</v>
      </c>
      <c r="I44">
        <v>6</v>
      </c>
      <c r="J44">
        <v>94</v>
      </c>
      <c r="L44">
        <v>80</v>
      </c>
      <c r="M44">
        <v>20</v>
      </c>
      <c r="N44">
        <v>46</v>
      </c>
      <c r="O44">
        <v>54</v>
      </c>
      <c r="Q44">
        <f t="shared" si="0"/>
        <v>23.5</v>
      </c>
      <c r="R44">
        <f t="shared" si="1"/>
        <v>16.5</v>
      </c>
      <c r="S44">
        <f t="shared" si="2"/>
        <v>33</v>
      </c>
      <c r="T44">
        <f t="shared" si="3"/>
        <v>24.333333333333332</v>
      </c>
      <c r="AC44">
        <f t="shared" si="4"/>
        <v>16.5</v>
      </c>
      <c r="AD44">
        <f t="shared" si="5"/>
        <v>2.6111111111111107</v>
      </c>
    </row>
    <row r="45" spans="1:30" x14ac:dyDescent="0.3">
      <c r="B45">
        <v>71</v>
      </c>
      <c r="C45">
        <v>29</v>
      </c>
      <c r="D45">
        <v>19</v>
      </c>
      <c r="E45">
        <v>81</v>
      </c>
      <c r="G45">
        <v>60</v>
      </c>
      <c r="H45">
        <v>40</v>
      </c>
      <c r="I45">
        <v>2</v>
      </c>
      <c r="J45">
        <v>98</v>
      </c>
      <c r="L45">
        <v>62</v>
      </c>
      <c r="M45">
        <v>38</v>
      </c>
      <c r="N45">
        <v>25</v>
      </c>
      <c r="O45">
        <v>75</v>
      </c>
      <c r="Q45">
        <f t="shared" si="0"/>
        <v>24</v>
      </c>
      <c r="R45">
        <f t="shared" si="1"/>
        <v>21</v>
      </c>
      <c r="S45">
        <f t="shared" si="2"/>
        <v>31.5</v>
      </c>
      <c r="T45">
        <f t="shared" si="3"/>
        <v>25.5</v>
      </c>
      <c r="AC45">
        <f t="shared" si="4"/>
        <v>21</v>
      </c>
      <c r="AD45">
        <f t="shared" si="5"/>
        <v>1.5</v>
      </c>
    </row>
    <row r="46" spans="1:30" x14ac:dyDescent="0.3">
      <c r="B46">
        <v>69</v>
      </c>
      <c r="C46">
        <v>31</v>
      </c>
      <c r="D46">
        <v>10</v>
      </c>
      <c r="E46">
        <v>90</v>
      </c>
      <c r="G46">
        <v>76</v>
      </c>
      <c r="H46">
        <v>24</v>
      </c>
      <c r="I46">
        <v>9</v>
      </c>
      <c r="J46">
        <v>91</v>
      </c>
      <c r="L46">
        <v>74</v>
      </c>
      <c r="M46">
        <v>26</v>
      </c>
      <c r="N46">
        <v>42</v>
      </c>
      <c r="O46">
        <v>58</v>
      </c>
      <c r="Q46">
        <f t="shared" si="0"/>
        <v>20.5</v>
      </c>
      <c r="R46">
        <f t="shared" si="1"/>
        <v>16.5</v>
      </c>
      <c r="S46">
        <f t="shared" si="2"/>
        <v>34</v>
      </c>
      <c r="T46">
        <f t="shared" si="3"/>
        <v>23.666666666666668</v>
      </c>
      <c r="AC46">
        <f t="shared" si="4"/>
        <v>16.5</v>
      </c>
      <c r="AD46">
        <f t="shared" si="5"/>
        <v>2.3888888888888893</v>
      </c>
    </row>
    <row r="47" spans="1:30" x14ac:dyDescent="0.3">
      <c r="B47">
        <v>66</v>
      </c>
      <c r="C47">
        <v>34</v>
      </c>
      <c r="D47">
        <v>6</v>
      </c>
      <c r="E47">
        <v>94</v>
      </c>
      <c r="G47">
        <v>72</v>
      </c>
      <c r="H47">
        <v>28</v>
      </c>
      <c r="I47">
        <v>3</v>
      </c>
      <c r="J47">
        <v>97</v>
      </c>
      <c r="L47">
        <v>61</v>
      </c>
      <c r="M47">
        <v>39</v>
      </c>
      <c r="N47">
        <v>44</v>
      </c>
      <c r="O47">
        <v>56</v>
      </c>
      <c r="Q47">
        <f t="shared" si="0"/>
        <v>20</v>
      </c>
      <c r="R47">
        <f t="shared" si="1"/>
        <v>15.5</v>
      </c>
      <c r="S47">
        <f t="shared" si="2"/>
        <v>41.5</v>
      </c>
      <c r="T47">
        <f t="shared" si="3"/>
        <v>25.666666666666668</v>
      </c>
      <c r="AC47">
        <f t="shared" si="4"/>
        <v>15.5</v>
      </c>
      <c r="AD47">
        <f t="shared" si="5"/>
        <v>3.3888888888888893</v>
      </c>
    </row>
    <row r="49" spans="1:32" x14ac:dyDescent="0.3">
      <c r="A49" t="s">
        <v>48</v>
      </c>
    </row>
    <row r="50" spans="1:32" x14ac:dyDescent="0.3">
      <c r="B50">
        <v>64</v>
      </c>
      <c r="C50">
        <v>36</v>
      </c>
      <c r="D50">
        <v>8</v>
      </c>
      <c r="E50">
        <v>92</v>
      </c>
      <c r="G50">
        <v>72</v>
      </c>
      <c r="H50">
        <v>28</v>
      </c>
      <c r="I50">
        <v>8</v>
      </c>
      <c r="J50">
        <v>92</v>
      </c>
      <c r="L50">
        <v>79</v>
      </c>
      <c r="M50">
        <v>21</v>
      </c>
      <c r="N50">
        <v>45</v>
      </c>
      <c r="O50">
        <v>55</v>
      </c>
      <c r="Q50">
        <f t="shared" si="0"/>
        <v>22</v>
      </c>
      <c r="R50">
        <f t="shared" si="1"/>
        <v>18</v>
      </c>
      <c r="S50">
        <f t="shared" si="2"/>
        <v>33</v>
      </c>
      <c r="T50">
        <f t="shared" si="3"/>
        <v>24.333333333333332</v>
      </c>
      <c r="U50">
        <f>AVERAGE(Q50:Q63)</f>
        <v>22.392857142857142</v>
      </c>
      <c r="V50">
        <f>_xlfn.STDEV.S(Q50:Q63)</f>
        <v>3.4091425237517892</v>
      </c>
      <c r="W50">
        <f>AVERAGE(R50:R63)</f>
        <v>16.821428571428573</v>
      </c>
      <c r="X50">
        <f>_xlfn.STDEV.S(R50:R63)</f>
        <v>3.1901720646695235</v>
      </c>
      <c r="Y50">
        <f>AVERAGE(S50:S63)</f>
        <v>30.821428571428573</v>
      </c>
      <c r="Z50">
        <f>_xlfn.STDEV.S(S50:S63)</f>
        <v>4.6970004456901133</v>
      </c>
      <c r="AA50">
        <f>AVERAGE(T50:T63)</f>
        <v>23.345238095238095</v>
      </c>
      <c r="AB50">
        <f>_xlfn.STDEV.S(T50:T63)</f>
        <v>2.2230958295033227</v>
      </c>
      <c r="AC50">
        <f t="shared" si="4"/>
        <v>18</v>
      </c>
      <c r="AD50">
        <f t="shared" si="5"/>
        <v>2.1111111111111107</v>
      </c>
      <c r="AE50">
        <f>AVERAGE(AD50:AD63)</f>
        <v>2.2936507936507939</v>
      </c>
      <c r="AF50">
        <f>_xlfn.STDEV.S(AD50:AD63)</f>
        <v>0.98116850202108297</v>
      </c>
    </row>
    <row r="51" spans="1:32" x14ac:dyDescent="0.3">
      <c r="B51">
        <v>67</v>
      </c>
      <c r="C51">
        <v>33</v>
      </c>
      <c r="D51">
        <v>7</v>
      </c>
      <c r="E51">
        <v>93</v>
      </c>
      <c r="G51">
        <v>55</v>
      </c>
      <c r="H51">
        <v>45</v>
      </c>
      <c r="I51">
        <v>5</v>
      </c>
      <c r="J51">
        <v>95</v>
      </c>
      <c r="L51">
        <v>70</v>
      </c>
      <c r="M51">
        <v>30</v>
      </c>
      <c r="N51">
        <v>34</v>
      </c>
      <c r="O51">
        <v>66</v>
      </c>
      <c r="Q51">
        <f t="shared" si="0"/>
        <v>20</v>
      </c>
      <c r="R51">
        <f t="shared" si="1"/>
        <v>25</v>
      </c>
      <c r="S51">
        <f t="shared" si="2"/>
        <v>32</v>
      </c>
      <c r="T51">
        <f t="shared" si="3"/>
        <v>25.666666666666668</v>
      </c>
      <c r="AC51">
        <f t="shared" si="4"/>
        <v>20</v>
      </c>
      <c r="AD51">
        <f t="shared" si="5"/>
        <v>1.8888888888888893</v>
      </c>
    </row>
    <row r="52" spans="1:32" x14ac:dyDescent="0.3">
      <c r="B52">
        <v>64</v>
      </c>
      <c r="C52">
        <v>36</v>
      </c>
      <c r="D52">
        <v>11</v>
      </c>
      <c r="E52">
        <v>89</v>
      </c>
      <c r="G52">
        <v>73</v>
      </c>
      <c r="H52">
        <v>27</v>
      </c>
      <c r="I52">
        <v>7</v>
      </c>
      <c r="J52">
        <v>93</v>
      </c>
      <c r="L52">
        <v>78</v>
      </c>
      <c r="M52">
        <v>22</v>
      </c>
      <c r="N52">
        <v>35</v>
      </c>
      <c r="O52">
        <v>65</v>
      </c>
      <c r="Q52">
        <f t="shared" si="0"/>
        <v>23.5</v>
      </c>
      <c r="R52">
        <f t="shared" si="1"/>
        <v>17</v>
      </c>
      <c r="S52">
        <f t="shared" si="2"/>
        <v>28.5</v>
      </c>
      <c r="T52">
        <f t="shared" si="3"/>
        <v>23</v>
      </c>
      <c r="AC52">
        <f t="shared" si="4"/>
        <v>17</v>
      </c>
      <c r="AD52">
        <f t="shared" si="5"/>
        <v>2</v>
      </c>
    </row>
    <row r="53" spans="1:32" x14ac:dyDescent="0.3">
      <c r="B53">
        <v>66</v>
      </c>
      <c r="C53">
        <v>34</v>
      </c>
      <c r="D53">
        <v>5</v>
      </c>
      <c r="E53">
        <v>95</v>
      </c>
      <c r="G53">
        <v>66</v>
      </c>
      <c r="H53">
        <v>34</v>
      </c>
      <c r="I53">
        <v>4</v>
      </c>
      <c r="J53">
        <v>96</v>
      </c>
      <c r="L53">
        <v>68</v>
      </c>
      <c r="M53">
        <v>32</v>
      </c>
      <c r="N53">
        <v>16</v>
      </c>
      <c r="O53">
        <v>84</v>
      </c>
      <c r="Q53">
        <f t="shared" si="0"/>
        <v>19.5</v>
      </c>
      <c r="R53">
        <f t="shared" si="1"/>
        <v>19</v>
      </c>
      <c r="S53">
        <f t="shared" si="2"/>
        <v>24</v>
      </c>
      <c r="T53">
        <f t="shared" si="3"/>
        <v>20.833333333333332</v>
      </c>
      <c r="AC53">
        <f t="shared" si="4"/>
        <v>19</v>
      </c>
      <c r="AD53">
        <f t="shared" si="5"/>
        <v>0.61111111111111072</v>
      </c>
    </row>
    <row r="54" spans="1:32" x14ac:dyDescent="0.3">
      <c r="B54">
        <v>69</v>
      </c>
      <c r="C54">
        <v>31</v>
      </c>
      <c r="D54">
        <v>7</v>
      </c>
      <c r="E54">
        <v>93</v>
      </c>
      <c r="G54">
        <v>73</v>
      </c>
      <c r="H54">
        <v>27</v>
      </c>
      <c r="I54">
        <v>4</v>
      </c>
      <c r="J54">
        <v>96</v>
      </c>
      <c r="L54">
        <v>62</v>
      </c>
      <c r="M54">
        <v>38</v>
      </c>
      <c r="N54">
        <v>24</v>
      </c>
      <c r="O54">
        <v>76</v>
      </c>
      <c r="Q54">
        <f t="shared" si="0"/>
        <v>19</v>
      </c>
      <c r="R54">
        <f t="shared" si="1"/>
        <v>15.5</v>
      </c>
      <c r="S54">
        <f t="shared" si="2"/>
        <v>31</v>
      </c>
      <c r="T54">
        <f t="shared" si="3"/>
        <v>21.833333333333332</v>
      </c>
      <c r="AC54">
        <f t="shared" si="4"/>
        <v>15.5</v>
      </c>
      <c r="AD54">
        <f t="shared" si="5"/>
        <v>2.1111111111111107</v>
      </c>
    </row>
    <row r="55" spans="1:32" x14ac:dyDescent="0.3">
      <c r="B55">
        <v>72</v>
      </c>
      <c r="C55">
        <v>28</v>
      </c>
      <c r="D55">
        <v>13</v>
      </c>
      <c r="E55">
        <v>87</v>
      </c>
      <c r="G55">
        <v>74</v>
      </c>
      <c r="H55">
        <v>26</v>
      </c>
      <c r="I55">
        <v>8</v>
      </c>
      <c r="J55">
        <v>92</v>
      </c>
      <c r="L55">
        <v>76</v>
      </c>
      <c r="M55">
        <v>24</v>
      </c>
      <c r="N55">
        <v>24</v>
      </c>
      <c r="O55">
        <v>76</v>
      </c>
      <c r="Q55">
        <f t="shared" si="0"/>
        <v>20.5</v>
      </c>
      <c r="R55">
        <f t="shared" si="1"/>
        <v>17</v>
      </c>
      <c r="S55">
        <f t="shared" si="2"/>
        <v>24</v>
      </c>
      <c r="T55">
        <f t="shared" si="3"/>
        <v>20.5</v>
      </c>
      <c r="AC55">
        <f t="shared" si="4"/>
        <v>17</v>
      </c>
      <c r="AD55">
        <f t="shared" si="5"/>
        <v>1.1666666666666665</v>
      </c>
    </row>
    <row r="56" spans="1:32" x14ac:dyDescent="0.3">
      <c r="B56">
        <v>53</v>
      </c>
      <c r="C56">
        <v>47</v>
      </c>
      <c r="D56">
        <v>15</v>
      </c>
      <c r="E56">
        <v>85</v>
      </c>
      <c r="G56">
        <v>74</v>
      </c>
      <c r="H56">
        <v>26</v>
      </c>
      <c r="I56">
        <v>9</v>
      </c>
      <c r="J56">
        <v>91</v>
      </c>
      <c r="L56">
        <v>64</v>
      </c>
      <c r="M56">
        <v>36</v>
      </c>
      <c r="N56">
        <v>38</v>
      </c>
      <c r="O56">
        <v>62</v>
      </c>
      <c r="Q56">
        <f t="shared" si="0"/>
        <v>31</v>
      </c>
      <c r="R56">
        <f t="shared" si="1"/>
        <v>17.5</v>
      </c>
      <c r="S56">
        <f t="shared" si="2"/>
        <v>37</v>
      </c>
      <c r="T56">
        <f t="shared" si="3"/>
        <v>28.5</v>
      </c>
      <c r="AC56">
        <f t="shared" si="4"/>
        <v>17.5</v>
      </c>
      <c r="AD56">
        <f t="shared" si="5"/>
        <v>3.6666666666666665</v>
      </c>
    </row>
    <row r="57" spans="1:32" x14ac:dyDescent="0.3">
      <c r="B57">
        <v>74</v>
      </c>
      <c r="C57">
        <v>26</v>
      </c>
      <c r="D57">
        <v>8</v>
      </c>
      <c r="E57">
        <v>92</v>
      </c>
      <c r="G57">
        <v>79</v>
      </c>
      <c r="H57">
        <v>21</v>
      </c>
      <c r="I57">
        <v>9</v>
      </c>
      <c r="J57">
        <v>91</v>
      </c>
      <c r="L57">
        <v>83</v>
      </c>
      <c r="M57">
        <v>17</v>
      </c>
      <c r="N57">
        <v>52</v>
      </c>
      <c r="O57">
        <v>48</v>
      </c>
      <c r="Q57">
        <f t="shared" si="0"/>
        <v>17</v>
      </c>
      <c r="R57">
        <f t="shared" si="1"/>
        <v>15</v>
      </c>
      <c r="S57">
        <f t="shared" si="2"/>
        <v>34.5</v>
      </c>
      <c r="T57">
        <f t="shared" si="3"/>
        <v>22.166666666666668</v>
      </c>
      <c r="AC57">
        <f t="shared" si="4"/>
        <v>15</v>
      </c>
      <c r="AD57">
        <f t="shared" si="5"/>
        <v>2.3888888888888893</v>
      </c>
    </row>
    <row r="58" spans="1:32" x14ac:dyDescent="0.3">
      <c r="B58">
        <v>69</v>
      </c>
      <c r="C58">
        <v>31</v>
      </c>
      <c r="D58">
        <v>11</v>
      </c>
      <c r="E58">
        <v>89</v>
      </c>
      <c r="G58">
        <v>70</v>
      </c>
      <c r="H58">
        <v>30</v>
      </c>
      <c r="I58">
        <v>8</v>
      </c>
      <c r="J58">
        <v>92</v>
      </c>
      <c r="L58">
        <v>76</v>
      </c>
      <c r="M58">
        <v>24</v>
      </c>
      <c r="N58">
        <v>33</v>
      </c>
      <c r="O58">
        <v>67</v>
      </c>
      <c r="Q58">
        <f t="shared" si="0"/>
        <v>21</v>
      </c>
      <c r="R58">
        <f t="shared" si="1"/>
        <v>19</v>
      </c>
      <c r="S58">
        <f t="shared" si="2"/>
        <v>28.5</v>
      </c>
      <c r="T58">
        <f t="shared" si="3"/>
        <v>22.833333333333332</v>
      </c>
      <c r="AC58">
        <f t="shared" si="4"/>
        <v>19</v>
      </c>
      <c r="AD58">
        <f t="shared" si="5"/>
        <v>1.2777777777777772</v>
      </c>
    </row>
    <row r="59" spans="1:32" x14ac:dyDescent="0.3">
      <c r="B59">
        <v>68</v>
      </c>
      <c r="C59">
        <v>32</v>
      </c>
      <c r="D59">
        <v>16</v>
      </c>
      <c r="E59">
        <v>84</v>
      </c>
      <c r="G59">
        <v>78</v>
      </c>
      <c r="H59">
        <v>22</v>
      </c>
      <c r="I59">
        <v>4</v>
      </c>
      <c r="J59">
        <v>96</v>
      </c>
      <c r="L59">
        <v>75</v>
      </c>
      <c r="M59">
        <v>25</v>
      </c>
      <c r="N59">
        <v>25</v>
      </c>
      <c r="O59">
        <v>75</v>
      </c>
      <c r="Q59">
        <f t="shared" si="0"/>
        <v>24</v>
      </c>
      <c r="R59">
        <f t="shared" si="1"/>
        <v>13</v>
      </c>
      <c r="S59">
        <f t="shared" si="2"/>
        <v>25</v>
      </c>
      <c r="T59">
        <f t="shared" si="3"/>
        <v>20.666666666666668</v>
      </c>
      <c r="AC59">
        <f t="shared" si="4"/>
        <v>13</v>
      </c>
      <c r="AD59">
        <f t="shared" si="5"/>
        <v>2.5555555555555558</v>
      </c>
    </row>
    <row r="60" spans="1:32" x14ac:dyDescent="0.3">
      <c r="B60">
        <v>70</v>
      </c>
      <c r="C60">
        <v>30</v>
      </c>
      <c r="D60">
        <v>17</v>
      </c>
      <c r="E60">
        <v>83</v>
      </c>
      <c r="G60">
        <v>76</v>
      </c>
      <c r="H60">
        <v>24</v>
      </c>
      <c r="I60">
        <v>10</v>
      </c>
      <c r="J60">
        <v>90</v>
      </c>
      <c r="L60">
        <v>69</v>
      </c>
      <c r="M60">
        <v>31</v>
      </c>
      <c r="N60">
        <v>37</v>
      </c>
      <c r="O60">
        <v>63</v>
      </c>
      <c r="Q60">
        <f t="shared" si="0"/>
        <v>23.5</v>
      </c>
      <c r="R60">
        <f t="shared" si="1"/>
        <v>17</v>
      </c>
      <c r="S60">
        <f t="shared" si="2"/>
        <v>34</v>
      </c>
      <c r="T60">
        <f t="shared" si="3"/>
        <v>24.833333333333332</v>
      </c>
      <c r="AC60">
        <f t="shared" si="4"/>
        <v>17</v>
      </c>
      <c r="AD60">
        <f t="shared" si="5"/>
        <v>2.6111111111111107</v>
      </c>
    </row>
    <row r="61" spans="1:32" x14ac:dyDescent="0.3">
      <c r="B61">
        <v>57</v>
      </c>
      <c r="C61">
        <v>43</v>
      </c>
      <c r="D61">
        <v>6</v>
      </c>
      <c r="E61">
        <v>94</v>
      </c>
      <c r="G61">
        <v>78</v>
      </c>
      <c r="H61">
        <v>22</v>
      </c>
      <c r="I61">
        <v>5</v>
      </c>
      <c r="J61">
        <v>95</v>
      </c>
      <c r="L61">
        <v>64</v>
      </c>
      <c r="M61">
        <v>36</v>
      </c>
      <c r="N61">
        <v>39</v>
      </c>
      <c r="O61">
        <v>61</v>
      </c>
      <c r="Q61">
        <f t="shared" si="0"/>
        <v>24.5</v>
      </c>
      <c r="R61">
        <f t="shared" si="1"/>
        <v>13.5</v>
      </c>
      <c r="S61">
        <f t="shared" si="2"/>
        <v>37.5</v>
      </c>
      <c r="T61">
        <f t="shared" si="3"/>
        <v>25.166666666666668</v>
      </c>
      <c r="AC61">
        <f t="shared" si="4"/>
        <v>13.5</v>
      </c>
      <c r="AD61">
        <f t="shared" si="5"/>
        <v>3.8888888888888893</v>
      </c>
    </row>
    <row r="62" spans="1:32" x14ac:dyDescent="0.3">
      <c r="B62">
        <v>64</v>
      </c>
      <c r="C62">
        <v>36</v>
      </c>
      <c r="D62">
        <v>10</v>
      </c>
      <c r="E62">
        <v>90</v>
      </c>
      <c r="G62">
        <v>82</v>
      </c>
      <c r="H62">
        <v>18</v>
      </c>
      <c r="I62">
        <v>6</v>
      </c>
      <c r="J62">
        <v>94</v>
      </c>
      <c r="L62">
        <v>67</v>
      </c>
      <c r="M62">
        <v>33</v>
      </c>
      <c r="N62">
        <v>38</v>
      </c>
      <c r="O62">
        <v>62</v>
      </c>
      <c r="Q62">
        <f t="shared" si="0"/>
        <v>23</v>
      </c>
      <c r="R62">
        <f t="shared" si="1"/>
        <v>12</v>
      </c>
      <c r="S62">
        <f t="shared" si="2"/>
        <v>35.5</v>
      </c>
      <c r="T62">
        <f t="shared" si="3"/>
        <v>23.5</v>
      </c>
      <c r="AC62">
        <f t="shared" si="4"/>
        <v>12</v>
      </c>
      <c r="AD62">
        <f t="shared" si="5"/>
        <v>3.833333333333333</v>
      </c>
    </row>
    <row r="63" spans="1:32" x14ac:dyDescent="0.3">
      <c r="B63">
        <v>59</v>
      </c>
      <c r="C63">
        <v>41</v>
      </c>
      <c r="D63">
        <v>9</v>
      </c>
      <c r="E63">
        <v>91</v>
      </c>
      <c r="G63">
        <v>74</v>
      </c>
      <c r="H63">
        <v>26</v>
      </c>
      <c r="I63">
        <v>8</v>
      </c>
      <c r="J63">
        <v>92</v>
      </c>
      <c r="L63">
        <v>66</v>
      </c>
      <c r="M63">
        <v>34</v>
      </c>
      <c r="N63">
        <v>20</v>
      </c>
      <c r="O63">
        <v>80</v>
      </c>
      <c r="Q63">
        <f t="shared" si="0"/>
        <v>25</v>
      </c>
      <c r="R63">
        <f t="shared" si="1"/>
        <v>17</v>
      </c>
      <c r="S63">
        <f t="shared" si="2"/>
        <v>27</v>
      </c>
      <c r="T63">
        <f t="shared" si="3"/>
        <v>23</v>
      </c>
      <c r="AC63">
        <f t="shared" si="4"/>
        <v>17</v>
      </c>
      <c r="AD63">
        <f t="shared" si="5"/>
        <v>2</v>
      </c>
    </row>
    <row r="65" spans="1:30" x14ac:dyDescent="0.3">
      <c r="A65" t="s">
        <v>49</v>
      </c>
    </row>
    <row r="66" spans="1:30" x14ac:dyDescent="0.3">
      <c r="B66">
        <v>59</v>
      </c>
      <c r="C66">
        <v>41</v>
      </c>
      <c r="D66">
        <v>16</v>
      </c>
      <c r="E66">
        <v>84</v>
      </c>
      <c r="G66">
        <v>70</v>
      </c>
      <c r="H66">
        <v>30</v>
      </c>
      <c r="I66">
        <v>8</v>
      </c>
      <c r="J66">
        <v>92</v>
      </c>
      <c r="L66">
        <v>72</v>
      </c>
      <c r="M66">
        <v>28</v>
      </c>
      <c r="N66">
        <v>40</v>
      </c>
      <c r="O66">
        <v>60</v>
      </c>
      <c r="Q66">
        <f t="shared" si="0"/>
        <v>28.5</v>
      </c>
      <c r="R66">
        <f t="shared" si="1"/>
        <v>19</v>
      </c>
      <c r="S66">
        <f t="shared" si="2"/>
        <v>34</v>
      </c>
      <c r="T66">
        <f t="shared" si="3"/>
        <v>27.166666666666668</v>
      </c>
      <c r="AA66">
        <f>AVERAGE(T66:T79)</f>
        <v>25.13095238095238</v>
      </c>
      <c r="AC66">
        <f t="shared" si="4"/>
        <v>19</v>
      </c>
      <c r="AD66">
        <f t="shared" si="5"/>
        <v>2.7222222222222223</v>
      </c>
    </row>
    <row r="67" spans="1:30" x14ac:dyDescent="0.3">
      <c r="B67">
        <v>65</v>
      </c>
      <c r="C67">
        <v>35</v>
      </c>
      <c r="D67">
        <v>14</v>
      </c>
      <c r="E67">
        <v>86</v>
      </c>
      <c r="G67">
        <v>68</v>
      </c>
      <c r="H67">
        <v>32</v>
      </c>
      <c r="I67">
        <v>5</v>
      </c>
      <c r="J67">
        <v>95</v>
      </c>
      <c r="L67">
        <v>65</v>
      </c>
      <c r="M67">
        <v>35</v>
      </c>
      <c r="N67">
        <v>43</v>
      </c>
      <c r="O67">
        <v>57</v>
      </c>
      <c r="Q67">
        <f t="shared" ref="Q67:Q79" si="6">AVERAGE(C67:D67)</f>
        <v>24.5</v>
      </c>
      <c r="R67">
        <f t="shared" ref="R67:R79" si="7">AVERAGE(H67:I67)</f>
        <v>18.5</v>
      </c>
      <c r="S67">
        <f t="shared" ref="S67:S79" si="8">AVERAGE(M67:N67)</f>
        <v>39</v>
      </c>
      <c r="T67">
        <f t="shared" ref="T67:T79" si="9">AVERAGE(Q67:S67)</f>
        <v>27.333333333333332</v>
      </c>
      <c r="AC67">
        <f t="shared" ref="AC67:AC79" si="10">MIN(Q67:S67)</f>
        <v>18.5</v>
      </c>
      <c r="AD67">
        <f t="shared" ref="AD67:AD79" si="11">(1/3)*(T67-AC67)</f>
        <v>2.9444444444444438</v>
      </c>
    </row>
    <row r="68" spans="1:30" x14ac:dyDescent="0.3">
      <c r="B68">
        <v>36</v>
      </c>
      <c r="C68">
        <v>64</v>
      </c>
      <c r="D68">
        <v>7</v>
      </c>
      <c r="E68">
        <v>93</v>
      </c>
      <c r="G68">
        <v>44</v>
      </c>
      <c r="H68">
        <v>56</v>
      </c>
      <c r="I68">
        <v>3</v>
      </c>
      <c r="J68">
        <v>97</v>
      </c>
      <c r="L68">
        <v>60</v>
      </c>
      <c r="M68">
        <v>40</v>
      </c>
      <c r="N68">
        <v>32</v>
      </c>
      <c r="O68">
        <v>68</v>
      </c>
      <c r="Q68">
        <f t="shared" si="6"/>
        <v>35.5</v>
      </c>
      <c r="R68">
        <f t="shared" si="7"/>
        <v>29.5</v>
      </c>
      <c r="S68">
        <f t="shared" si="8"/>
        <v>36</v>
      </c>
      <c r="T68">
        <f t="shared" si="9"/>
        <v>33.666666666666664</v>
      </c>
      <c r="AC68">
        <f t="shared" si="10"/>
        <v>29.5</v>
      </c>
      <c r="AD68">
        <f t="shared" si="11"/>
        <v>1.388888888888888</v>
      </c>
    </row>
    <row r="69" spans="1:30" x14ac:dyDescent="0.3">
      <c r="B69">
        <v>68</v>
      </c>
      <c r="C69">
        <v>32</v>
      </c>
      <c r="D69">
        <v>6</v>
      </c>
      <c r="E69">
        <v>94</v>
      </c>
      <c r="G69">
        <v>85</v>
      </c>
      <c r="H69">
        <v>15</v>
      </c>
      <c r="I69">
        <v>9</v>
      </c>
      <c r="J69">
        <v>91</v>
      </c>
      <c r="L69">
        <v>66</v>
      </c>
      <c r="M69">
        <v>34</v>
      </c>
      <c r="N69">
        <v>47</v>
      </c>
      <c r="O69">
        <v>53</v>
      </c>
      <c r="Q69">
        <f t="shared" si="6"/>
        <v>19</v>
      </c>
      <c r="R69">
        <f t="shared" si="7"/>
        <v>12</v>
      </c>
      <c r="S69">
        <f t="shared" si="8"/>
        <v>40.5</v>
      </c>
      <c r="T69">
        <f t="shared" si="9"/>
        <v>23.833333333333332</v>
      </c>
      <c r="AC69">
        <f t="shared" si="10"/>
        <v>12</v>
      </c>
      <c r="AD69">
        <f t="shared" si="11"/>
        <v>3.9444444444444438</v>
      </c>
    </row>
    <row r="70" spans="1:30" x14ac:dyDescent="0.3">
      <c r="B70">
        <v>54</v>
      </c>
      <c r="C70">
        <v>46</v>
      </c>
      <c r="D70">
        <v>4</v>
      </c>
      <c r="E70">
        <v>96</v>
      </c>
      <c r="G70">
        <v>62</v>
      </c>
      <c r="H70">
        <v>38</v>
      </c>
      <c r="I70">
        <v>1</v>
      </c>
      <c r="J70">
        <v>99</v>
      </c>
      <c r="L70">
        <v>52</v>
      </c>
      <c r="M70">
        <v>48</v>
      </c>
      <c r="N70">
        <v>27</v>
      </c>
      <c r="O70">
        <v>73</v>
      </c>
      <c r="Q70">
        <f t="shared" si="6"/>
        <v>25</v>
      </c>
      <c r="R70">
        <f t="shared" si="7"/>
        <v>19.5</v>
      </c>
      <c r="S70">
        <f t="shared" si="8"/>
        <v>37.5</v>
      </c>
      <c r="T70">
        <f t="shared" si="9"/>
        <v>27.333333333333332</v>
      </c>
      <c r="AC70">
        <f t="shared" si="10"/>
        <v>19.5</v>
      </c>
      <c r="AD70">
        <f t="shared" si="11"/>
        <v>2.6111111111111107</v>
      </c>
    </row>
    <row r="71" spans="1:30" x14ac:dyDescent="0.3">
      <c r="B71">
        <v>59</v>
      </c>
      <c r="C71">
        <v>41</v>
      </c>
      <c r="D71">
        <v>7</v>
      </c>
      <c r="E71">
        <v>93</v>
      </c>
      <c r="G71">
        <v>74</v>
      </c>
      <c r="H71">
        <v>26</v>
      </c>
      <c r="I71">
        <v>9</v>
      </c>
      <c r="J71">
        <v>91</v>
      </c>
      <c r="L71">
        <v>74</v>
      </c>
      <c r="M71">
        <v>26</v>
      </c>
      <c r="N71">
        <v>33</v>
      </c>
      <c r="O71">
        <v>67</v>
      </c>
      <c r="Q71">
        <f t="shared" si="6"/>
        <v>24</v>
      </c>
      <c r="R71">
        <f t="shared" si="7"/>
        <v>17.5</v>
      </c>
      <c r="S71">
        <f t="shared" si="8"/>
        <v>29.5</v>
      </c>
      <c r="T71">
        <f t="shared" si="9"/>
        <v>23.666666666666668</v>
      </c>
      <c r="AC71">
        <f t="shared" si="10"/>
        <v>17.5</v>
      </c>
      <c r="AD71">
        <f t="shared" si="11"/>
        <v>2.0555555555555558</v>
      </c>
    </row>
    <row r="72" spans="1:30" x14ac:dyDescent="0.3">
      <c r="B72">
        <v>66</v>
      </c>
      <c r="C72">
        <v>34</v>
      </c>
      <c r="D72">
        <v>5</v>
      </c>
      <c r="E72">
        <v>95</v>
      </c>
      <c r="G72">
        <v>78</v>
      </c>
      <c r="H72">
        <v>22</v>
      </c>
      <c r="I72">
        <v>10</v>
      </c>
      <c r="J72">
        <v>90</v>
      </c>
      <c r="L72">
        <v>77</v>
      </c>
      <c r="M72">
        <v>23</v>
      </c>
      <c r="N72">
        <v>32</v>
      </c>
      <c r="O72">
        <v>68</v>
      </c>
      <c r="Q72">
        <f t="shared" si="6"/>
        <v>19.5</v>
      </c>
      <c r="R72">
        <f t="shared" si="7"/>
        <v>16</v>
      </c>
      <c r="S72">
        <f t="shared" si="8"/>
        <v>27.5</v>
      </c>
      <c r="T72">
        <f t="shared" si="9"/>
        <v>21</v>
      </c>
      <c r="AC72">
        <f t="shared" si="10"/>
        <v>16</v>
      </c>
      <c r="AD72">
        <f t="shared" si="11"/>
        <v>1.6666666666666665</v>
      </c>
    </row>
    <row r="73" spans="1:30" x14ac:dyDescent="0.3">
      <c r="B73">
        <v>71</v>
      </c>
      <c r="C73">
        <v>29</v>
      </c>
      <c r="D73">
        <v>16</v>
      </c>
      <c r="E73">
        <v>84</v>
      </c>
      <c r="G73">
        <v>81</v>
      </c>
      <c r="H73">
        <v>19</v>
      </c>
      <c r="I73">
        <v>14</v>
      </c>
      <c r="J73">
        <v>86</v>
      </c>
      <c r="L73">
        <v>75</v>
      </c>
      <c r="M73">
        <v>25</v>
      </c>
      <c r="N73">
        <v>46</v>
      </c>
      <c r="O73">
        <v>54</v>
      </c>
      <c r="Q73">
        <f t="shared" si="6"/>
        <v>22.5</v>
      </c>
      <c r="R73">
        <f t="shared" si="7"/>
        <v>16.5</v>
      </c>
      <c r="S73">
        <f t="shared" si="8"/>
        <v>35.5</v>
      </c>
      <c r="T73">
        <f t="shared" si="9"/>
        <v>24.833333333333332</v>
      </c>
      <c r="AC73">
        <f t="shared" si="10"/>
        <v>16.5</v>
      </c>
      <c r="AD73">
        <f t="shared" si="11"/>
        <v>2.7777777777777772</v>
      </c>
    </row>
    <row r="74" spans="1:30" x14ac:dyDescent="0.3">
      <c r="B74">
        <v>72</v>
      </c>
      <c r="C74">
        <v>28</v>
      </c>
      <c r="D74">
        <v>7</v>
      </c>
      <c r="E74">
        <v>93</v>
      </c>
      <c r="G74">
        <v>77</v>
      </c>
      <c r="H74">
        <v>23</v>
      </c>
      <c r="I74">
        <v>4</v>
      </c>
      <c r="J74">
        <v>96</v>
      </c>
      <c r="L74">
        <v>71</v>
      </c>
      <c r="M74">
        <v>29</v>
      </c>
      <c r="N74">
        <v>28</v>
      </c>
      <c r="O74">
        <v>72</v>
      </c>
      <c r="Q74">
        <f t="shared" si="6"/>
        <v>17.5</v>
      </c>
      <c r="R74">
        <f t="shared" si="7"/>
        <v>13.5</v>
      </c>
      <c r="S74">
        <f t="shared" si="8"/>
        <v>28.5</v>
      </c>
      <c r="T74">
        <f t="shared" si="9"/>
        <v>19.833333333333332</v>
      </c>
      <c r="AC74">
        <f t="shared" si="10"/>
        <v>13.5</v>
      </c>
      <c r="AD74">
        <f t="shared" si="11"/>
        <v>2.1111111111111107</v>
      </c>
    </row>
    <row r="75" spans="1:30" x14ac:dyDescent="0.3">
      <c r="B75">
        <v>90</v>
      </c>
      <c r="C75">
        <v>10</v>
      </c>
      <c r="D75">
        <v>15</v>
      </c>
      <c r="E75">
        <v>85</v>
      </c>
      <c r="G75">
        <v>82</v>
      </c>
      <c r="H75">
        <v>18</v>
      </c>
      <c r="I75">
        <v>11</v>
      </c>
      <c r="J75">
        <v>89</v>
      </c>
      <c r="L75">
        <v>85</v>
      </c>
      <c r="M75">
        <v>15</v>
      </c>
      <c r="N75">
        <v>44</v>
      </c>
      <c r="O75">
        <v>56</v>
      </c>
      <c r="Q75">
        <f t="shared" si="6"/>
        <v>12.5</v>
      </c>
      <c r="R75">
        <f t="shared" si="7"/>
        <v>14.5</v>
      </c>
      <c r="S75">
        <f t="shared" si="8"/>
        <v>29.5</v>
      </c>
      <c r="T75">
        <f t="shared" si="9"/>
        <v>18.833333333333332</v>
      </c>
      <c r="AC75">
        <f t="shared" si="10"/>
        <v>12.5</v>
      </c>
      <c r="AD75">
        <f t="shared" si="11"/>
        <v>2.1111111111111107</v>
      </c>
    </row>
    <row r="76" spans="1:30" x14ac:dyDescent="0.3">
      <c r="B76">
        <v>23</v>
      </c>
      <c r="C76">
        <v>77</v>
      </c>
      <c r="D76">
        <v>1</v>
      </c>
      <c r="E76">
        <v>99</v>
      </c>
      <c r="G76">
        <v>31</v>
      </c>
      <c r="H76">
        <v>69</v>
      </c>
      <c r="I76">
        <v>1</v>
      </c>
      <c r="J76">
        <v>99</v>
      </c>
      <c r="L76">
        <v>32</v>
      </c>
      <c r="M76">
        <v>68</v>
      </c>
      <c r="N76">
        <v>8</v>
      </c>
      <c r="O76">
        <v>92</v>
      </c>
      <c r="Q76">
        <f t="shared" si="6"/>
        <v>39</v>
      </c>
      <c r="R76">
        <f t="shared" si="7"/>
        <v>35</v>
      </c>
      <c r="S76">
        <f t="shared" si="8"/>
        <v>38</v>
      </c>
      <c r="T76">
        <f t="shared" si="9"/>
        <v>37.333333333333336</v>
      </c>
      <c r="AC76">
        <f t="shared" si="10"/>
        <v>35</v>
      </c>
      <c r="AD76">
        <f t="shared" si="11"/>
        <v>0.77777777777777857</v>
      </c>
    </row>
    <row r="77" spans="1:30" x14ac:dyDescent="0.3">
      <c r="B77">
        <v>69</v>
      </c>
      <c r="C77">
        <v>31</v>
      </c>
      <c r="D77">
        <v>9</v>
      </c>
      <c r="E77">
        <v>91</v>
      </c>
      <c r="G77">
        <v>77</v>
      </c>
      <c r="H77">
        <v>23</v>
      </c>
      <c r="I77">
        <v>6</v>
      </c>
      <c r="J77">
        <v>94</v>
      </c>
      <c r="L77">
        <v>59</v>
      </c>
      <c r="M77">
        <v>41</v>
      </c>
      <c r="N77">
        <v>36</v>
      </c>
      <c r="O77">
        <v>64</v>
      </c>
      <c r="Q77">
        <f t="shared" si="6"/>
        <v>20</v>
      </c>
      <c r="R77">
        <f t="shared" si="7"/>
        <v>14.5</v>
      </c>
      <c r="S77">
        <f t="shared" si="8"/>
        <v>38.5</v>
      </c>
      <c r="T77">
        <f t="shared" si="9"/>
        <v>24.333333333333332</v>
      </c>
      <c r="AC77">
        <f t="shared" si="10"/>
        <v>14.5</v>
      </c>
      <c r="AD77">
        <f t="shared" si="11"/>
        <v>3.2777777777777772</v>
      </c>
    </row>
    <row r="78" spans="1:30" x14ac:dyDescent="0.3">
      <c r="B78">
        <v>64</v>
      </c>
      <c r="C78">
        <v>36</v>
      </c>
      <c r="D78">
        <v>6</v>
      </c>
      <c r="E78">
        <v>94</v>
      </c>
      <c r="G78">
        <v>84</v>
      </c>
      <c r="H78">
        <v>16</v>
      </c>
      <c r="I78">
        <v>10</v>
      </c>
      <c r="J78">
        <v>90</v>
      </c>
      <c r="L78">
        <v>79</v>
      </c>
      <c r="M78">
        <v>21</v>
      </c>
      <c r="N78">
        <v>44</v>
      </c>
      <c r="O78">
        <v>56</v>
      </c>
      <c r="Q78">
        <f t="shared" si="6"/>
        <v>21</v>
      </c>
      <c r="R78">
        <f t="shared" si="7"/>
        <v>13</v>
      </c>
      <c r="S78">
        <f t="shared" si="8"/>
        <v>32.5</v>
      </c>
      <c r="T78">
        <f t="shared" si="9"/>
        <v>22.166666666666668</v>
      </c>
      <c r="AC78">
        <f t="shared" si="10"/>
        <v>13</v>
      </c>
      <c r="AD78">
        <f t="shared" si="11"/>
        <v>3.0555555555555558</v>
      </c>
    </row>
    <row r="79" spans="1:30" x14ac:dyDescent="0.3">
      <c r="B79">
        <v>71</v>
      </c>
      <c r="C79">
        <v>29</v>
      </c>
      <c r="D79">
        <v>10</v>
      </c>
      <c r="E79">
        <v>90</v>
      </c>
      <c r="G79">
        <v>80</v>
      </c>
      <c r="H79">
        <v>20</v>
      </c>
      <c r="I79">
        <v>7</v>
      </c>
      <c r="J79">
        <v>93</v>
      </c>
      <c r="L79">
        <v>73</v>
      </c>
      <c r="M79">
        <v>27</v>
      </c>
      <c r="N79">
        <v>30</v>
      </c>
      <c r="O79">
        <v>70</v>
      </c>
      <c r="Q79">
        <f t="shared" si="6"/>
        <v>19.5</v>
      </c>
      <c r="R79">
        <f t="shared" si="7"/>
        <v>13.5</v>
      </c>
      <c r="S79">
        <f t="shared" si="8"/>
        <v>28.5</v>
      </c>
      <c r="T79">
        <f t="shared" si="9"/>
        <v>20.5</v>
      </c>
      <c r="AC79">
        <f t="shared" si="10"/>
        <v>13.5</v>
      </c>
      <c r="AD79">
        <f t="shared" si="11"/>
        <v>2.333333333333333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72C69-E678-4AB4-B178-487D11BE72F9}">
  <dimension ref="A1:AO93"/>
  <sheetViews>
    <sheetView topLeftCell="A5" workbookViewId="0">
      <selection activeCell="A22" sqref="A22"/>
    </sheetView>
  </sheetViews>
  <sheetFormatPr defaultRowHeight="14.4" x14ac:dyDescent="0.3"/>
  <cols>
    <col min="35" max="35" width="14.109375" customWidth="1"/>
  </cols>
  <sheetData>
    <row r="1" spans="1:41" x14ac:dyDescent="0.3">
      <c r="Q1" t="s">
        <v>28</v>
      </c>
      <c r="R1" t="s">
        <v>29</v>
      </c>
      <c r="S1" t="s">
        <v>30</v>
      </c>
      <c r="T1" t="s">
        <v>31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32</v>
      </c>
      <c r="AD1" t="s">
        <v>33</v>
      </c>
      <c r="AE1" t="s">
        <v>26</v>
      </c>
      <c r="AF1" t="s">
        <v>27</v>
      </c>
      <c r="AI1" t="s">
        <v>34</v>
      </c>
      <c r="AJ1" t="s">
        <v>24</v>
      </c>
      <c r="AK1" t="s">
        <v>26</v>
      </c>
      <c r="AM1" t="s">
        <v>35</v>
      </c>
      <c r="AN1" t="s">
        <v>24</v>
      </c>
      <c r="AO1" t="s">
        <v>26</v>
      </c>
    </row>
    <row r="2" spans="1:41" x14ac:dyDescent="0.3">
      <c r="A2" t="s">
        <v>36</v>
      </c>
      <c r="B2">
        <v>83</v>
      </c>
      <c r="C2">
        <v>17</v>
      </c>
      <c r="D2">
        <v>26</v>
      </c>
      <c r="E2">
        <v>74</v>
      </c>
      <c r="G2">
        <v>97</v>
      </c>
      <c r="H2">
        <v>3</v>
      </c>
      <c r="I2">
        <v>21</v>
      </c>
      <c r="J2">
        <v>79</v>
      </c>
      <c r="L2">
        <v>94</v>
      </c>
      <c r="M2">
        <v>6</v>
      </c>
      <c r="N2">
        <v>58</v>
      </c>
      <c r="O2">
        <v>42</v>
      </c>
      <c r="Q2">
        <f>AVERAGE(C2:D2)</f>
        <v>21.5</v>
      </c>
      <c r="R2">
        <f>AVERAGE(H2:I2)</f>
        <v>12</v>
      </c>
      <c r="S2">
        <f>AVERAGE(M2:N2)</f>
        <v>32</v>
      </c>
      <c r="T2">
        <f>AVERAGE(Q2:S2)</f>
        <v>21.833333333333332</v>
      </c>
      <c r="AA2">
        <f>AVERAGE(T2:T9)</f>
        <v>20.979166666666668</v>
      </c>
      <c r="AC2">
        <f>MIN(Q2:S2)</f>
        <v>12</v>
      </c>
      <c r="AD2">
        <f>(1/3)*(T2-AC2)</f>
        <v>3.2777777777777772</v>
      </c>
      <c r="AI2" t="s">
        <v>45</v>
      </c>
      <c r="AM2" t="s">
        <v>46</v>
      </c>
    </row>
    <row r="3" spans="1:41" x14ac:dyDescent="0.3">
      <c r="B3">
        <v>77</v>
      </c>
      <c r="C3">
        <v>23</v>
      </c>
      <c r="D3">
        <v>24</v>
      </c>
      <c r="E3">
        <v>76</v>
      </c>
      <c r="G3">
        <v>99</v>
      </c>
      <c r="H3">
        <v>1</v>
      </c>
      <c r="I3">
        <v>15</v>
      </c>
      <c r="J3">
        <v>85</v>
      </c>
      <c r="L3">
        <v>76</v>
      </c>
      <c r="M3">
        <v>24</v>
      </c>
      <c r="N3">
        <v>57</v>
      </c>
      <c r="O3">
        <v>43</v>
      </c>
      <c r="Q3">
        <f t="shared" ref="Q3:Q66" si="0">AVERAGE(C3:D3)</f>
        <v>23.5</v>
      </c>
      <c r="R3">
        <f t="shared" ref="R3:R66" si="1">AVERAGE(H3:I3)</f>
        <v>8</v>
      </c>
      <c r="S3">
        <f t="shared" ref="S3:S66" si="2">AVERAGE(M3:N3)</f>
        <v>40.5</v>
      </c>
      <c r="T3">
        <f t="shared" ref="T3:T66" si="3">AVERAGE(Q3:S3)</f>
        <v>24</v>
      </c>
      <c r="AC3">
        <f t="shared" ref="AC3:AC66" si="4">MIN(Q3:S3)</f>
        <v>8</v>
      </c>
      <c r="AD3">
        <f t="shared" ref="AD3:AD66" si="5">(1/3)*(T3-AC3)</f>
        <v>5.333333333333333</v>
      </c>
      <c r="AI3" t="s">
        <v>3</v>
      </c>
      <c r="AJ3">
        <v>18.12962962962963</v>
      </c>
      <c r="AK3">
        <v>2.9876543209876543</v>
      </c>
      <c r="AM3" t="s">
        <v>3</v>
      </c>
      <c r="AN3">
        <v>18.12962962962963</v>
      </c>
      <c r="AO3">
        <v>2.9876543209876543</v>
      </c>
    </row>
    <row r="4" spans="1:41" x14ac:dyDescent="0.3">
      <c r="B4">
        <v>82</v>
      </c>
      <c r="C4">
        <v>18</v>
      </c>
      <c r="D4">
        <v>18</v>
      </c>
      <c r="E4">
        <v>82</v>
      </c>
      <c r="G4">
        <v>99</v>
      </c>
      <c r="H4">
        <v>1</v>
      </c>
      <c r="I4">
        <v>23</v>
      </c>
      <c r="J4">
        <v>77</v>
      </c>
      <c r="L4">
        <v>78</v>
      </c>
      <c r="M4">
        <v>22</v>
      </c>
      <c r="N4">
        <v>48</v>
      </c>
      <c r="O4">
        <v>52</v>
      </c>
      <c r="Q4">
        <f t="shared" si="0"/>
        <v>18</v>
      </c>
      <c r="R4">
        <f t="shared" si="1"/>
        <v>12</v>
      </c>
      <c r="S4">
        <f t="shared" si="2"/>
        <v>35</v>
      </c>
      <c r="T4">
        <f t="shared" si="3"/>
        <v>21.666666666666668</v>
      </c>
      <c r="AC4">
        <f t="shared" si="4"/>
        <v>12</v>
      </c>
      <c r="AD4">
        <f t="shared" si="5"/>
        <v>3.2222222222222223</v>
      </c>
      <c r="AI4" t="s">
        <v>44</v>
      </c>
      <c r="AJ4">
        <v>18.9375</v>
      </c>
      <c r="AK4">
        <v>3.0833333333333335</v>
      </c>
      <c r="AM4" t="s">
        <v>44</v>
      </c>
      <c r="AN4">
        <v>18.9375</v>
      </c>
      <c r="AO4">
        <v>3.0833333333333335</v>
      </c>
    </row>
    <row r="5" spans="1:41" x14ac:dyDescent="0.3">
      <c r="B5">
        <v>90</v>
      </c>
      <c r="C5">
        <v>10</v>
      </c>
      <c r="D5">
        <v>29</v>
      </c>
      <c r="E5">
        <v>71</v>
      </c>
      <c r="G5">
        <v>97</v>
      </c>
      <c r="H5">
        <v>3</v>
      </c>
      <c r="I5">
        <v>22</v>
      </c>
      <c r="J5">
        <v>78</v>
      </c>
      <c r="L5">
        <v>93</v>
      </c>
      <c r="M5">
        <v>7</v>
      </c>
      <c r="N5">
        <v>76</v>
      </c>
      <c r="O5">
        <v>24</v>
      </c>
      <c r="Q5">
        <f t="shared" si="0"/>
        <v>19.5</v>
      </c>
      <c r="R5">
        <f t="shared" si="1"/>
        <v>12.5</v>
      </c>
      <c r="S5">
        <f t="shared" si="2"/>
        <v>41.5</v>
      </c>
      <c r="T5">
        <f t="shared" si="3"/>
        <v>24.5</v>
      </c>
      <c r="AC5">
        <f t="shared" si="4"/>
        <v>12.5</v>
      </c>
      <c r="AD5">
        <f t="shared" si="5"/>
        <v>4</v>
      </c>
      <c r="AM5" t="s">
        <v>37</v>
      </c>
      <c r="AN5">
        <v>19.222222222222225</v>
      </c>
      <c r="AO5">
        <v>2.907407407407407</v>
      </c>
    </row>
    <row r="6" spans="1:41" x14ac:dyDescent="0.3">
      <c r="B6">
        <v>79</v>
      </c>
      <c r="C6">
        <v>21</v>
      </c>
      <c r="D6">
        <v>21</v>
      </c>
      <c r="E6">
        <v>79</v>
      </c>
      <c r="G6">
        <v>94</v>
      </c>
      <c r="H6">
        <v>6</v>
      </c>
      <c r="I6">
        <v>15</v>
      </c>
      <c r="J6">
        <v>85</v>
      </c>
      <c r="L6">
        <v>88</v>
      </c>
      <c r="M6">
        <v>12</v>
      </c>
      <c r="N6">
        <v>30</v>
      </c>
      <c r="O6">
        <v>70</v>
      </c>
      <c r="Q6">
        <f t="shared" si="0"/>
        <v>21</v>
      </c>
      <c r="R6">
        <f t="shared" si="1"/>
        <v>10.5</v>
      </c>
      <c r="S6">
        <f t="shared" si="2"/>
        <v>21</v>
      </c>
      <c r="T6">
        <f t="shared" si="3"/>
        <v>17.5</v>
      </c>
      <c r="AC6">
        <f t="shared" si="4"/>
        <v>10.5</v>
      </c>
      <c r="AD6">
        <f t="shared" si="5"/>
        <v>2.333333333333333</v>
      </c>
    </row>
    <row r="7" spans="1:41" x14ac:dyDescent="0.3">
      <c r="B7">
        <v>80</v>
      </c>
      <c r="C7">
        <v>20</v>
      </c>
      <c r="D7">
        <v>16</v>
      </c>
      <c r="E7">
        <v>84</v>
      </c>
      <c r="G7">
        <v>88</v>
      </c>
      <c r="H7">
        <v>12</v>
      </c>
      <c r="I7">
        <v>25</v>
      </c>
      <c r="J7">
        <v>75</v>
      </c>
      <c r="L7">
        <v>76</v>
      </c>
      <c r="M7">
        <v>24</v>
      </c>
      <c r="N7">
        <v>32</v>
      </c>
      <c r="O7">
        <v>68</v>
      </c>
      <c r="Q7">
        <f t="shared" si="0"/>
        <v>18</v>
      </c>
      <c r="R7">
        <f t="shared" si="1"/>
        <v>18.5</v>
      </c>
      <c r="S7">
        <f t="shared" si="2"/>
        <v>28</v>
      </c>
      <c r="T7">
        <f t="shared" si="3"/>
        <v>21.5</v>
      </c>
      <c r="AC7">
        <f t="shared" si="4"/>
        <v>18</v>
      </c>
      <c r="AD7">
        <f t="shared" si="5"/>
        <v>1.1666666666666665</v>
      </c>
    </row>
    <row r="8" spans="1:41" x14ac:dyDescent="0.3">
      <c r="B8">
        <v>82</v>
      </c>
      <c r="C8">
        <v>18</v>
      </c>
      <c r="D8">
        <v>14</v>
      </c>
      <c r="E8">
        <v>86</v>
      </c>
      <c r="G8">
        <v>96</v>
      </c>
      <c r="H8">
        <v>4</v>
      </c>
      <c r="I8">
        <v>21</v>
      </c>
      <c r="J8">
        <v>79</v>
      </c>
      <c r="L8">
        <v>81</v>
      </c>
      <c r="M8">
        <v>19</v>
      </c>
      <c r="N8">
        <v>44</v>
      </c>
      <c r="O8">
        <v>56</v>
      </c>
      <c r="Q8">
        <f t="shared" si="0"/>
        <v>16</v>
      </c>
      <c r="R8">
        <f t="shared" si="1"/>
        <v>12.5</v>
      </c>
      <c r="S8">
        <f t="shared" si="2"/>
        <v>31.5</v>
      </c>
      <c r="T8">
        <f t="shared" si="3"/>
        <v>20</v>
      </c>
      <c r="AC8">
        <f t="shared" si="4"/>
        <v>12.5</v>
      </c>
      <c r="AD8">
        <f t="shared" si="5"/>
        <v>2.5</v>
      </c>
    </row>
    <row r="9" spans="1:41" x14ac:dyDescent="0.3">
      <c r="B9">
        <v>80</v>
      </c>
      <c r="C9">
        <v>20</v>
      </c>
      <c r="D9">
        <v>24</v>
      </c>
      <c r="E9">
        <v>76</v>
      </c>
      <c r="G9">
        <v>96</v>
      </c>
      <c r="H9">
        <v>4</v>
      </c>
      <c r="I9">
        <v>13</v>
      </c>
      <c r="J9">
        <v>87</v>
      </c>
      <c r="L9">
        <v>85</v>
      </c>
      <c r="M9">
        <v>15</v>
      </c>
      <c r="N9">
        <v>25</v>
      </c>
      <c r="O9">
        <v>75</v>
      </c>
      <c r="Q9">
        <f t="shared" si="0"/>
        <v>22</v>
      </c>
      <c r="R9">
        <f t="shared" si="1"/>
        <v>8.5</v>
      </c>
      <c r="S9">
        <f t="shared" si="2"/>
        <v>20</v>
      </c>
      <c r="T9">
        <f t="shared" si="3"/>
        <v>16.833333333333332</v>
      </c>
      <c r="AC9">
        <f t="shared" si="4"/>
        <v>8.5</v>
      </c>
      <c r="AD9">
        <f t="shared" si="5"/>
        <v>2.7777777777777772</v>
      </c>
    </row>
    <row r="11" spans="1:41" x14ac:dyDescent="0.3">
      <c r="A11" t="s">
        <v>3</v>
      </c>
    </row>
    <row r="12" spans="1:41" x14ac:dyDescent="0.3">
      <c r="B12">
        <v>84</v>
      </c>
      <c r="C12">
        <v>16</v>
      </c>
      <c r="D12">
        <v>10</v>
      </c>
      <c r="E12">
        <v>90</v>
      </c>
      <c r="G12">
        <v>95</v>
      </c>
      <c r="H12">
        <v>5</v>
      </c>
      <c r="I12">
        <v>12</v>
      </c>
      <c r="J12">
        <v>88</v>
      </c>
      <c r="L12">
        <v>76</v>
      </c>
      <c r="M12">
        <v>24</v>
      </c>
      <c r="N12">
        <v>35</v>
      </c>
      <c r="O12">
        <v>65</v>
      </c>
      <c r="Q12">
        <f t="shared" si="0"/>
        <v>13</v>
      </c>
      <c r="R12">
        <f t="shared" si="1"/>
        <v>8.5</v>
      </c>
      <c r="S12">
        <f t="shared" si="2"/>
        <v>29.5</v>
      </c>
      <c r="T12">
        <f t="shared" si="3"/>
        <v>17</v>
      </c>
      <c r="U12">
        <f>AVERAGE(Q12:Q20)</f>
        <v>17.222222222222221</v>
      </c>
      <c r="V12">
        <f>_xlfn.STDEV.S(Q12:Q20)</f>
        <v>3.1534813214040853</v>
      </c>
      <c r="W12">
        <f>AVERAGE(R12:R20)</f>
        <v>9.1666666666666661</v>
      </c>
      <c r="X12">
        <f>_xlfn.STDEV.S(R12:R20)</f>
        <v>2.5860201081971503</v>
      </c>
      <c r="Y12">
        <f>AVERAGE(S12:S20)</f>
        <v>28</v>
      </c>
      <c r="Z12">
        <f>_xlfn.STDEV.S(S12:S20)</f>
        <v>3.9764934301467165</v>
      </c>
      <c r="AA12">
        <f>AVERAGE(T12:T20)</f>
        <v>18.12962962962963</v>
      </c>
      <c r="AB12">
        <f>_xlfn.STDEV.S(T12:T20)</f>
        <v>2.1647070910687889</v>
      </c>
      <c r="AC12">
        <f t="shared" si="4"/>
        <v>8.5</v>
      </c>
      <c r="AD12">
        <f t="shared" si="5"/>
        <v>2.833333333333333</v>
      </c>
      <c r="AE12">
        <f>AVERAGE(AD12:AD20)</f>
        <v>2.9876543209876543</v>
      </c>
      <c r="AF12">
        <f>_xlfn.STDEV.S(AD12:AD20)</f>
        <v>0.55540121312847546</v>
      </c>
    </row>
    <row r="13" spans="1:41" x14ac:dyDescent="0.3">
      <c r="B13">
        <v>88</v>
      </c>
      <c r="C13">
        <v>12</v>
      </c>
      <c r="D13">
        <v>19</v>
      </c>
      <c r="E13">
        <v>81</v>
      </c>
      <c r="G13">
        <v>98</v>
      </c>
      <c r="H13">
        <v>2</v>
      </c>
      <c r="I13">
        <v>15</v>
      </c>
      <c r="J13">
        <v>85</v>
      </c>
      <c r="L13">
        <v>92</v>
      </c>
      <c r="M13">
        <v>8</v>
      </c>
      <c r="N13">
        <v>49</v>
      </c>
      <c r="O13">
        <v>51</v>
      </c>
      <c r="Q13">
        <f t="shared" si="0"/>
        <v>15.5</v>
      </c>
      <c r="R13">
        <f t="shared" si="1"/>
        <v>8.5</v>
      </c>
      <c r="S13">
        <f t="shared" si="2"/>
        <v>28.5</v>
      </c>
      <c r="T13">
        <f t="shared" si="3"/>
        <v>17.5</v>
      </c>
      <c r="AC13">
        <f t="shared" si="4"/>
        <v>8.5</v>
      </c>
      <c r="AD13">
        <f t="shared" si="5"/>
        <v>3</v>
      </c>
    </row>
    <row r="14" spans="1:41" x14ac:dyDescent="0.3">
      <c r="B14">
        <v>82</v>
      </c>
      <c r="C14">
        <v>18</v>
      </c>
      <c r="D14">
        <v>24</v>
      </c>
      <c r="E14">
        <v>76</v>
      </c>
      <c r="G14">
        <v>98</v>
      </c>
      <c r="H14">
        <v>2</v>
      </c>
      <c r="I14">
        <v>17</v>
      </c>
      <c r="J14">
        <v>83</v>
      </c>
      <c r="L14">
        <v>81</v>
      </c>
      <c r="M14">
        <v>19</v>
      </c>
      <c r="N14">
        <v>43</v>
      </c>
      <c r="O14">
        <v>57</v>
      </c>
      <c r="Q14">
        <f t="shared" si="0"/>
        <v>21</v>
      </c>
      <c r="R14">
        <f t="shared" si="1"/>
        <v>9.5</v>
      </c>
      <c r="S14">
        <f t="shared" si="2"/>
        <v>31</v>
      </c>
      <c r="T14">
        <f t="shared" si="3"/>
        <v>20.5</v>
      </c>
      <c r="AC14">
        <f t="shared" si="4"/>
        <v>9.5</v>
      </c>
      <c r="AD14">
        <f t="shared" si="5"/>
        <v>3.6666666666666665</v>
      </c>
    </row>
    <row r="15" spans="1:41" x14ac:dyDescent="0.3">
      <c r="B15">
        <v>79</v>
      </c>
      <c r="C15">
        <v>21</v>
      </c>
      <c r="D15">
        <v>19</v>
      </c>
      <c r="E15">
        <v>81</v>
      </c>
      <c r="G15">
        <v>88</v>
      </c>
      <c r="H15">
        <v>12</v>
      </c>
      <c r="I15">
        <v>11</v>
      </c>
      <c r="J15">
        <v>89</v>
      </c>
      <c r="L15">
        <v>81</v>
      </c>
      <c r="M15">
        <v>19</v>
      </c>
      <c r="N15">
        <v>23</v>
      </c>
      <c r="O15">
        <v>77</v>
      </c>
      <c r="Q15">
        <f t="shared" si="0"/>
        <v>20</v>
      </c>
      <c r="R15">
        <f t="shared" si="1"/>
        <v>11.5</v>
      </c>
      <c r="S15">
        <f t="shared" si="2"/>
        <v>21</v>
      </c>
      <c r="T15">
        <f t="shared" si="3"/>
        <v>17.5</v>
      </c>
      <c r="AC15">
        <f t="shared" si="4"/>
        <v>11.5</v>
      </c>
      <c r="AD15">
        <f t="shared" si="5"/>
        <v>2</v>
      </c>
    </row>
    <row r="16" spans="1:41" x14ac:dyDescent="0.3">
      <c r="B16">
        <v>87</v>
      </c>
      <c r="C16">
        <v>13</v>
      </c>
      <c r="D16">
        <v>21</v>
      </c>
      <c r="E16">
        <v>79</v>
      </c>
      <c r="G16">
        <v>97</v>
      </c>
      <c r="H16">
        <v>3</v>
      </c>
      <c r="I16">
        <v>7</v>
      </c>
      <c r="J16">
        <v>93</v>
      </c>
      <c r="L16">
        <v>84</v>
      </c>
      <c r="M16">
        <v>16</v>
      </c>
      <c r="N16">
        <v>35</v>
      </c>
      <c r="O16">
        <v>65</v>
      </c>
      <c r="Q16">
        <f t="shared" si="0"/>
        <v>17</v>
      </c>
      <c r="R16">
        <f t="shared" si="1"/>
        <v>5</v>
      </c>
      <c r="S16">
        <f t="shared" si="2"/>
        <v>25.5</v>
      </c>
      <c r="T16">
        <f t="shared" si="3"/>
        <v>15.833333333333334</v>
      </c>
      <c r="AC16">
        <f t="shared" si="4"/>
        <v>5</v>
      </c>
      <c r="AD16">
        <f t="shared" si="5"/>
        <v>3.6111111111111112</v>
      </c>
    </row>
    <row r="17" spans="1:32" x14ac:dyDescent="0.3">
      <c r="B17">
        <v>88</v>
      </c>
      <c r="C17">
        <v>12</v>
      </c>
      <c r="D17">
        <v>14</v>
      </c>
      <c r="E17">
        <v>86</v>
      </c>
      <c r="G17">
        <v>95</v>
      </c>
      <c r="H17">
        <v>5</v>
      </c>
      <c r="I17">
        <v>17</v>
      </c>
      <c r="J17">
        <v>83</v>
      </c>
      <c r="L17">
        <v>82</v>
      </c>
      <c r="M17">
        <v>18</v>
      </c>
      <c r="N17">
        <v>41</v>
      </c>
      <c r="O17">
        <v>59</v>
      </c>
      <c r="Q17">
        <f t="shared" si="0"/>
        <v>13</v>
      </c>
      <c r="R17">
        <f t="shared" si="1"/>
        <v>11</v>
      </c>
      <c r="S17">
        <f t="shared" si="2"/>
        <v>29.5</v>
      </c>
      <c r="T17">
        <f t="shared" si="3"/>
        <v>17.833333333333332</v>
      </c>
      <c r="AC17">
        <f t="shared" si="4"/>
        <v>11</v>
      </c>
      <c r="AD17">
        <f t="shared" si="5"/>
        <v>2.2777777777777772</v>
      </c>
    </row>
    <row r="18" spans="1:32" x14ac:dyDescent="0.3">
      <c r="B18">
        <v>79</v>
      </c>
      <c r="C18">
        <v>21</v>
      </c>
      <c r="D18">
        <v>10</v>
      </c>
      <c r="E18">
        <v>90</v>
      </c>
      <c r="G18">
        <v>97</v>
      </c>
      <c r="H18">
        <v>3</v>
      </c>
      <c r="I18">
        <v>10</v>
      </c>
      <c r="J18">
        <v>90</v>
      </c>
      <c r="L18">
        <v>89</v>
      </c>
      <c r="M18">
        <v>11</v>
      </c>
      <c r="N18">
        <v>42</v>
      </c>
      <c r="O18">
        <v>58</v>
      </c>
      <c r="Q18">
        <f t="shared" si="0"/>
        <v>15.5</v>
      </c>
      <c r="R18">
        <f t="shared" si="1"/>
        <v>6.5</v>
      </c>
      <c r="S18">
        <f t="shared" si="2"/>
        <v>26.5</v>
      </c>
      <c r="T18">
        <f t="shared" si="3"/>
        <v>16.166666666666668</v>
      </c>
      <c r="AC18">
        <f t="shared" si="4"/>
        <v>6.5</v>
      </c>
      <c r="AD18">
        <f t="shared" si="5"/>
        <v>3.2222222222222223</v>
      </c>
    </row>
    <row r="19" spans="1:32" x14ac:dyDescent="0.3">
      <c r="B19">
        <v>67</v>
      </c>
      <c r="C19">
        <v>33</v>
      </c>
      <c r="D19">
        <v>8</v>
      </c>
      <c r="E19">
        <v>92</v>
      </c>
      <c r="G19">
        <v>95</v>
      </c>
      <c r="H19">
        <v>5</v>
      </c>
      <c r="I19">
        <v>12</v>
      </c>
      <c r="J19">
        <v>88</v>
      </c>
      <c r="L19">
        <v>80</v>
      </c>
      <c r="M19">
        <v>20</v>
      </c>
      <c r="N19">
        <v>31</v>
      </c>
      <c r="O19">
        <v>69</v>
      </c>
      <c r="Q19">
        <f t="shared" si="0"/>
        <v>20.5</v>
      </c>
      <c r="R19">
        <f t="shared" si="1"/>
        <v>8.5</v>
      </c>
      <c r="S19">
        <f t="shared" si="2"/>
        <v>25.5</v>
      </c>
      <c r="T19">
        <f t="shared" si="3"/>
        <v>18.166666666666668</v>
      </c>
      <c r="AC19">
        <f t="shared" si="4"/>
        <v>8.5</v>
      </c>
      <c r="AD19">
        <f t="shared" si="5"/>
        <v>3.2222222222222223</v>
      </c>
    </row>
    <row r="20" spans="1:32" x14ac:dyDescent="0.3">
      <c r="B20">
        <v>84</v>
      </c>
      <c r="C20">
        <v>16</v>
      </c>
      <c r="D20">
        <v>23</v>
      </c>
      <c r="E20">
        <v>77</v>
      </c>
      <c r="G20">
        <v>93</v>
      </c>
      <c r="H20">
        <v>7</v>
      </c>
      <c r="I20">
        <v>20</v>
      </c>
      <c r="J20">
        <v>80</v>
      </c>
      <c r="L20">
        <v>82</v>
      </c>
      <c r="M20">
        <v>18</v>
      </c>
      <c r="N20">
        <v>52</v>
      </c>
      <c r="O20">
        <v>48</v>
      </c>
      <c r="Q20">
        <f t="shared" si="0"/>
        <v>19.5</v>
      </c>
      <c r="R20">
        <f t="shared" si="1"/>
        <v>13.5</v>
      </c>
      <c r="S20">
        <f t="shared" si="2"/>
        <v>35</v>
      </c>
      <c r="T20">
        <f t="shared" si="3"/>
        <v>22.666666666666668</v>
      </c>
      <c r="AC20">
        <f t="shared" si="4"/>
        <v>13.5</v>
      </c>
      <c r="AD20">
        <f t="shared" si="5"/>
        <v>3.0555555555555558</v>
      </c>
    </row>
    <row r="22" spans="1:32" x14ac:dyDescent="0.3">
      <c r="A22" t="s">
        <v>37</v>
      </c>
    </row>
    <row r="23" spans="1:32" x14ac:dyDescent="0.3">
      <c r="B23">
        <v>79</v>
      </c>
      <c r="C23">
        <v>21</v>
      </c>
      <c r="D23">
        <v>21</v>
      </c>
      <c r="E23">
        <v>79</v>
      </c>
      <c r="G23">
        <v>94</v>
      </c>
      <c r="H23">
        <v>6</v>
      </c>
      <c r="I23">
        <v>13</v>
      </c>
      <c r="J23">
        <v>87</v>
      </c>
      <c r="L23">
        <v>83</v>
      </c>
      <c r="M23">
        <v>17</v>
      </c>
      <c r="N23">
        <v>49</v>
      </c>
      <c r="O23">
        <v>51</v>
      </c>
      <c r="Q23">
        <f t="shared" si="0"/>
        <v>21</v>
      </c>
      <c r="R23">
        <f t="shared" si="1"/>
        <v>9.5</v>
      </c>
      <c r="S23">
        <f t="shared" si="2"/>
        <v>33</v>
      </c>
      <c r="T23">
        <f t="shared" si="3"/>
        <v>21.166666666666668</v>
      </c>
      <c r="U23">
        <f>AVERAGE(Q23:Q25)</f>
        <v>17.833333333333332</v>
      </c>
      <c r="V23">
        <f>_xlfn.STDEV.S(Q23:Q25)</f>
        <v>2.7537852736430475</v>
      </c>
      <c r="W23">
        <f>AVERAGE(R23:R25)</f>
        <v>10.5</v>
      </c>
      <c r="X23">
        <f>_xlfn.STDEV.S(R23:R25)</f>
        <v>1</v>
      </c>
      <c r="Y23">
        <f>AVERAGE(S23:S25)</f>
        <v>29.333333333333332</v>
      </c>
      <c r="Z23">
        <f>_xlfn.STDEV.S(S23:S25)</f>
        <v>3.2145502536643185</v>
      </c>
      <c r="AA23">
        <f>AVERAGE(T23:T25)</f>
        <v>19.222222222222225</v>
      </c>
      <c r="AB23">
        <f>_xlfn.STDEV.S(T23:T25)</f>
        <v>1.6859989894992806</v>
      </c>
      <c r="AC23">
        <f t="shared" si="4"/>
        <v>9.5</v>
      </c>
      <c r="AD23">
        <f t="shared" si="5"/>
        <v>3.8888888888888893</v>
      </c>
      <c r="AE23">
        <f>AVERAGE(AD23:AD25)</f>
        <v>2.907407407407407</v>
      </c>
      <c r="AF23">
        <f>_xlfn.STDEV.S(AD23:AD25)</f>
        <v>0.87194499014767157</v>
      </c>
    </row>
    <row r="24" spans="1:32" x14ac:dyDescent="0.3">
      <c r="B24">
        <v>80</v>
      </c>
      <c r="C24">
        <v>20</v>
      </c>
      <c r="D24">
        <v>13</v>
      </c>
      <c r="E24">
        <v>87</v>
      </c>
      <c r="G24">
        <v>96</v>
      </c>
      <c r="H24">
        <v>4</v>
      </c>
      <c r="I24">
        <v>17</v>
      </c>
      <c r="J24">
        <v>83</v>
      </c>
      <c r="L24">
        <v>81</v>
      </c>
      <c r="M24">
        <v>19</v>
      </c>
      <c r="N24">
        <v>37</v>
      </c>
      <c r="O24">
        <v>63</v>
      </c>
      <c r="Q24">
        <f t="shared" si="0"/>
        <v>16.5</v>
      </c>
      <c r="R24">
        <f t="shared" si="1"/>
        <v>10.5</v>
      </c>
      <c r="S24">
        <f t="shared" si="2"/>
        <v>28</v>
      </c>
      <c r="T24">
        <f t="shared" si="3"/>
        <v>18.333333333333332</v>
      </c>
      <c r="AC24">
        <f t="shared" si="4"/>
        <v>10.5</v>
      </c>
      <c r="AD24">
        <f t="shared" si="5"/>
        <v>2.6111111111111107</v>
      </c>
    </row>
    <row r="25" spans="1:32" x14ac:dyDescent="0.3">
      <c r="B25">
        <v>78</v>
      </c>
      <c r="C25">
        <v>22</v>
      </c>
      <c r="D25">
        <v>10</v>
      </c>
      <c r="E25">
        <v>90</v>
      </c>
      <c r="G25">
        <v>94</v>
      </c>
      <c r="H25">
        <v>6</v>
      </c>
      <c r="I25">
        <v>17</v>
      </c>
      <c r="J25">
        <v>83</v>
      </c>
      <c r="L25">
        <v>92</v>
      </c>
      <c r="M25">
        <v>8</v>
      </c>
      <c r="N25">
        <v>46</v>
      </c>
      <c r="O25">
        <v>54</v>
      </c>
      <c r="Q25">
        <f t="shared" si="0"/>
        <v>16</v>
      </c>
      <c r="R25">
        <f t="shared" si="1"/>
        <v>11.5</v>
      </c>
      <c r="S25">
        <f t="shared" si="2"/>
        <v>27</v>
      </c>
      <c r="T25">
        <f t="shared" si="3"/>
        <v>18.166666666666668</v>
      </c>
      <c r="AC25">
        <f t="shared" si="4"/>
        <v>11.5</v>
      </c>
      <c r="AD25">
        <f t="shared" si="5"/>
        <v>2.2222222222222223</v>
      </c>
    </row>
    <row r="27" spans="1:32" x14ac:dyDescent="0.3">
      <c r="A27" t="s">
        <v>38</v>
      </c>
    </row>
    <row r="28" spans="1:32" x14ac:dyDescent="0.3">
      <c r="B28">
        <v>84</v>
      </c>
      <c r="C28">
        <v>16</v>
      </c>
      <c r="D28">
        <v>14</v>
      </c>
      <c r="E28">
        <v>86</v>
      </c>
      <c r="G28">
        <v>94</v>
      </c>
      <c r="H28">
        <v>6</v>
      </c>
      <c r="I28">
        <v>19</v>
      </c>
      <c r="J28">
        <v>81</v>
      </c>
      <c r="L28">
        <v>86</v>
      </c>
      <c r="M28">
        <v>14</v>
      </c>
      <c r="N28">
        <v>52</v>
      </c>
      <c r="O28">
        <v>48</v>
      </c>
      <c r="Q28">
        <f t="shared" si="0"/>
        <v>15</v>
      </c>
      <c r="R28">
        <f t="shared" si="1"/>
        <v>12.5</v>
      </c>
      <c r="S28">
        <f t="shared" si="2"/>
        <v>33</v>
      </c>
      <c r="T28">
        <f t="shared" si="3"/>
        <v>20.166666666666668</v>
      </c>
      <c r="AA28">
        <f>AVERAGE(T28:T34)</f>
        <v>20.142857142857142</v>
      </c>
      <c r="AC28">
        <f t="shared" si="4"/>
        <v>12.5</v>
      </c>
      <c r="AD28">
        <f t="shared" si="5"/>
        <v>2.5555555555555558</v>
      </c>
    </row>
    <row r="29" spans="1:32" x14ac:dyDescent="0.3">
      <c r="B29">
        <v>90</v>
      </c>
      <c r="C29">
        <v>10</v>
      </c>
      <c r="D29">
        <v>23</v>
      </c>
      <c r="E29">
        <v>77</v>
      </c>
      <c r="G29">
        <v>100</v>
      </c>
      <c r="H29">
        <v>0</v>
      </c>
      <c r="I29">
        <v>21</v>
      </c>
      <c r="J29">
        <v>79</v>
      </c>
      <c r="L29">
        <v>94</v>
      </c>
      <c r="M29">
        <v>6</v>
      </c>
      <c r="N29">
        <v>68</v>
      </c>
      <c r="O29">
        <v>32</v>
      </c>
      <c r="Q29">
        <f t="shared" si="0"/>
        <v>16.5</v>
      </c>
      <c r="R29">
        <f t="shared" si="1"/>
        <v>10.5</v>
      </c>
      <c r="S29">
        <f t="shared" si="2"/>
        <v>37</v>
      </c>
      <c r="T29">
        <f t="shared" si="3"/>
        <v>21.333333333333332</v>
      </c>
      <c r="AC29">
        <f t="shared" si="4"/>
        <v>10.5</v>
      </c>
      <c r="AD29">
        <f t="shared" si="5"/>
        <v>3.6111111111111107</v>
      </c>
    </row>
    <row r="30" spans="1:32" x14ac:dyDescent="0.3">
      <c r="B30">
        <v>84</v>
      </c>
      <c r="C30">
        <v>16</v>
      </c>
      <c r="D30">
        <v>32</v>
      </c>
      <c r="E30">
        <v>68</v>
      </c>
      <c r="G30">
        <v>98</v>
      </c>
      <c r="H30">
        <v>2</v>
      </c>
      <c r="I30">
        <v>24</v>
      </c>
      <c r="J30">
        <v>76</v>
      </c>
      <c r="L30">
        <v>86</v>
      </c>
      <c r="M30">
        <v>14</v>
      </c>
      <c r="N30">
        <v>41</v>
      </c>
      <c r="O30">
        <v>59</v>
      </c>
      <c r="Q30">
        <f t="shared" si="0"/>
        <v>24</v>
      </c>
      <c r="R30">
        <f t="shared" si="1"/>
        <v>13</v>
      </c>
      <c r="S30">
        <f t="shared" si="2"/>
        <v>27.5</v>
      </c>
      <c r="T30">
        <f t="shared" si="3"/>
        <v>21.5</v>
      </c>
      <c r="AC30">
        <f t="shared" si="4"/>
        <v>13</v>
      </c>
      <c r="AD30">
        <f t="shared" si="5"/>
        <v>2.833333333333333</v>
      </c>
    </row>
    <row r="31" spans="1:32" x14ac:dyDescent="0.3">
      <c r="B31">
        <v>83</v>
      </c>
      <c r="C31">
        <v>17</v>
      </c>
      <c r="D31">
        <v>25</v>
      </c>
      <c r="E31">
        <v>75</v>
      </c>
      <c r="G31">
        <v>98</v>
      </c>
      <c r="H31">
        <v>2</v>
      </c>
      <c r="I31">
        <v>20</v>
      </c>
      <c r="J31">
        <v>80</v>
      </c>
      <c r="L31">
        <v>85</v>
      </c>
      <c r="M31">
        <v>15</v>
      </c>
      <c r="N31">
        <v>54</v>
      </c>
      <c r="O31">
        <v>46</v>
      </c>
      <c r="Q31">
        <f t="shared" si="0"/>
        <v>21</v>
      </c>
      <c r="R31">
        <f t="shared" si="1"/>
        <v>11</v>
      </c>
      <c r="S31">
        <f t="shared" si="2"/>
        <v>34.5</v>
      </c>
      <c r="T31">
        <f t="shared" si="3"/>
        <v>22.166666666666668</v>
      </c>
      <c r="AC31">
        <f t="shared" si="4"/>
        <v>11</v>
      </c>
      <c r="AD31">
        <f t="shared" si="5"/>
        <v>3.7222222222222223</v>
      </c>
    </row>
    <row r="32" spans="1:32" x14ac:dyDescent="0.3">
      <c r="B32">
        <v>83</v>
      </c>
      <c r="C32">
        <v>17</v>
      </c>
      <c r="D32">
        <v>14</v>
      </c>
      <c r="E32">
        <v>86</v>
      </c>
      <c r="G32">
        <v>95</v>
      </c>
      <c r="H32">
        <v>5</v>
      </c>
      <c r="I32">
        <v>17</v>
      </c>
      <c r="J32">
        <v>83</v>
      </c>
      <c r="L32">
        <v>79</v>
      </c>
      <c r="M32">
        <v>21</v>
      </c>
      <c r="N32">
        <v>40</v>
      </c>
      <c r="O32">
        <v>60</v>
      </c>
      <c r="Q32">
        <f t="shared" si="0"/>
        <v>15.5</v>
      </c>
      <c r="R32">
        <f t="shared" si="1"/>
        <v>11</v>
      </c>
      <c r="S32">
        <f t="shared" si="2"/>
        <v>30.5</v>
      </c>
      <c r="T32">
        <f t="shared" si="3"/>
        <v>19</v>
      </c>
      <c r="AC32">
        <f t="shared" si="4"/>
        <v>11</v>
      </c>
      <c r="AD32">
        <f t="shared" si="5"/>
        <v>2.6666666666666665</v>
      </c>
    </row>
    <row r="33" spans="1:30" x14ac:dyDescent="0.3">
      <c r="B33">
        <v>91</v>
      </c>
      <c r="C33">
        <v>9</v>
      </c>
      <c r="D33">
        <v>25</v>
      </c>
      <c r="E33">
        <v>75</v>
      </c>
      <c r="G33">
        <v>95</v>
      </c>
      <c r="H33">
        <v>5</v>
      </c>
      <c r="I33">
        <v>12</v>
      </c>
      <c r="J33">
        <v>88</v>
      </c>
      <c r="L33">
        <v>82</v>
      </c>
      <c r="M33">
        <v>18</v>
      </c>
      <c r="N33">
        <v>38</v>
      </c>
      <c r="O33">
        <v>62</v>
      </c>
      <c r="Q33">
        <f t="shared" si="0"/>
        <v>17</v>
      </c>
      <c r="R33">
        <f t="shared" si="1"/>
        <v>8.5</v>
      </c>
      <c r="S33">
        <f t="shared" si="2"/>
        <v>28</v>
      </c>
      <c r="T33">
        <f t="shared" si="3"/>
        <v>17.833333333333332</v>
      </c>
      <c r="AC33">
        <f t="shared" si="4"/>
        <v>8.5</v>
      </c>
      <c r="AD33">
        <f t="shared" si="5"/>
        <v>3.1111111111111107</v>
      </c>
    </row>
    <row r="34" spans="1:30" x14ac:dyDescent="0.3">
      <c r="B34">
        <v>80</v>
      </c>
      <c r="C34">
        <v>20</v>
      </c>
      <c r="D34">
        <v>18</v>
      </c>
      <c r="E34">
        <v>82</v>
      </c>
      <c r="G34">
        <v>91</v>
      </c>
      <c r="H34">
        <v>9</v>
      </c>
      <c r="I34">
        <v>14</v>
      </c>
      <c r="J34">
        <v>86</v>
      </c>
      <c r="L34">
        <v>90</v>
      </c>
      <c r="M34">
        <v>10</v>
      </c>
      <c r="N34">
        <v>43</v>
      </c>
      <c r="O34">
        <v>57</v>
      </c>
      <c r="Q34">
        <f t="shared" si="0"/>
        <v>19</v>
      </c>
      <c r="R34">
        <f t="shared" si="1"/>
        <v>11.5</v>
      </c>
      <c r="S34">
        <f t="shared" si="2"/>
        <v>26.5</v>
      </c>
      <c r="T34">
        <f t="shared" si="3"/>
        <v>19</v>
      </c>
      <c r="AC34">
        <f t="shared" si="4"/>
        <v>11.5</v>
      </c>
      <c r="AD34">
        <f t="shared" si="5"/>
        <v>2.5</v>
      </c>
    </row>
    <row r="36" spans="1:30" x14ac:dyDescent="0.3">
      <c r="A36" t="s">
        <v>39</v>
      </c>
    </row>
    <row r="37" spans="1:30" x14ac:dyDescent="0.3">
      <c r="B37">
        <v>82</v>
      </c>
      <c r="C37">
        <v>18</v>
      </c>
      <c r="D37">
        <v>15</v>
      </c>
      <c r="E37">
        <v>85</v>
      </c>
      <c r="G37">
        <v>97</v>
      </c>
      <c r="H37">
        <v>3</v>
      </c>
      <c r="I37">
        <v>17</v>
      </c>
      <c r="J37">
        <v>83</v>
      </c>
      <c r="L37">
        <v>93</v>
      </c>
      <c r="M37">
        <v>7</v>
      </c>
      <c r="N37">
        <v>36</v>
      </c>
      <c r="O37">
        <v>64</v>
      </c>
      <c r="Q37">
        <f t="shared" si="0"/>
        <v>16.5</v>
      </c>
      <c r="R37">
        <f t="shared" si="1"/>
        <v>10</v>
      </c>
      <c r="S37">
        <f t="shared" si="2"/>
        <v>21.5</v>
      </c>
      <c r="T37">
        <f t="shared" si="3"/>
        <v>16</v>
      </c>
      <c r="AA37">
        <f>AVERAGE(T37:T44)</f>
        <v>19.645833333333332</v>
      </c>
      <c r="AC37">
        <f t="shared" si="4"/>
        <v>10</v>
      </c>
      <c r="AD37">
        <f t="shared" si="5"/>
        <v>2</v>
      </c>
    </row>
    <row r="38" spans="1:30" x14ac:dyDescent="0.3">
      <c r="B38">
        <v>73</v>
      </c>
      <c r="C38">
        <v>27</v>
      </c>
      <c r="D38">
        <v>12</v>
      </c>
      <c r="E38">
        <v>88</v>
      </c>
      <c r="G38">
        <v>98</v>
      </c>
      <c r="H38">
        <v>2</v>
      </c>
      <c r="I38">
        <v>18</v>
      </c>
      <c r="J38">
        <v>82</v>
      </c>
      <c r="L38">
        <v>74</v>
      </c>
      <c r="M38">
        <v>26</v>
      </c>
      <c r="N38">
        <v>53</v>
      </c>
      <c r="O38">
        <v>47</v>
      </c>
      <c r="Q38">
        <f t="shared" si="0"/>
        <v>19.5</v>
      </c>
      <c r="R38">
        <f t="shared" si="1"/>
        <v>10</v>
      </c>
      <c r="S38">
        <f t="shared" si="2"/>
        <v>39.5</v>
      </c>
      <c r="T38">
        <f t="shared" si="3"/>
        <v>23</v>
      </c>
      <c r="AC38">
        <f t="shared" si="4"/>
        <v>10</v>
      </c>
      <c r="AD38">
        <f t="shared" si="5"/>
        <v>4.333333333333333</v>
      </c>
    </row>
    <row r="39" spans="1:30" x14ac:dyDescent="0.3">
      <c r="B39">
        <v>74</v>
      </c>
      <c r="C39">
        <v>26</v>
      </c>
      <c r="D39">
        <v>9</v>
      </c>
      <c r="E39">
        <v>91</v>
      </c>
      <c r="G39">
        <v>96</v>
      </c>
      <c r="H39">
        <v>4</v>
      </c>
      <c r="I39">
        <v>15</v>
      </c>
      <c r="J39">
        <v>85</v>
      </c>
      <c r="L39">
        <v>78</v>
      </c>
      <c r="M39">
        <v>22</v>
      </c>
      <c r="N39">
        <v>47</v>
      </c>
      <c r="O39">
        <v>53</v>
      </c>
      <c r="Q39">
        <f t="shared" si="0"/>
        <v>17.5</v>
      </c>
      <c r="R39">
        <f t="shared" si="1"/>
        <v>9.5</v>
      </c>
      <c r="S39">
        <f t="shared" si="2"/>
        <v>34.5</v>
      </c>
      <c r="T39">
        <f t="shared" si="3"/>
        <v>20.5</v>
      </c>
      <c r="AC39">
        <f t="shared" si="4"/>
        <v>9.5</v>
      </c>
      <c r="AD39">
        <f t="shared" si="5"/>
        <v>3.6666666666666665</v>
      </c>
    </row>
    <row r="40" spans="1:30" x14ac:dyDescent="0.3">
      <c r="B40">
        <v>79</v>
      </c>
      <c r="C40">
        <v>21</v>
      </c>
      <c r="D40">
        <v>16</v>
      </c>
      <c r="E40">
        <v>84</v>
      </c>
      <c r="G40">
        <v>88</v>
      </c>
      <c r="H40">
        <v>12</v>
      </c>
      <c r="I40">
        <v>14</v>
      </c>
      <c r="J40">
        <v>86</v>
      </c>
      <c r="L40">
        <v>85</v>
      </c>
      <c r="M40">
        <v>15</v>
      </c>
      <c r="N40">
        <v>42</v>
      </c>
      <c r="O40">
        <v>58</v>
      </c>
      <c r="Q40">
        <f t="shared" si="0"/>
        <v>18.5</v>
      </c>
      <c r="R40">
        <f t="shared" si="1"/>
        <v>13</v>
      </c>
      <c r="S40">
        <f t="shared" si="2"/>
        <v>28.5</v>
      </c>
      <c r="T40">
        <f t="shared" si="3"/>
        <v>20</v>
      </c>
      <c r="AC40">
        <f t="shared" si="4"/>
        <v>13</v>
      </c>
      <c r="AD40">
        <f t="shared" si="5"/>
        <v>2.333333333333333</v>
      </c>
    </row>
    <row r="41" spans="1:30" x14ac:dyDescent="0.3">
      <c r="B41">
        <v>76</v>
      </c>
      <c r="C41">
        <v>24</v>
      </c>
      <c r="D41">
        <v>7</v>
      </c>
      <c r="E41">
        <v>93</v>
      </c>
      <c r="G41">
        <v>93</v>
      </c>
      <c r="H41">
        <v>7</v>
      </c>
      <c r="I41">
        <v>11</v>
      </c>
      <c r="J41">
        <v>89</v>
      </c>
      <c r="L41">
        <v>82</v>
      </c>
      <c r="M41">
        <v>18</v>
      </c>
      <c r="N41">
        <v>38</v>
      </c>
      <c r="O41">
        <v>62</v>
      </c>
      <c r="Q41">
        <f t="shared" si="0"/>
        <v>15.5</v>
      </c>
      <c r="R41">
        <f t="shared" si="1"/>
        <v>9</v>
      </c>
      <c r="S41">
        <f t="shared" si="2"/>
        <v>28</v>
      </c>
      <c r="T41">
        <f t="shared" si="3"/>
        <v>17.5</v>
      </c>
      <c r="AC41">
        <f t="shared" si="4"/>
        <v>9</v>
      </c>
      <c r="AD41">
        <f t="shared" si="5"/>
        <v>2.833333333333333</v>
      </c>
    </row>
    <row r="42" spans="1:30" x14ac:dyDescent="0.3">
      <c r="B42">
        <v>83</v>
      </c>
      <c r="C42">
        <v>17</v>
      </c>
      <c r="D42">
        <v>15</v>
      </c>
      <c r="E42">
        <v>85</v>
      </c>
      <c r="G42">
        <v>93</v>
      </c>
      <c r="H42">
        <v>7</v>
      </c>
      <c r="I42">
        <v>13</v>
      </c>
      <c r="J42">
        <v>87</v>
      </c>
      <c r="L42">
        <v>90</v>
      </c>
      <c r="M42">
        <v>10</v>
      </c>
      <c r="N42">
        <v>46</v>
      </c>
      <c r="O42">
        <v>54</v>
      </c>
      <c r="Q42">
        <f t="shared" si="0"/>
        <v>16</v>
      </c>
      <c r="R42">
        <f t="shared" si="1"/>
        <v>10</v>
      </c>
      <c r="S42">
        <f t="shared" si="2"/>
        <v>28</v>
      </c>
      <c r="T42">
        <f t="shared" si="3"/>
        <v>18</v>
      </c>
      <c r="AC42">
        <f t="shared" si="4"/>
        <v>10</v>
      </c>
      <c r="AD42">
        <f t="shared" si="5"/>
        <v>2.6666666666666665</v>
      </c>
    </row>
    <row r="43" spans="1:30" x14ac:dyDescent="0.3">
      <c r="B43">
        <v>78</v>
      </c>
      <c r="C43">
        <v>22</v>
      </c>
      <c r="D43">
        <v>12</v>
      </c>
      <c r="E43">
        <v>88</v>
      </c>
      <c r="G43">
        <v>91</v>
      </c>
      <c r="H43">
        <v>9</v>
      </c>
      <c r="I43">
        <v>11</v>
      </c>
      <c r="J43">
        <v>89</v>
      </c>
      <c r="L43">
        <v>73</v>
      </c>
      <c r="M43">
        <v>27</v>
      </c>
      <c r="N43">
        <v>40</v>
      </c>
      <c r="O43">
        <v>60</v>
      </c>
      <c r="Q43">
        <f t="shared" si="0"/>
        <v>17</v>
      </c>
      <c r="R43">
        <f t="shared" si="1"/>
        <v>10</v>
      </c>
      <c r="S43">
        <f t="shared" si="2"/>
        <v>33.5</v>
      </c>
      <c r="T43">
        <f t="shared" si="3"/>
        <v>20.166666666666668</v>
      </c>
      <c r="AC43">
        <f t="shared" si="4"/>
        <v>10</v>
      </c>
      <c r="AD43">
        <f t="shared" si="5"/>
        <v>3.3888888888888893</v>
      </c>
    </row>
    <row r="44" spans="1:30" x14ac:dyDescent="0.3">
      <c r="B44">
        <v>74</v>
      </c>
      <c r="C44">
        <v>26</v>
      </c>
      <c r="D44">
        <v>21</v>
      </c>
      <c r="E44">
        <v>79</v>
      </c>
      <c r="G44">
        <v>92</v>
      </c>
      <c r="H44">
        <v>8</v>
      </c>
      <c r="I44">
        <v>8</v>
      </c>
      <c r="J44">
        <v>92</v>
      </c>
      <c r="L44">
        <v>78</v>
      </c>
      <c r="M44">
        <v>22</v>
      </c>
      <c r="N44">
        <v>47</v>
      </c>
      <c r="O44">
        <v>53</v>
      </c>
      <c r="Q44">
        <f t="shared" si="0"/>
        <v>23.5</v>
      </c>
      <c r="R44">
        <f t="shared" si="1"/>
        <v>8</v>
      </c>
      <c r="S44">
        <f t="shared" si="2"/>
        <v>34.5</v>
      </c>
      <c r="T44">
        <f t="shared" si="3"/>
        <v>22</v>
      </c>
      <c r="AC44">
        <f t="shared" si="4"/>
        <v>8</v>
      </c>
      <c r="AD44">
        <f t="shared" si="5"/>
        <v>4.6666666666666661</v>
      </c>
    </row>
    <row r="46" spans="1:30" x14ac:dyDescent="0.3">
      <c r="A46" t="s">
        <v>40</v>
      </c>
    </row>
    <row r="47" spans="1:30" x14ac:dyDescent="0.3">
      <c r="B47">
        <v>73</v>
      </c>
      <c r="C47">
        <v>27</v>
      </c>
      <c r="D47">
        <v>12</v>
      </c>
      <c r="E47">
        <v>88</v>
      </c>
      <c r="G47">
        <v>91</v>
      </c>
      <c r="H47">
        <v>9</v>
      </c>
      <c r="I47">
        <v>8</v>
      </c>
      <c r="J47">
        <v>92</v>
      </c>
      <c r="L47">
        <v>78</v>
      </c>
      <c r="M47">
        <v>22</v>
      </c>
      <c r="N47">
        <v>43</v>
      </c>
      <c r="O47">
        <v>57</v>
      </c>
      <c r="Q47">
        <f t="shared" si="0"/>
        <v>19.5</v>
      </c>
      <c r="R47">
        <f t="shared" si="1"/>
        <v>8.5</v>
      </c>
      <c r="S47">
        <f t="shared" si="2"/>
        <v>32.5</v>
      </c>
      <c r="T47">
        <f t="shared" si="3"/>
        <v>20.166666666666668</v>
      </c>
      <c r="AA47">
        <f>AVERAGE(T47:T48)</f>
        <v>20.25</v>
      </c>
      <c r="AC47">
        <f t="shared" si="4"/>
        <v>8.5</v>
      </c>
      <c r="AD47">
        <f t="shared" si="5"/>
        <v>3.8888888888888893</v>
      </c>
    </row>
    <row r="48" spans="1:30" x14ac:dyDescent="0.3">
      <c r="B48">
        <v>81</v>
      </c>
      <c r="C48">
        <v>19</v>
      </c>
      <c r="D48">
        <v>22</v>
      </c>
      <c r="E48">
        <v>78</v>
      </c>
      <c r="G48">
        <v>96</v>
      </c>
      <c r="H48">
        <v>4</v>
      </c>
      <c r="I48">
        <v>14</v>
      </c>
      <c r="J48">
        <v>86</v>
      </c>
      <c r="L48">
        <v>78</v>
      </c>
      <c r="M48">
        <v>22</v>
      </c>
      <c r="N48">
        <v>41</v>
      </c>
      <c r="O48">
        <v>59</v>
      </c>
      <c r="Q48">
        <f t="shared" si="0"/>
        <v>20.5</v>
      </c>
      <c r="R48">
        <f t="shared" si="1"/>
        <v>9</v>
      </c>
      <c r="S48">
        <f t="shared" si="2"/>
        <v>31.5</v>
      </c>
      <c r="T48">
        <f t="shared" si="3"/>
        <v>20.333333333333332</v>
      </c>
      <c r="AC48">
        <f t="shared" si="4"/>
        <v>9</v>
      </c>
      <c r="AD48">
        <f t="shared" si="5"/>
        <v>3.7777777777777772</v>
      </c>
    </row>
    <row r="50" spans="1:30" x14ac:dyDescent="0.3">
      <c r="A50" t="s">
        <v>41</v>
      </c>
    </row>
    <row r="51" spans="1:30" x14ac:dyDescent="0.3">
      <c r="B51">
        <v>83</v>
      </c>
      <c r="C51">
        <v>17</v>
      </c>
      <c r="D51">
        <v>9</v>
      </c>
      <c r="E51">
        <v>91</v>
      </c>
      <c r="G51">
        <v>97</v>
      </c>
      <c r="H51">
        <v>3</v>
      </c>
      <c r="I51">
        <v>15</v>
      </c>
      <c r="J51">
        <v>85</v>
      </c>
      <c r="L51">
        <v>84</v>
      </c>
      <c r="M51">
        <v>16</v>
      </c>
      <c r="N51">
        <v>45</v>
      </c>
      <c r="O51">
        <v>55</v>
      </c>
      <c r="Q51">
        <f t="shared" si="0"/>
        <v>13</v>
      </c>
      <c r="R51">
        <f t="shared" si="1"/>
        <v>9</v>
      </c>
      <c r="S51">
        <f t="shared" si="2"/>
        <v>30.5</v>
      </c>
      <c r="T51">
        <f t="shared" si="3"/>
        <v>17.5</v>
      </c>
      <c r="AA51">
        <f>AVERAGE(T51:T56)</f>
        <v>19.527777777777775</v>
      </c>
      <c r="AC51">
        <f t="shared" si="4"/>
        <v>9</v>
      </c>
      <c r="AD51">
        <f t="shared" si="5"/>
        <v>2.833333333333333</v>
      </c>
    </row>
    <row r="52" spans="1:30" x14ac:dyDescent="0.3">
      <c r="B52">
        <v>74</v>
      </c>
      <c r="C52">
        <v>26</v>
      </c>
      <c r="D52">
        <v>12</v>
      </c>
      <c r="E52">
        <v>88</v>
      </c>
      <c r="G52">
        <v>91</v>
      </c>
      <c r="H52">
        <v>9</v>
      </c>
      <c r="I52">
        <v>10</v>
      </c>
      <c r="J52">
        <v>90</v>
      </c>
      <c r="L52">
        <v>84</v>
      </c>
      <c r="M52">
        <v>16</v>
      </c>
      <c r="N52">
        <v>28</v>
      </c>
      <c r="O52">
        <v>72</v>
      </c>
      <c r="Q52">
        <f t="shared" si="0"/>
        <v>19</v>
      </c>
      <c r="R52">
        <f t="shared" si="1"/>
        <v>9.5</v>
      </c>
      <c r="S52">
        <f t="shared" si="2"/>
        <v>22</v>
      </c>
      <c r="T52">
        <f t="shared" si="3"/>
        <v>16.833333333333332</v>
      </c>
      <c r="AC52">
        <f t="shared" si="4"/>
        <v>9.5</v>
      </c>
      <c r="AD52">
        <f t="shared" si="5"/>
        <v>2.4444444444444438</v>
      </c>
    </row>
    <row r="53" spans="1:30" x14ac:dyDescent="0.3">
      <c r="B53">
        <v>78</v>
      </c>
      <c r="C53">
        <v>22</v>
      </c>
      <c r="D53">
        <v>19</v>
      </c>
      <c r="E53">
        <v>81</v>
      </c>
      <c r="G53">
        <v>94</v>
      </c>
      <c r="H53">
        <v>6</v>
      </c>
      <c r="I53">
        <v>9</v>
      </c>
      <c r="J53">
        <v>91</v>
      </c>
      <c r="L53">
        <v>75</v>
      </c>
      <c r="M53">
        <v>25</v>
      </c>
      <c r="N53">
        <v>44</v>
      </c>
      <c r="O53">
        <v>56</v>
      </c>
      <c r="Q53">
        <f t="shared" si="0"/>
        <v>20.5</v>
      </c>
      <c r="R53">
        <f t="shared" si="1"/>
        <v>7.5</v>
      </c>
      <c r="S53">
        <f t="shared" si="2"/>
        <v>34.5</v>
      </c>
      <c r="T53">
        <f t="shared" si="3"/>
        <v>20.833333333333332</v>
      </c>
      <c r="AC53">
        <f t="shared" si="4"/>
        <v>7.5</v>
      </c>
      <c r="AD53">
        <f t="shared" si="5"/>
        <v>4.4444444444444438</v>
      </c>
    </row>
    <row r="54" spans="1:30" x14ac:dyDescent="0.3">
      <c r="B54">
        <v>80</v>
      </c>
      <c r="C54">
        <v>20</v>
      </c>
      <c r="D54">
        <v>20</v>
      </c>
      <c r="E54">
        <v>80</v>
      </c>
      <c r="G54">
        <v>93</v>
      </c>
      <c r="H54">
        <v>7</v>
      </c>
      <c r="I54">
        <v>17</v>
      </c>
      <c r="J54">
        <v>83</v>
      </c>
      <c r="L54">
        <v>91</v>
      </c>
      <c r="M54">
        <v>9</v>
      </c>
      <c r="N54">
        <v>61</v>
      </c>
      <c r="O54">
        <v>39</v>
      </c>
      <c r="Q54">
        <f t="shared" si="0"/>
        <v>20</v>
      </c>
      <c r="R54">
        <f t="shared" si="1"/>
        <v>12</v>
      </c>
      <c r="S54">
        <f t="shared" si="2"/>
        <v>35</v>
      </c>
      <c r="T54">
        <f t="shared" si="3"/>
        <v>22.333333333333332</v>
      </c>
      <c r="AC54">
        <f t="shared" si="4"/>
        <v>12</v>
      </c>
      <c r="AD54">
        <f t="shared" si="5"/>
        <v>3.4444444444444438</v>
      </c>
    </row>
    <row r="55" spans="1:30" x14ac:dyDescent="0.3">
      <c r="B55">
        <v>76</v>
      </c>
      <c r="C55">
        <v>24</v>
      </c>
      <c r="D55">
        <v>25</v>
      </c>
      <c r="E55">
        <v>75</v>
      </c>
      <c r="G55">
        <v>97</v>
      </c>
      <c r="H55">
        <v>3</v>
      </c>
      <c r="I55">
        <v>17</v>
      </c>
      <c r="J55">
        <v>83</v>
      </c>
      <c r="L55">
        <v>92</v>
      </c>
      <c r="M55">
        <v>8</v>
      </c>
      <c r="N55">
        <v>39</v>
      </c>
      <c r="O55">
        <v>61</v>
      </c>
      <c r="Q55">
        <f t="shared" si="0"/>
        <v>24.5</v>
      </c>
      <c r="R55">
        <f t="shared" si="1"/>
        <v>10</v>
      </c>
      <c r="S55">
        <f t="shared" si="2"/>
        <v>23.5</v>
      </c>
      <c r="T55">
        <f t="shared" si="3"/>
        <v>19.333333333333332</v>
      </c>
      <c r="AC55">
        <f t="shared" si="4"/>
        <v>10</v>
      </c>
      <c r="AD55">
        <f t="shared" si="5"/>
        <v>3.1111111111111107</v>
      </c>
    </row>
    <row r="56" spans="1:30" x14ac:dyDescent="0.3">
      <c r="B56">
        <v>83</v>
      </c>
      <c r="C56">
        <v>17</v>
      </c>
      <c r="D56">
        <v>20</v>
      </c>
      <c r="E56">
        <v>80</v>
      </c>
      <c r="G56">
        <v>94</v>
      </c>
      <c r="H56">
        <v>6</v>
      </c>
      <c r="I56">
        <v>17</v>
      </c>
      <c r="J56">
        <v>83</v>
      </c>
      <c r="L56">
        <v>79</v>
      </c>
      <c r="M56">
        <v>21</v>
      </c>
      <c r="N56">
        <v>41</v>
      </c>
      <c r="O56">
        <v>59</v>
      </c>
      <c r="Q56">
        <f t="shared" si="0"/>
        <v>18.5</v>
      </c>
      <c r="R56">
        <f t="shared" si="1"/>
        <v>11.5</v>
      </c>
      <c r="S56">
        <f t="shared" si="2"/>
        <v>31</v>
      </c>
      <c r="T56">
        <f t="shared" si="3"/>
        <v>20.333333333333332</v>
      </c>
      <c r="AC56">
        <f t="shared" si="4"/>
        <v>11.5</v>
      </c>
      <c r="AD56">
        <f t="shared" si="5"/>
        <v>2.9444444444444438</v>
      </c>
    </row>
    <row r="58" spans="1:30" x14ac:dyDescent="0.3">
      <c r="A58" t="s">
        <v>5</v>
      </c>
    </row>
    <row r="59" spans="1:30" x14ac:dyDescent="0.3">
      <c r="B59">
        <v>78</v>
      </c>
      <c r="C59">
        <v>22</v>
      </c>
      <c r="D59">
        <v>18</v>
      </c>
      <c r="E59">
        <v>82</v>
      </c>
      <c r="G59">
        <v>91</v>
      </c>
      <c r="H59">
        <v>9</v>
      </c>
      <c r="I59">
        <v>13</v>
      </c>
      <c r="J59">
        <v>87</v>
      </c>
      <c r="L59">
        <v>78</v>
      </c>
      <c r="M59">
        <v>22</v>
      </c>
      <c r="N59">
        <v>53</v>
      </c>
      <c r="O59">
        <v>47</v>
      </c>
      <c r="Q59">
        <f t="shared" si="0"/>
        <v>20</v>
      </c>
      <c r="R59">
        <f t="shared" si="1"/>
        <v>11</v>
      </c>
      <c r="S59">
        <f t="shared" si="2"/>
        <v>37.5</v>
      </c>
      <c r="T59">
        <f t="shared" si="3"/>
        <v>22.833333333333332</v>
      </c>
      <c r="AA59">
        <f>AVERAGE(T59:T61)</f>
        <v>21.055555555555554</v>
      </c>
      <c r="AC59">
        <f t="shared" si="4"/>
        <v>11</v>
      </c>
      <c r="AD59">
        <f t="shared" si="5"/>
        <v>3.9444444444444438</v>
      </c>
    </row>
    <row r="60" spans="1:30" x14ac:dyDescent="0.3">
      <c r="B60">
        <v>70</v>
      </c>
      <c r="C60">
        <v>30</v>
      </c>
      <c r="D60">
        <v>11</v>
      </c>
      <c r="E60">
        <v>89</v>
      </c>
      <c r="G60">
        <v>90</v>
      </c>
      <c r="H60">
        <v>10</v>
      </c>
      <c r="I60">
        <v>11</v>
      </c>
      <c r="J60">
        <v>89</v>
      </c>
      <c r="L60">
        <v>69</v>
      </c>
      <c r="M60">
        <v>31</v>
      </c>
      <c r="N60">
        <v>32</v>
      </c>
      <c r="O60">
        <v>68</v>
      </c>
      <c r="Q60">
        <f t="shared" si="0"/>
        <v>20.5</v>
      </c>
      <c r="R60">
        <f t="shared" si="1"/>
        <v>10.5</v>
      </c>
      <c r="S60">
        <f t="shared" si="2"/>
        <v>31.5</v>
      </c>
      <c r="T60">
        <f t="shared" si="3"/>
        <v>20.833333333333332</v>
      </c>
      <c r="AC60">
        <f t="shared" si="4"/>
        <v>10.5</v>
      </c>
      <c r="AD60">
        <f t="shared" si="5"/>
        <v>3.4444444444444438</v>
      </c>
    </row>
    <row r="61" spans="1:30" x14ac:dyDescent="0.3">
      <c r="B61">
        <v>79</v>
      </c>
      <c r="C61">
        <v>21</v>
      </c>
      <c r="D61">
        <v>19</v>
      </c>
      <c r="E61">
        <v>81</v>
      </c>
      <c r="G61">
        <v>92</v>
      </c>
      <c r="H61">
        <v>8</v>
      </c>
      <c r="I61">
        <v>13</v>
      </c>
      <c r="J61">
        <v>87</v>
      </c>
      <c r="L61">
        <v>81</v>
      </c>
      <c r="M61">
        <v>19</v>
      </c>
      <c r="N61">
        <v>37</v>
      </c>
      <c r="O61">
        <v>63</v>
      </c>
      <c r="Q61">
        <f t="shared" si="0"/>
        <v>20</v>
      </c>
      <c r="R61">
        <f t="shared" si="1"/>
        <v>10.5</v>
      </c>
      <c r="S61">
        <f t="shared" si="2"/>
        <v>28</v>
      </c>
      <c r="T61">
        <f t="shared" si="3"/>
        <v>19.5</v>
      </c>
      <c r="AC61">
        <f t="shared" si="4"/>
        <v>10.5</v>
      </c>
      <c r="AD61">
        <f t="shared" si="5"/>
        <v>3</v>
      </c>
    </row>
    <row r="64" spans="1:30" x14ac:dyDescent="0.3">
      <c r="A64" t="s">
        <v>42</v>
      </c>
    </row>
    <row r="65" spans="1:30" x14ac:dyDescent="0.3">
      <c r="B65">
        <v>84</v>
      </c>
      <c r="C65">
        <v>16</v>
      </c>
      <c r="D65">
        <v>22</v>
      </c>
      <c r="E65">
        <v>78</v>
      </c>
      <c r="G65">
        <v>96</v>
      </c>
      <c r="H65">
        <v>4</v>
      </c>
      <c r="I65">
        <v>26</v>
      </c>
      <c r="J65">
        <v>74</v>
      </c>
      <c r="L65">
        <v>82</v>
      </c>
      <c r="M65">
        <v>18</v>
      </c>
      <c r="N65">
        <v>51</v>
      </c>
      <c r="O65">
        <v>49</v>
      </c>
      <c r="Q65">
        <f t="shared" si="0"/>
        <v>19</v>
      </c>
      <c r="R65">
        <f t="shared" si="1"/>
        <v>15</v>
      </c>
      <c r="S65">
        <f t="shared" si="2"/>
        <v>34.5</v>
      </c>
      <c r="T65">
        <f t="shared" si="3"/>
        <v>22.833333333333332</v>
      </c>
      <c r="AA65">
        <f>AVERAGE(T65:T74)</f>
        <v>20.55</v>
      </c>
      <c r="AC65">
        <f t="shared" si="4"/>
        <v>15</v>
      </c>
      <c r="AD65">
        <f t="shared" si="5"/>
        <v>2.6111111111111107</v>
      </c>
    </row>
    <row r="66" spans="1:30" x14ac:dyDescent="0.3">
      <c r="B66">
        <v>82</v>
      </c>
      <c r="C66">
        <v>18</v>
      </c>
      <c r="D66">
        <v>33</v>
      </c>
      <c r="E66">
        <v>67</v>
      </c>
      <c r="G66">
        <v>97</v>
      </c>
      <c r="H66">
        <v>3</v>
      </c>
      <c r="I66">
        <v>27</v>
      </c>
      <c r="J66">
        <v>73</v>
      </c>
      <c r="L66">
        <v>78</v>
      </c>
      <c r="M66">
        <v>22</v>
      </c>
      <c r="N66">
        <v>46</v>
      </c>
      <c r="O66">
        <v>54</v>
      </c>
      <c r="Q66">
        <f t="shared" si="0"/>
        <v>25.5</v>
      </c>
      <c r="R66">
        <f t="shared" si="1"/>
        <v>15</v>
      </c>
      <c r="S66">
        <f t="shared" si="2"/>
        <v>34</v>
      </c>
      <c r="T66">
        <f t="shared" si="3"/>
        <v>24.833333333333332</v>
      </c>
      <c r="AC66">
        <f t="shared" si="4"/>
        <v>15</v>
      </c>
      <c r="AD66">
        <f t="shared" si="5"/>
        <v>3.2777777777777772</v>
      </c>
    </row>
    <row r="67" spans="1:30" x14ac:dyDescent="0.3">
      <c r="B67">
        <v>77</v>
      </c>
      <c r="C67">
        <v>23</v>
      </c>
      <c r="D67">
        <v>12</v>
      </c>
      <c r="E67">
        <v>88</v>
      </c>
      <c r="G67">
        <v>97</v>
      </c>
      <c r="H67">
        <v>3</v>
      </c>
      <c r="I67">
        <v>13</v>
      </c>
      <c r="J67">
        <v>87</v>
      </c>
      <c r="L67">
        <v>82</v>
      </c>
      <c r="M67">
        <v>18</v>
      </c>
      <c r="N67">
        <v>50</v>
      </c>
      <c r="O67">
        <v>50</v>
      </c>
      <c r="Q67">
        <f t="shared" ref="Q67:Q93" si="6">AVERAGE(C67:D67)</f>
        <v>17.5</v>
      </c>
      <c r="R67">
        <f t="shared" ref="R67:R93" si="7">AVERAGE(H67:I67)</f>
        <v>8</v>
      </c>
      <c r="S67">
        <f t="shared" ref="S67:S93" si="8">AVERAGE(M67:N67)</f>
        <v>34</v>
      </c>
      <c r="T67">
        <f t="shared" ref="T67:T93" si="9">AVERAGE(Q67:S67)</f>
        <v>19.833333333333332</v>
      </c>
      <c r="AC67">
        <f t="shared" ref="AC67:AC93" si="10">MIN(Q67:S67)</f>
        <v>8</v>
      </c>
      <c r="AD67">
        <f t="shared" ref="AD67:AD93" si="11">(1/3)*(T67-AC67)</f>
        <v>3.9444444444444438</v>
      </c>
    </row>
    <row r="68" spans="1:30" x14ac:dyDescent="0.3">
      <c r="B68">
        <v>86</v>
      </c>
      <c r="C68">
        <v>14</v>
      </c>
      <c r="D68">
        <v>20</v>
      </c>
      <c r="E68">
        <v>80</v>
      </c>
      <c r="G68">
        <v>94</v>
      </c>
      <c r="H68">
        <v>6</v>
      </c>
      <c r="I68">
        <v>17</v>
      </c>
      <c r="J68">
        <v>83</v>
      </c>
      <c r="L68">
        <v>79</v>
      </c>
      <c r="M68">
        <v>21</v>
      </c>
      <c r="N68">
        <v>35</v>
      </c>
      <c r="O68">
        <v>65</v>
      </c>
      <c r="Q68">
        <f t="shared" si="6"/>
        <v>17</v>
      </c>
      <c r="R68">
        <f t="shared" si="7"/>
        <v>11.5</v>
      </c>
      <c r="S68">
        <f t="shared" si="8"/>
        <v>28</v>
      </c>
      <c r="T68">
        <f t="shared" si="9"/>
        <v>18.833333333333332</v>
      </c>
      <c r="AC68">
        <f t="shared" si="10"/>
        <v>11.5</v>
      </c>
      <c r="AD68">
        <f t="shared" si="11"/>
        <v>2.4444444444444438</v>
      </c>
    </row>
    <row r="69" spans="1:30" x14ac:dyDescent="0.3">
      <c r="B69">
        <v>68</v>
      </c>
      <c r="C69">
        <v>32</v>
      </c>
      <c r="D69">
        <v>15</v>
      </c>
      <c r="E69">
        <v>85</v>
      </c>
      <c r="G69">
        <v>92</v>
      </c>
      <c r="H69">
        <v>8</v>
      </c>
      <c r="I69">
        <v>12</v>
      </c>
      <c r="J69">
        <v>88</v>
      </c>
      <c r="L69">
        <v>92</v>
      </c>
      <c r="M69">
        <v>8</v>
      </c>
      <c r="N69">
        <v>45</v>
      </c>
      <c r="O69">
        <v>55</v>
      </c>
      <c r="Q69">
        <f t="shared" si="6"/>
        <v>23.5</v>
      </c>
      <c r="R69">
        <f t="shared" si="7"/>
        <v>10</v>
      </c>
      <c r="S69">
        <f t="shared" si="8"/>
        <v>26.5</v>
      </c>
      <c r="T69">
        <f t="shared" si="9"/>
        <v>20</v>
      </c>
      <c r="AC69">
        <f t="shared" si="10"/>
        <v>10</v>
      </c>
      <c r="AD69">
        <f t="shared" si="11"/>
        <v>3.333333333333333</v>
      </c>
    </row>
    <row r="70" spans="1:30" x14ac:dyDescent="0.3">
      <c r="B70">
        <v>76</v>
      </c>
      <c r="C70">
        <v>24</v>
      </c>
      <c r="D70">
        <v>23</v>
      </c>
      <c r="E70">
        <v>77</v>
      </c>
      <c r="G70">
        <v>93</v>
      </c>
      <c r="H70">
        <v>7</v>
      </c>
      <c r="I70">
        <v>20</v>
      </c>
      <c r="J70">
        <v>80</v>
      </c>
      <c r="L70">
        <v>83</v>
      </c>
      <c r="M70">
        <v>17</v>
      </c>
      <c r="N70">
        <v>38</v>
      </c>
      <c r="O70">
        <v>62</v>
      </c>
      <c r="Q70">
        <f t="shared" si="6"/>
        <v>23.5</v>
      </c>
      <c r="R70">
        <f t="shared" si="7"/>
        <v>13.5</v>
      </c>
      <c r="S70">
        <f t="shared" si="8"/>
        <v>27.5</v>
      </c>
      <c r="T70">
        <f t="shared" si="9"/>
        <v>21.5</v>
      </c>
      <c r="AC70">
        <f t="shared" si="10"/>
        <v>13.5</v>
      </c>
      <c r="AD70">
        <f t="shared" si="11"/>
        <v>2.6666666666666665</v>
      </c>
    </row>
    <row r="71" spans="1:30" x14ac:dyDescent="0.3">
      <c r="B71">
        <v>87</v>
      </c>
      <c r="C71">
        <v>13</v>
      </c>
      <c r="D71">
        <v>11</v>
      </c>
      <c r="E71">
        <v>89</v>
      </c>
      <c r="G71">
        <v>94</v>
      </c>
      <c r="H71">
        <v>6</v>
      </c>
      <c r="I71">
        <v>13</v>
      </c>
      <c r="J71">
        <v>87</v>
      </c>
      <c r="L71">
        <v>91</v>
      </c>
      <c r="M71">
        <v>9</v>
      </c>
      <c r="N71">
        <v>49</v>
      </c>
      <c r="O71">
        <v>51</v>
      </c>
      <c r="Q71">
        <f t="shared" si="6"/>
        <v>12</v>
      </c>
      <c r="R71">
        <f t="shared" si="7"/>
        <v>9.5</v>
      </c>
      <c r="S71">
        <f t="shared" si="8"/>
        <v>29</v>
      </c>
      <c r="T71">
        <f t="shared" si="9"/>
        <v>16.833333333333332</v>
      </c>
      <c r="AC71">
        <f t="shared" si="10"/>
        <v>9.5</v>
      </c>
      <c r="AD71">
        <f t="shared" si="11"/>
        <v>2.4444444444444438</v>
      </c>
    </row>
    <row r="72" spans="1:30" x14ac:dyDescent="0.3">
      <c r="B72">
        <v>74</v>
      </c>
      <c r="C72">
        <v>26</v>
      </c>
      <c r="D72">
        <v>15</v>
      </c>
      <c r="E72">
        <v>85</v>
      </c>
      <c r="G72">
        <v>94</v>
      </c>
      <c r="H72">
        <v>6</v>
      </c>
      <c r="I72">
        <v>15</v>
      </c>
      <c r="J72">
        <v>85</v>
      </c>
      <c r="L72">
        <v>69</v>
      </c>
      <c r="M72">
        <v>31</v>
      </c>
      <c r="N72">
        <v>32</v>
      </c>
      <c r="O72">
        <v>68</v>
      </c>
      <c r="Q72">
        <f t="shared" si="6"/>
        <v>20.5</v>
      </c>
      <c r="R72">
        <f t="shared" si="7"/>
        <v>10.5</v>
      </c>
      <c r="S72">
        <f t="shared" si="8"/>
        <v>31.5</v>
      </c>
      <c r="T72">
        <f t="shared" si="9"/>
        <v>20.833333333333332</v>
      </c>
      <c r="AC72">
        <f t="shared" si="10"/>
        <v>10.5</v>
      </c>
      <c r="AD72">
        <f t="shared" si="11"/>
        <v>3.4444444444444438</v>
      </c>
    </row>
    <row r="73" spans="1:30" x14ac:dyDescent="0.3">
      <c r="B73">
        <v>80</v>
      </c>
      <c r="C73">
        <v>20</v>
      </c>
      <c r="D73">
        <v>17</v>
      </c>
      <c r="E73">
        <v>83</v>
      </c>
      <c r="G73">
        <v>86</v>
      </c>
      <c r="H73">
        <v>14</v>
      </c>
      <c r="I73">
        <v>16</v>
      </c>
      <c r="J73">
        <v>84</v>
      </c>
      <c r="L73">
        <v>78</v>
      </c>
      <c r="M73">
        <v>22</v>
      </c>
      <c r="N73">
        <v>34</v>
      </c>
      <c r="O73">
        <v>66</v>
      </c>
      <c r="Q73">
        <f t="shared" si="6"/>
        <v>18.5</v>
      </c>
      <c r="R73">
        <f t="shared" si="7"/>
        <v>15</v>
      </c>
      <c r="S73">
        <f t="shared" si="8"/>
        <v>28</v>
      </c>
      <c r="T73">
        <f t="shared" si="9"/>
        <v>20.5</v>
      </c>
      <c r="AC73">
        <f t="shared" si="10"/>
        <v>15</v>
      </c>
      <c r="AD73">
        <f t="shared" si="11"/>
        <v>1.8333333333333333</v>
      </c>
    </row>
    <row r="74" spans="1:30" x14ac:dyDescent="0.3">
      <c r="B74">
        <v>73</v>
      </c>
      <c r="C74">
        <v>27</v>
      </c>
      <c r="D74">
        <v>6</v>
      </c>
      <c r="E74">
        <v>94</v>
      </c>
      <c r="G74">
        <v>94</v>
      </c>
      <c r="H74">
        <v>6</v>
      </c>
      <c r="I74">
        <v>12</v>
      </c>
      <c r="J74">
        <v>88</v>
      </c>
      <c r="L74">
        <v>66</v>
      </c>
      <c r="M74">
        <v>34</v>
      </c>
      <c r="N74">
        <v>32</v>
      </c>
      <c r="O74">
        <v>68</v>
      </c>
      <c r="Q74">
        <f t="shared" si="6"/>
        <v>16.5</v>
      </c>
      <c r="R74">
        <f t="shared" si="7"/>
        <v>9</v>
      </c>
      <c r="S74">
        <f t="shared" si="8"/>
        <v>33</v>
      </c>
      <c r="T74">
        <f t="shared" si="9"/>
        <v>19.5</v>
      </c>
      <c r="AC74">
        <f t="shared" si="10"/>
        <v>9</v>
      </c>
      <c r="AD74">
        <f t="shared" si="11"/>
        <v>3.5</v>
      </c>
    </row>
    <row r="76" spans="1:30" x14ac:dyDescent="0.3">
      <c r="A76" t="s">
        <v>43</v>
      </c>
    </row>
    <row r="77" spans="1:30" x14ac:dyDescent="0.3">
      <c r="B77">
        <v>74</v>
      </c>
      <c r="C77">
        <v>26</v>
      </c>
      <c r="D77">
        <v>17</v>
      </c>
      <c r="E77">
        <v>83</v>
      </c>
      <c r="G77">
        <v>91</v>
      </c>
      <c r="H77">
        <v>9</v>
      </c>
      <c r="I77">
        <v>16</v>
      </c>
      <c r="J77">
        <v>84</v>
      </c>
      <c r="L77">
        <v>73</v>
      </c>
      <c r="M77">
        <v>27</v>
      </c>
      <c r="N77">
        <v>47</v>
      </c>
      <c r="O77">
        <v>53</v>
      </c>
      <c r="Q77">
        <f t="shared" si="6"/>
        <v>21.5</v>
      </c>
      <c r="R77">
        <f t="shared" si="7"/>
        <v>12.5</v>
      </c>
      <c r="S77">
        <f t="shared" si="8"/>
        <v>37</v>
      </c>
      <c r="T77">
        <f t="shared" si="9"/>
        <v>23.666666666666668</v>
      </c>
      <c r="AA77">
        <f>AVERAGE(T77:T83)</f>
        <v>20.047619047619047</v>
      </c>
      <c r="AC77">
        <f t="shared" si="10"/>
        <v>12.5</v>
      </c>
      <c r="AD77">
        <f t="shared" si="11"/>
        <v>3.7222222222222223</v>
      </c>
    </row>
    <row r="78" spans="1:30" x14ac:dyDescent="0.3">
      <c r="B78">
        <v>84</v>
      </c>
      <c r="C78">
        <v>16</v>
      </c>
      <c r="D78">
        <v>17</v>
      </c>
      <c r="E78">
        <v>83</v>
      </c>
      <c r="G78">
        <v>98</v>
      </c>
      <c r="H78">
        <v>2</v>
      </c>
      <c r="I78">
        <v>24</v>
      </c>
      <c r="J78">
        <v>76</v>
      </c>
      <c r="L78">
        <v>90</v>
      </c>
      <c r="M78">
        <v>10</v>
      </c>
      <c r="N78">
        <v>39</v>
      </c>
      <c r="O78">
        <v>61</v>
      </c>
      <c r="Q78">
        <f t="shared" si="6"/>
        <v>16.5</v>
      </c>
      <c r="R78">
        <f t="shared" si="7"/>
        <v>13</v>
      </c>
      <c r="S78">
        <f t="shared" si="8"/>
        <v>24.5</v>
      </c>
      <c r="T78">
        <f t="shared" si="9"/>
        <v>18</v>
      </c>
      <c r="AC78">
        <f t="shared" si="10"/>
        <v>13</v>
      </c>
      <c r="AD78">
        <f t="shared" si="11"/>
        <v>1.6666666666666665</v>
      </c>
    </row>
    <row r="79" spans="1:30" x14ac:dyDescent="0.3">
      <c r="B79">
        <v>85</v>
      </c>
      <c r="C79">
        <v>15</v>
      </c>
      <c r="D79">
        <v>21</v>
      </c>
      <c r="E79">
        <v>79</v>
      </c>
      <c r="G79">
        <v>94</v>
      </c>
      <c r="H79">
        <v>6</v>
      </c>
      <c r="I79">
        <v>22</v>
      </c>
      <c r="J79">
        <v>78</v>
      </c>
      <c r="L79">
        <v>82</v>
      </c>
      <c r="M79">
        <v>18</v>
      </c>
      <c r="N79">
        <v>47</v>
      </c>
      <c r="O79">
        <v>53</v>
      </c>
      <c r="Q79">
        <f t="shared" si="6"/>
        <v>18</v>
      </c>
      <c r="R79">
        <f t="shared" si="7"/>
        <v>14</v>
      </c>
      <c r="S79">
        <f t="shared" si="8"/>
        <v>32.5</v>
      </c>
      <c r="T79">
        <f t="shared" si="9"/>
        <v>21.5</v>
      </c>
      <c r="AC79">
        <f t="shared" si="10"/>
        <v>14</v>
      </c>
      <c r="AD79">
        <f t="shared" si="11"/>
        <v>2.5</v>
      </c>
    </row>
    <row r="80" spans="1:30" x14ac:dyDescent="0.3">
      <c r="B80">
        <v>83</v>
      </c>
      <c r="C80">
        <v>17</v>
      </c>
      <c r="D80">
        <v>22</v>
      </c>
      <c r="E80">
        <v>78</v>
      </c>
      <c r="G80">
        <v>97</v>
      </c>
      <c r="H80">
        <v>3</v>
      </c>
      <c r="I80">
        <v>20</v>
      </c>
      <c r="J80">
        <v>80</v>
      </c>
      <c r="L80">
        <v>80</v>
      </c>
      <c r="M80">
        <v>20</v>
      </c>
      <c r="N80">
        <v>45</v>
      </c>
      <c r="O80">
        <v>55</v>
      </c>
      <c r="Q80">
        <f t="shared" si="6"/>
        <v>19.5</v>
      </c>
      <c r="R80">
        <f t="shared" si="7"/>
        <v>11.5</v>
      </c>
      <c r="S80">
        <f t="shared" si="8"/>
        <v>32.5</v>
      </c>
      <c r="T80">
        <f t="shared" si="9"/>
        <v>21.166666666666668</v>
      </c>
      <c r="AC80">
        <f t="shared" si="10"/>
        <v>11.5</v>
      </c>
      <c r="AD80">
        <f t="shared" si="11"/>
        <v>3.2222222222222223</v>
      </c>
    </row>
    <row r="81" spans="1:31" x14ac:dyDescent="0.3">
      <c r="B81">
        <v>86</v>
      </c>
      <c r="C81">
        <v>14</v>
      </c>
      <c r="D81">
        <v>17</v>
      </c>
      <c r="E81">
        <v>83</v>
      </c>
      <c r="G81">
        <v>93</v>
      </c>
      <c r="H81">
        <v>7</v>
      </c>
      <c r="I81">
        <v>12</v>
      </c>
      <c r="J81">
        <v>88</v>
      </c>
      <c r="L81">
        <v>80</v>
      </c>
      <c r="M81">
        <v>20</v>
      </c>
      <c r="N81">
        <v>46</v>
      </c>
      <c r="O81">
        <v>54</v>
      </c>
      <c r="Q81">
        <f t="shared" si="6"/>
        <v>15.5</v>
      </c>
      <c r="R81">
        <f t="shared" si="7"/>
        <v>9.5</v>
      </c>
      <c r="S81">
        <f t="shared" si="8"/>
        <v>33</v>
      </c>
      <c r="T81">
        <f t="shared" si="9"/>
        <v>19.333333333333332</v>
      </c>
      <c r="AC81">
        <f t="shared" si="10"/>
        <v>9.5</v>
      </c>
      <c r="AD81">
        <f t="shared" si="11"/>
        <v>3.2777777777777772</v>
      </c>
    </row>
    <row r="82" spans="1:31" x14ac:dyDescent="0.3">
      <c r="B82">
        <v>67</v>
      </c>
      <c r="C82">
        <v>33</v>
      </c>
      <c r="D82">
        <v>9</v>
      </c>
      <c r="E82">
        <v>91</v>
      </c>
      <c r="G82">
        <v>91</v>
      </c>
      <c r="H82">
        <v>9</v>
      </c>
      <c r="I82">
        <v>8</v>
      </c>
      <c r="J82">
        <v>92</v>
      </c>
      <c r="L82">
        <v>79</v>
      </c>
      <c r="M82">
        <v>21</v>
      </c>
      <c r="N82">
        <v>36</v>
      </c>
      <c r="O82">
        <v>64</v>
      </c>
      <c r="Q82">
        <f t="shared" si="6"/>
        <v>21</v>
      </c>
      <c r="R82">
        <f t="shared" si="7"/>
        <v>8.5</v>
      </c>
      <c r="S82">
        <f t="shared" si="8"/>
        <v>28.5</v>
      </c>
      <c r="T82">
        <f t="shared" si="9"/>
        <v>19.333333333333332</v>
      </c>
      <c r="AC82">
        <f t="shared" si="10"/>
        <v>8.5</v>
      </c>
      <c r="AD82">
        <f t="shared" si="11"/>
        <v>3.6111111111111107</v>
      </c>
    </row>
    <row r="83" spans="1:31" x14ac:dyDescent="0.3">
      <c r="B83">
        <v>80</v>
      </c>
      <c r="C83">
        <v>20</v>
      </c>
      <c r="D83">
        <v>14</v>
      </c>
      <c r="E83">
        <v>86</v>
      </c>
      <c r="G83">
        <v>95</v>
      </c>
      <c r="H83">
        <v>5</v>
      </c>
      <c r="I83">
        <v>9</v>
      </c>
      <c r="J83">
        <v>91</v>
      </c>
      <c r="L83">
        <v>78</v>
      </c>
      <c r="M83">
        <v>22</v>
      </c>
      <c r="N83">
        <v>34</v>
      </c>
      <c r="O83">
        <v>66</v>
      </c>
      <c r="Q83">
        <f t="shared" si="6"/>
        <v>17</v>
      </c>
      <c r="R83">
        <f t="shared" si="7"/>
        <v>7</v>
      </c>
      <c r="S83">
        <f t="shared" si="8"/>
        <v>28</v>
      </c>
      <c r="T83">
        <f t="shared" si="9"/>
        <v>17.333333333333332</v>
      </c>
      <c r="AC83">
        <f t="shared" si="10"/>
        <v>7</v>
      </c>
      <c r="AD83">
        <f t="shared" si="11"/>
        <v>3.4444444444444438</v>
      </c>
    </row>
    <row r="85" spans="1:31" x14ac:dyDescent="0.3">
      <c r="A85" t="s">
        <v>44</v>
      </c>
    </row>
    <row r="86" spans="1:31" x14ac:dyDescent="0.3">
      <c r="B86">
        <v>76</v>
      </c>
      <c r="C86">
        <v>24</v>
      </c>
      <c r="D86">
        <v>8</v>
      </c>
      <c r="E86">
        <v>92</v>
      </c>
      <c r="G86">
        <v>95</v>
      </c>
      <c r="H86">
        <v>5</v>
      </c>
      <c r="I86">
        <v>11</v>
      </c>
      <c r="J86">
        <v>89</v>
      </c>
      <c r="L86">
        <v>87</v>
      </c>
      <c r="M86">
        <v>13</v>
      </c>
      <c r="N86">
        <v>45</v>
      </c>
      <c r="O86">
        <v>55</v>
      </c>
      <c r="Q86">
        <f t="shared" si="6"/>
        <v>16</v>
      </c>
      <c r="R86">
        <f t="shared" si="7"/>
        <v>8</v>
      </c>
      <c r="S86">
        <f t="shared" si="8"/>
        <v>29</v>
      </c>
      <c r="T86">
        <f t="shared" si="9"/>
        <v>17.666666666666668</v>
      </c>
      <c r="AA86">
        <f>AVERAGE(T86:T93)</f>
        <v>18.9375</v>
      </c>
      <c r="AC86">
        <f t="shared" si="10"/>
        <v>8</v>
      </c>
      <c r="AD86">
        <f t="shared" si="11"/>
        <v>3.2222222222222223</v>
      </c>
      <c r="AE86">
        <f>AVERAGE(AD86:AD93)</f>
        <v>3.0833333333333335</v>
      </c>
    </row>
    <row r="87" spans="1:31" x14ac:dyDescent="0.3">
      <c r="B87">
        <v>61</v>
      </c>
      <c r="C87">
        <v>39</v>
      </c>
      <c r="D87">
        <v>10</v>
      </c>
      <c r="E87">
        <v>90</v>
      </c>
      <c r="G87">
        <v>89</v>
      </c>
      <c r="H87">
        <v>11</v>
      </c>
      <c r="I87">
        <v>9</v>
      </c>
      <c r="J87">
        <v>91</v>
      </c>
      <c r="L87">
        <v>78</v>
      </c>
      <c r="M87">
        <v>22</v>
      </c>
      <c r="N87">
        <v>39</v>
      </c>
      <c r="O87">
        <v>61</v>
      </c>
      <c r="Q87">
        <f t="shared" si="6"/>
        <v>24.5</v>
      </c>
      <c r="R87">
        <f t="shared" si="7"/>
        <v>10</v>
      </c>
      <c r="S87">
        <f t="shared" si="8"/>
        <v>30.5</v>
      </c>
      <c r="T87">
        <f t="shared" si="9"/>
        <v>21.666666666666668</v>
      </c>
      <c r="AC87">
        <f t="shared" si="10"/>
        <v>10</v>
      </c>
      <c r="AD87">
        <f t="shared" si="11"/>
        <v>3.8888888888888893</v>
      </c>
    </row>
    <row r="88" spans="1:31" x14ac:dyDescent="0.3">
      <c r="B88">
        <v>83</v>
      </c>
      <c r="C88">
        <v>17</v>
      </c>
      <c r="D88">
        <v>13</v>
      </c>
      <c r="E88">
        <v>87</v>
      </c>
      <c r="G88">
        <v>94</v>
      </c>
      <c r="H88">
        <v>6</v>
      </c>
      <c r="I88">
        <v>14</v>
      </c>
      <c r="J88">
        <v>86</v>
      </c>
      <c r="L88">
        <v>88</v>
      </c>
      <c r="M88">
        <v>12</v>
      </c>
      <c r="N88">
        <v>44</v>
      </c>
      <c r="O88">
        <v>56</v>
      </c>
      <c r="Q88">
        <f t="shared" si="6"/>
        <v>15</v>
      </c>
      <c r="R88">
        <f t="shared" si="7"/>
        <v>10</v>
      </c>
      <c r="S88">
        <f t="shared" si="8"/>
        <v>28</v>
      </c>
      <c r="T88">
        <f t="shared" si="9"/>
        <v>17.666666666666668</v>
      </c>
      <c r="AC88">
        <f t="shared" si="10"/>
        <v>10</v>
      </c>
      <c r="AD88">
        <f t="shared" si="11"/>
        <v>2.5555555555555558</v>
      </c>
    </row>
    <row r="89" spans="1:31" x14ac:dyDescent="0.3">
      <c r="B89">
        <v>80</v>
      </c>
      <c r="C89">
        <v>20</v>
      </c>
      <c r="D89">
        <v>16</v>
      </c>
      <c r="E89">
        <v>84</v>
      </c>
      <c r="G89">
        <v>95</v>
      </c>
      <c r="H89">
        <v>5</v>
      </c>
      <c r="I89">
        <v>12</v>
      </c>
      <c r="J89">
        <v>88</v>
      </c>
      <c r="L89">
        <v>77</v>
      </c>
      <c r="M89">
        <v>23</v>
      </c>
      <c r="N89">
        <v>34</v>
      </c>
      <c r="O89">
        <v>66</v>
      </c>
      <c r="Q89">
        <f t="shared" si="6"/>
        <v>18</v>
      </c>
      <c r="R89">
        <f t="shared" si="7"/>
        <v>8.5</v>
      </c>
      <c r="S89">
        <f t="shared" si="8"/>
        <v>28.5</v>
      </c>
      <c r="T89">
        <f t="shared" si="9"/>
        <v>18.333333333333332</v>
      </c>
      <c r="AC89">
        <f t="shared" si="10"/>
        <v>8.5</v>
      </c>
      <c r="AD89">
        <f t="shared" si="11"/>
        <v>3.2777777777777772</v>
      </c>
    </row>
    <row r="90" spans="1:31" x14ac:dyDescent="0.3">
      <c r="B90">
        <v>83</v>
      </c>
      <c r="C90">
        <v>17</v>
      </c>
      <c r="D90">
        <v>18</v>
      </c>
      <c r="E90">
        <v>82</v>
      </c>
      <c r="G90">
        <v>89</v>
      </c>
      <c r="H90">
        <v>11</v>
      </c>
      <c r="I90">
        <v>9</v>
      </c>
      <c r="J90">
        <v>91</v>
      </c>
      <c r="L90">
        <v>75</v>
      </c>
      <c r="M90">
        <v>25</v>
      </c>
      <c r="N90">
        <v>49</v>
      </c>
      <c r="O90">
        <v>51</v>
      </c>
      <c r="Q90">
        <f t="shared" si="6"/>
        <v>17.5</v>
      </c>
      <c r="R90">
        <f t="shared" si="7"/>
        <v>10</v>
      </c>
      <c r="S90">
        <f t="shared" si="8"/>
        <v>37</v>
      </c>
      <c r="T90">
        <f t="shared" si="9"/>
        <v>21.5</v>
      </c>
      <c r="AC90">
        <f t="shared" si="10"/>
        <v>10</v>
      </c>
      <c r="AD90">
        <f t="shared" si="11"/>
        <v>3.833333333333333</v>
      </c>
    </row>
    <row r="91" spans="1:31" x14ac:dyDescent="0.3">
      <c r="B91">
        <v>82</v>
      </c>
      <c r="C91">
        <v>18</v>
      </c>
      <c r="D91">
        <v>18</v>
      </c>
      <c r="E91">
        <v>82</v>
      </c>
      <c r="G91">
        <v>97</v>
      </c>
      <c r="H91">
        <v>3</v>
      </c>
      <c r="I91">
        <v>10</v>
      </c>
      <c r="J91">
        <v>90</v>
      </c>
      <c r="L91">
        <v>75</v>
      </c>
      <c r="M91">
        <v>25</v>
      </c>
      <c r="N91">
        <v>23</v>
      </c>
      <c r="O91">
        <v>77</v>
      </c>
      <c r="Q91">
        <f t="shared" si="6"/>
        <v>18</v>
      </c>
      <c r="R91">
        <f t="shared" si="7"/>
        <v>6.5</v>
      </c>
      <c r="S91">
        <f t="shared" si="8"/>
        <v>24</v>
      </c>
      <c r="T91">
        <f t="shared" si="9"/>
        <v>16.166666666666668</v>
      </c>
      <c r="AC91">
        <f t="shared" si="10"/>
        <v>6.5</v>
      </c>
      <c r="AD91">
        <f t="shared" si="11"/>
        <v>3.2222222222222223</v>
      </c>
    </row>
    <row r="92" spans="1:31" x14ac:dyDescent="0.3">
      <c r="B92">
        <v>80</v>
      </c>
      <c r="C92">
        <v>20</v>
      </c>
      <c r="D92">
        <v>17</v>
      </c>
      <c r="E92">
        <v>83</v>
      </c>
      <c r="G92">
        <v>90</v>
      </c>
      <c r="H92">
        <v>10</v>
      </c>
      <c r="I92">
        <v>17</v>
      </c>
      <c r="J92">
        <v>83</v>
      </c>
      <c r="L92">
        <v>84</v>
      </c>
      <c r="M92">
        <v>16</v>
      </c>
      <c r="N92">
        <v>28</v>
      </c>
      <c r="O92">
        <v>72</v>
      </c>
      <c r="Q92">
        <f t="shared" si="6"/>
        <v>18.5</v>
      </c>
      <c r="R92">
        <f t="shared" si="7"/>
        <v>13.5</v>
      </c>
      <c r="S92">
        <f t="shared" si="8"/>
        <v>22</v>
      </c>
      <c r="T92">
        <f t="shared" si="9"/>
        <v>18</v>
      </c>
      <c r="AC92">
        <f t="shared" si="10"/>
        <v>13.5</v>
      </c>
      <c r="AD92">
        <f t="shared" si="11"/>
        <v>1.5</v>
      </c>
    </row>
    <row r="93" spans="1:31" x14ac:dyDescent="0.3">
      <c r="B93">
        <v>79</v>
      </c>
      <c r="C93">
        <v>21</v>
      </c>
      <c r="D93">
        <v>16</v>
      </c>
      <c r="E93">
        <v>84</v>
      </c>
      <c r="G93">
        <v>96</v>
      </c>
      <c r="H93">
        <v>4</v>
      </c>
      <c r="I93">
        <v>18</v>
      </c>
      <c r="J93">
        <v>82</v>
      </c>
      <c r="L93">
        <v>77</v>
      </c>
      <c r="M93">
        <v>23</v>
      </c>
      <c r="N93">
        <v>41</v>
      </c>
      <c r="O93">
        <v>59</v>
      </c>
      <c r="Q93">
        <f t="shared" si="6"/>
        <v>18.5</v>
      </c>
      <c r="R93">
        <f t="shared" si="7"/>
        <v>11</v>
      </c>
      <c r="S93">
        <f t="shared" si="8"/>
        <v>32</v>
      </c>
      <c r="T93">
        <f t="shared" si="9"/>
        <v>20.5</v>
      </c>
      <c r="AC93">
        <f t="shared" si="10"/>
        <v>11</v>
      </c>
      <c r="AD93">
        <f t="shared" si="11"/>
        <v>3.1666666666666665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D8710-D6F8-458C-93F3-9E2D95F69012}">
  <dimension ref="B1:AO14"/>
  <sheetViews>
    <sheetView topLeftCell="K1" workbookViewId="0">
      <selection activeCell="K1" sqref="A1:XFD1"/>
    </sheetView>
  </sheetViews>
  <sheetFormatPr defaultRowHeight="14.4" x14ac:dyDescent="0.3"/>
  <sheetData>
    <row r="1" spans="2:41" x14ac:dyDescent="0.3">
      <c r="Q1" t="s">
        <v>28</v>
      </c>
      <c r="R1" t="s">
        <v>29</v>
      </c>
      <c r="S1" t="s">
        <v>30</v>
      </c>
      <c r="T1" t="s">
        <v>31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32</v>
      </c>
      <c r="AD1" t="s">
        <v>33</v>
      </c>
      <c r="AE1" t="s">
        <v>26</v>
      </c>
      <c r="AF1" t="s">
        <v>27</v>
      </c>
      <c r="AI1" t="s">
        <v>34</v>
      </c>
      <c r="AJ1" t="s">
        <v>24</v>
      </c>
      <c r="AK1" t="s">
        <v>26</v>
      </c>
      <c r="AM1" t="s">
        <v>35</v>
      </c>
      <c r="AN1" t="s">
        <v>24</v>
      </c>
      <c r="AO1" t="s">
        <v>26</v>
      </c>
    </row>
    <row r="2" spans="2:41" x14ac:dyDescent="0.3">
      <c r="B2">
        <v>73</v>
      </c>
      <c r="C2">
        <v>27</v>
      </c>
      <c r="D2">
        <v>11</v>
      </c>
      <c r="E2">
        <v>89</v>
      </c>
      <c r="G2">
        <v>95</v>
      </c>
      <c r="H2">
        <v>5</v>
      </c>
      <c r="I2">
        <v>14</v>
      </c>
      <c r="J2">
        <v>86</v>
      </c>
      <c r="L2">
        <v>80</v>
      </c>
      <c r="M2">
        <v>20</v>
      </c>
      <c r="N2">
        <v>54</v>
      </c>
      <c r="O2">
        <v>46</v>
      </c>
      <c r="Q2">
        <f>AVERAGE(C2:D2)</f>
        <v>19</v>
      </c>
      <c r="R2">
        <f>AVERAGE(H2:I2)</f>
        <v>9.5</v>
      </c>
      <c r="S2">
        <f>AVERAGE(M2:N2)</f>
        <v>37</v>
      </c>
      <c r="T2">
        <f>AVERAGE(Q2:S2)</f>
        <v>21.833333333333332</v>
      </c>
      <c r="U2">
        <f>AVERAGE(Q2:Q14)</f>
        <v>19.03846153846154</v>
      </c>
      <c r="V2">
        <f>_xlfn.STDEV.S(Q2:Q14)</f>
        <v>2.5776405430608031</v>
      </c>
      <c r="W2">
        <f>AVERAGE(R2:R14)</f>
        <v>9.7692307692307701</v>
      </c>
      <c r="X2">
        <f>_xlfn.STDEV.S(R2:R14)</f>
        <v>1.9959895688540972</v>
      </c>
      <c r="Y2">
        <f>AVERAGE(S2:S14)</f>
        <v>31.307692307692307</v>
      </c>
      <c r="Z2">
        <f>_xlfn.STDEV.S(S2:S14)</f>
        <v>4.4137024402160607</v>
      </c>
      <c r="AA2">
        <f>AVERAGE(T2:T14)</f>
        <v>20.03846153846154</v>
      </c>
      <c r="AB2">
        <f>_xlfn.STDEV.S(T2:T14)</f>
        <v>1.4420180145948087</v>
      </c>
      <c r="AC2">
        <f>MIN(Q2:S2)</f>
        <v>9.5</v>
      </c>
      <c r="AD2">
        <f>(1/3)*(T2-AC2)</f>
        <v>4.1111111111111107</v>
      </c>
      <c r="AE2">
        <f>AVERAGE(AD2:AD14)</f>
        <v>3.4230769230769229</v>
      </c>
      <c r="AF2">
        <f>_xlfn.STDEV.S(AD2:AD14)</f>
        <v>0.67606738557993451</v>
      </c>
    </row>
    <row r="3" spans="2:41" x14ac:dyDescent="0.3">
      <c r="B3">
        <v>76</v>
      </c>
      <c r="C3">
        <v>24</v>
      </c>
      <c r="D3">
        <v>12</v>
      </c>
      <c r="E3">
        <v>88</v>
      </c>
      <c r="G3">
        <v>92</v>
      </c>
      <c r="H3">
        <v>8</v>
      </c>
      <c r="I3">
        <v>10</v>
      </c>
      <c r="J3">
        <v>90</v>
      </c>
      <c r="L3">
        <v>68</v>
      </c>
      <c r="M3">
        <v>32</v>
      </c>
      <c r="N3">
        <v>31</v>
      </c>
      <c r="O3">
        <v>69</v>
      </c>
      <c r="Q3">
        <f t="shared" ref="Q3:Q14" si="0">AVERAGE(C3:D3)</f>
        <v>18</v>
      </c>
      <c r="R3">
        <f t="shared" ref="R3:R14" si="1">AVERAGE(H3:I3)</f>
        <v>9</v>
      </c>
      <c r="S3">
        <f t="shared" ref="S3:S14" si="2">AVERAGE(M3:N3)</f>
        <v>31.5</v>
      </c>
      <c r="T3">
        <f t="shared" ref="T3:T14" si="3">AVERAGE(Q3:S3)</f>
        <v>19.5</v>
      </c>
      <c r="AC3">
        <f t="shared" ref="AC3:AC14" si="4">MIN(Q3:S3)</f>
        <v>9</v>
      </c>
      <c r="AD3">
        <f t="shared" ref="AD3:AD14" si="5">(1/3)*(T3-AC3)</f>
        <v>3.5</v>
      </c>
    </row>
    <row r="4" spans="2:41" x14ac:dyDescent="0.3">
      <c r="B4">
        <v>85</v>
      </c>
      <c r="C4">
        <v>15</v>
      </c>
      <c r="D4">
        <v>14</v>
      </c>
      <c r="E4">
        <v>86</v>
      </c>
      <c r="G4">
        <v>93</v>
      </c>
      <c r="H4">
        <v>7</v>
      </c>
      <c r="I4">
        <v>15</v>
      </c>
      <c r="J4">
        <v>85</v>
      </c>
      <c r="L4">
        <v>74</v>
      </c>
      <c r="M4">
        <v>26</v>
      </c>
      <c r="N4">
        <v>38</v>
      </c>
      <c r="O4">
        <v>62</v>
      </c>
      <c r="Q4">
        <f t="shared" si="0"/>
        <v>14.5</v>
      </c>
      <c r="R4">
        <f t="shared" si="1"/>
        <v>11</v>
      </c>
      <c r="S4">
        <f t="shared" si="2"/>
        <v>32</v>
      </c>
      <c r="T4">
        <f t="shared" si="3"/>
        <v>19.166666666666668</v>
      </c>
      <c r="AC4">
        <f t="shared" si="4"/>
        <v>11</v>
      </c>
      <c r="AD4">
        <f t="shared" si="5"/>
        <v>2.7222222222222223</v>
      </c>
    </row>
    <row r="5" spans="2:41" x14ac:dyDescent="0.3">
      <c r="B5">
        <v>65</v>
      </c>
      <c r="C5">
        <v>35</v>
      </c>
      <c r="D5">
        <v>12</v>
      </c>
      <c r="E5">
        <v>88</v>
      </c>
      <c r="G5">
        <v>94</v>
      </c>
      <c r="H5">
        <v>6</v>
      </c>
      <c r="I5">
        <v>7</v>
      </c>
      <c r="J5">
        <v>93</v>
      </c>
      <c r="L5">
        <v>74</v>
      </c>
      <c r="M5">
        <v>26</v>
      </c>
      <c r="N5">
        <v>32</v>
      </c>
      <c r="O5">
        <v>68</v>
      </c>
      <c r="Q5">
        <f t="shared" si="0"/>
        <v>23.5</v>
      </c>
      <c r="R5">
        <f t="shared" si="1"/>
        <v>6.5</v>
      </c>
      <c r="S5">
        <f t="shared" si="2"/>
        <v>29</v>
      </c>
      <c r="T5">
        <f t="shared" si="3"/>
        <v>19.666666666666668</v>
      </c>
      <c r="AC5">
        <f t="shared" si="4"/>
        <v>6.5</v>
      </c>
      <c r="AD5">
        <f t="shared" si="5"/>
        <v>4.3888888888888893</v>
      </c>
    </row>
    <row r="6" spans="2:41" x14ac:dyDescent="0.3">
      <c r="B6">
        <v>67</v>
      </c>
      <c r="C6">
        <v>33</v>
      </c>
      <c r="D6">
        <v>10</v>
      </c>
      <c r="E6">
        <v>90</v>
      </c>
      <c r="G6">
        <v>93</v>
      </c>
      <c r="H6">
        <v>7</v>
      </c>
      <c r="I6">
        <v>9</v>
      </c>
      <c r="J6">
        <v>91</v>
      </c>
      <c r="L6">
        <v>82</v>
      </c>
      <c r="M6">
        <v>18</v>
      </c>
      <c r="N6">
        <v>41</v>
      </c>
      <c r="O6">
        <v>59</v>
      </c>
      <c r="Q6">
        <f t="shared" si="0"/>
        <v>21.5</v>
      </c>
      <c r="R6">
        <f t="shared" si="1"/>
        <v>8</v>
      </c>
      <c r="S6">
        <f t="shared" si="2"/>
        <v>29.5</v>
      </c>
      <c r="T6">
        <f t="shared" si="3"/>
        <v>19.666666666666668</v>
      </c>
      <c r="AC6">
        <f t="shared" si="4"/>
        <v>8</v>
      </c>
      <c r="AD6">
        <f t="shared" si="5"/>
        <v>3.8888888888888893</v>
      </c>
    </row>
    <row r="7" spans="2:41" x14ac:dyDescent="0.3">
      <c r="B7">
        <v>73</v>
      </c>
      <c r="C7">
        <v>27</v>
      </c>
      <c r="D7">
        <v>7</v>
      </c>
      <c r="E7">
        <v>93</v>
      </c>
      <c r="G7">
        <v>89</v>
      </c>
      <c r="H7">
        <v>11</v>
      </c>
      <c r="I7">
        <v>13</v>
      </c>
      <c r="J7">
        <v>87</v>
      </c>
      <c r="L7">
        <v>79</v>
      </c>
      <c r="M7">
        <v>21</v>
      </c>
      <c r="N7">
        <v>31</v>
      </c>
      <c r="O7">
        <v>69</v>
      </c>
      <c r="Q7">
        <f t="shared" si="0"/>
        <v>17</v>
      </c>
      <c r="R7">
        <f t="shared" si="1"/>
        <v>12</v>
      </c>
      <c r="S7">
        <f t="shared" si="2"/>
        <v>26</v>
      </c>
      <c r="T7">
        <f t="shared" si="3"/>
        <v>18.333333333333332</v>
      </c>
      <c r="AC7">
        <f t="shared" si="4"/>
        <v>12</v>
      </c>
      <c r="AD7">
        <f t="shared" si="5"/>
        <v>2.1111111111111107</v>
      </c>
    </row>
    <row r="8" spans="2:41" x14ac:dyDescent="0.3">
      <c r="B8">
        <v>73</v>
      </c>
      <c r="C8">
        <v>27</v>
      </c>
      <c r="D8">
        <v>16</v>
      </c>
      <c r="E8">
        <v>84</v>
      </c>
      <c r="G8">
        <v>89</v>
      </c>
      <c r="H8">
        <v>11</v>
      </c>
      <c r="I8">
        <v>13</v>
      </c>
      <c r="J8">
        <v>87</v>
      </c>
      <c r="L8">
        <v>86</v>
      </c>
      <c r="M8">
        <v>14</v>
      </c>
      <c r="N8">
        <v>38</v>
      </c>
      <c r="O8">
        <v>62</v>
      </c>
      <c r="Q8">
        <f t="shared" si="0"/>
        <v>21.5</v>
      </c>
      <c r="R8">
        <f t="shared" si="1"/>
        <v>12</v>
      </c>
      <c r="S8">
        <f t="shared" si="2"/>
        <v>26</v>
      </c>
      <c r="T8">
        <f t="shared" si="3"/>
        <v>19.833333333333332</v>
      </c>
      <c r="AC8">
        <f t="shared" si="4"/>
        <v>12</v>
      </c>
      <c r="AD8">
        <f t="shared" si="5"/>
        <v>2.6111111111111107</v>
      </c>
    </row>
    <row r="9" spans="2:41" x14ac:dyDescent="0.3">
      <c r="B9">
        <v>73</v>
      </c>
      <c r="C9">
        <v>27</v>
      </c>
      <c r="D9">
        <v>9</v>
      </c>
      <c r="E9">
        <v>91</v>
      </c>
      <c r="G9">
        <v>89</v>
      </c>
      <c r="H9">
        <v>11</v>
      </c>
      <c r="I9">
        <v>4</v>
      </c>
      <c r="J9">
        <v>96</v>
      </c>
      <c r="L9">
        <v>77</v>
      </c>
      <c r="M9">
        <v>23</v>
      </c>
      <c r="N9">
        <v>45</v>
      </c>
      <c r="O9">
        <v>55</v>
      </c>
      <c r="Q9">
        <f t="shared" si="0"/>
        <v>18</v>
      </c>
      <c r="R9">
        <f t="shared" si="1"/>
        <v>7.5</v>
      </c>
      <c r="S9">
        <f t="shared" si="2"/>
        <v>34</v>
      </c>
      <c r="T9">
        <f t="shared" si="3"/>
        <v>19.833333333333332</v>
      </c>
      <c r="AC9">
        <f t="shared" si="4"/>
        <v>7.5</v>
      </c>
      <c r="AD9">
        <f t="shared" si="5"/>
        <v>4.1111111111111107</v>
      </c>
    </row>
    <row r="10" spans="2:41" x14ac:dyDescent="0.3">
      <c r="B10">
        <v>63</v>
      </c>
      <c r="C10">
        <v>37</v>
      </c>
      <c r="D10">
        <v>5</v>
      </c>
      <c r="E10">
        <v>95</v>
      </c>
      <c r="G10">
        <v>94</v>
      </c>
      <c r="H10">
        <v>6</v>
      </c>
      <c r="I10">
        <v>10</v>
      </c>
      <c r="J10">
        <v>90</v>
      </c>
      <c r="L10">
        <v>73</v>
      </c>
      <c r="M10">
        <v>27</v>
      </c>
      <c r="N10">
        <v>26</v>
      </c>
      <c r="O10">
        <v>74</v>
      </c>
      <c r="Q10">
        <f t="shared" si="0"/>
        <v>21</v>
      </c>
      <c r="R10">
        <f t="shared" si="1"/>
        <v>8</v>
      </c>
      <c r="S10">
        <f t="shared" si="2"/>
        <v>26.5</v>
      </c>
      <c r="T10">
        <f t="shared" si="3"/>
        <v>18.5</v>
      </c>
      <c r="AC10">
        <f t="shared" si="4"/>
        <v>8</v>
      </c>
      <c r="AD10">
        <f t="shared" si="5"/>
        <v>3.5</v>
      </c>
    </row>
    <row r="11" spans="2:41" x14ac:dyDescent="0.3">
      <c r="B11">
        <v>69</v>
      </c>
      <c r="C11">
        <v>31</v>
      </c>
      <c r="D11">
        <v>12</v>
      </c>
      <c r="E11">
        <v>88</v>
      </c>
      <c r="G11">
        <v>87</v>
      </c>
      <c r="H11">
        <v>13</v>
      </c>
      <c r="I11">
        <v>9</v>
      </c>
      <c r="J11">
        <v>91</v>
      </c>
      <c r="L11">
        <v>78</v>
      </c>
      <c r="M11">
        <v>22</v>
      </c>
      <c r="N11">
        <v>35</v>
      </c>
      <c r="O11">
        <v>65</v>
      </c>
      <c r="Q11">
        <f t="shared" si="0"/>
        <v>21.5</v>
      </c>
      <c r="R11">
        <f t="shared" si="1"/>
        <v>11</v>
      </c>
      <c r="S11">
        <f t="shared" si="2"/>
        <v>28.5</v>
      </c>
      <c r="T11">
        <f t="shared" si="3"/>
        <v>20.333333333333332</v>
      </c>
      <c r="AC11">
        <f t="shared" si="4"/>
        <v>11</v>
      </c>
      <c r="AD11">
        <f t="shared" si="5"/>
        <v>3.1111111111111107</v>
      </c>
    </row>
    <row r="12" spans="2:41" x14ac:dyDescent="0.3">
      <c r="B12">
        <v>77</v>
      </c>
      <c r="C12">
        <v>23</v>
      </c>
      <c r="D12">
        <v>10</v>
      </c>
      <c r="E12">
        <v>90</v>
      </c>
      <c r="G12">
        <v>85</v>
      </c>
      <c r="H12">
        <v>15</v>
      </c>
      <c r="I12">
        <v>10</v>
      </c>
      <c r="J12">
        <v>90</v>
      </c>
      <c r="L12">
        <v>72</v>
      </c>
      <c r="M12">
        <v>28</v>
      </c>
      <c r="N12">
        <v>44</v>
      </c>
      <c r="O12">
        <v>56</v>
      </c>
      <c r="Q12">
        <f t="shared" si="0"/>
        <v>16.5</v>
      </c>
      <c r="R12">
        <f t="shared" si="1"/>
        <v>12.5</v>
      </c>
      <c r="S12">
        <f t="shared" si="2"/>
        <v>36</v>
      </c>
      <c r="T12">
        <f t="shared" si="3"/>
        <v>21.666666666666668</v>
      </c>
      <c r="AC12">
        <f t="shared" si="4"/>
        <v>12.5</v>
      </c>
      <c r="AD12">
        <f t="shared" si="5"/>
        <v>3.0555555555555558</v>
      </c>
    </row>
    <row r="13" spans="2:41" x14ac:dyDescent="0.3">
      <c r="B13">
        <v>78</v>
      </c>
      <c r="C13">
        <v>22</v>
      </c>
      <c r="D13">
        <v>12</v>
      </c>
      <c r="E13">
        <v>88</v>
      </c>
      <c r="G13">
        <v>92</v>
      </c>
      <c r="H13">
        <v>8</v>
      </c>
      <c r="I13">
        <v>9</v>
      </c>
      <c r="J13">
        <v>91</v>
      </c>
      <c r="L13">
        <v>78</v>
      </c>
      <c r="M13">
        <v>22</v>
      </c>
      <c r="N13">
        <v>40</v>
      </c>
      <c r="O13">
        <v>60</v>
      </c>
      <c r="Q13">
        <f t="shared" si="0"/>
        <v>17</v>
      </c>
      <c r="R13">
        <f t="shared" si="1"/>
        <v>8.5</v>
      </c>
      <c r="S13">
        <f t="shared" si="2"/>
        <v>31</v>
      </c>
      <c r="T13">
        <f t="shared" si="3"/>
        <v>18.833333333333332</v>
      </c>
      <c r="AC13">
        <f t="shared" si="4"/>
        <v>8.5</v>
      </c>
      <c r="AD13">
        <f t="shared" si="5"/>
        <v>3.4444444444444438</v>
      </c>
    </row>
    <row r="14" spans="2:41" x14ac:dyDescent="0.3">
      <c r="B14">
        <v>79</v>
      </c>
      <c r="C14">
        <v>21</v>
      </c>
      <c r="D14">
        <v>16</v>
      </c>
      <c r="E14">
        <v>84</v>
      </c>
      <c r="G14">
        <v>92</v>
      </c>
      <c r="H14">
        <v>8</v>
      </c>
      <c r="I14">
        <v>15</v>
      </c>
      <c r="J14">
        <v>85</v>
      </c>
      <c r="L14">
        <v>68</v>
      </c>
      <c r="M14">
        <v>32</v>
      </c>
      <c r="N14">
        <v>48</v>
      </c>
      <c r="O14">
        <v>52</v>
      </c>
      <c r="Q14">
        <f t="shared" si="0"/>
        <v>18.5</v>
      </c>
      <c r="R14">
        <f t="shared" si="1"/>
        <v>11.5</v>
      </c>
      <c r="S14">
        <f t="shared" si="2"/>
        <v>40</v>
      </c>
      <c r="T14">
        <f t="shared" si="3"/>
        <v>23.333333333333332</v>
      </c>
      <c r="AC14">
        <f t="shared" si="4"/>
        <v>11.5</v>
      </c>
      <c r="AD14">
        <f t="shared" si="5"/>
        <v>3.9444444444444438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15</vt:i4>
      </vt:variant>
    </vt:vector>
  </HeadingPairs>
  <TitlesOfParts>
    <vt:vector size="15" baseType="lpstr">
      <vt:lpstr>Foglio1</vt:lpstr>
      <vt:lpstr>PARBS_DIFF_ONLY_STDAUG</vt:lpstr>
      <vt:lpstr>PARBS_STDAUG</vt:lpstr>
      <vt:lpstr>PARBS_NOAUG</vt:lpstr>
      <vt:lpstr>MIT_DIFF_ONLYMIN</vt:lpstr>
      <vt:lpstr>MIT_DIFF</vt:lpstr>
      <vt:lpstr>MIT_STDAUG</vt:lpstr>
      <vt:lpstr>MIT_NOAUG</vt:lpstr>
      <vt:lpstr>IMB_STDAUG</vt:lpstr>
      <vt:lpstr>IMB_NOAUG</vt:lpstr>
      <vt:lpstr>STD_DIFF</vt:lpstr>
      <vt:lpstr>ADV_CLSDIV</vt:lpstr>
      <vt:lpstr>ADV_NOCLSDIV</vt:lpstr>
      <vt:lpstr>STD_AUG</vt:lpstr>
      <vt:lpstr>STD_NOAUG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2025-11-24T14:46:48Z</dcterms:modified>
</cp:coreProperties>
</file>