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T\0.05\"/>
    </mc:Choice>
  </mc:AlternateContent>
  <xr:revisionPtr revIDLastSave="0" documentId="13_ncr:1_{8FAD4F67-C8E8-49C7-B619-A51DC72E928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glio1" sheetId="1" r:id="rId1"/>
    <sheet name="DIFF_ONLYMIN" sheetId="20" r:id="rId2"/>
    <sheet name="MIT_DIFF_ONLYMIN_STDAUG" sheetId="19" r:id="rId3"/>
    <sheet name="PARBS_STDAUG" sheetId="18" r:id="rId4"/>
    <sheet name="MIT_PARBS_DIFF_ONLYMIN_STDAUG" sheetId="17" r:id="rId5"/>
    <sheet name="MIT_DIFF_STDAUG" sheetId="16" r:id="rId6"/>
    <sheet name="MIT_DIFF_NOAUG" sheetId="15" r:id="rId7"/>
    <sheet name="MIT_PARBS_STDAUG" sheetId="14" r:id="rId8"/>
    <sheet name="MIT_PARBS_NOAUG" sheetId="13" r:id="rId9"/>
    <sheet name="MIT_STDAUG" sheetId="12" r:id="rId10"/>
    <sheet name="MIT_NOAUG" sheetId="11" r:id="rId11"/>
    <sheet name="STD_IMB_AUG" sheetId="10" r:id="rId12"/>
    <sheet name="STD_IMB_NOAUG" sheetId="9" r:id="rId13"/>
    <sheet name="DIFF" sheetId="8" r:id="rId14"/>
    <sheet name="STD_BAL_ADV_NOCLSDIV" sheetId="7" r:id="rId15"/>
    <sheet name="STD_BAL_ADV_CLSDIV" sheetId="6" r:id="rId16"/>
    <sheet name="STD_BAL_STDAUG" sheetId="5" r:id="rId17"/>
    <sheet name="STD_BAL_NOAUG" sheetId="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2" l="1"/>
  <c r="AE13" i="12"/>
  <c r="AB13" i="12"/>
  <c r="AA13" i="12"/>
  <c r="Z13" i="12"/>
  <c r="Y13" i="12"/>
  <c r="X13" i="12"/>
  <c r="W13" i="12"/>
  <c r="V13" i="12"/>
  <c r="U13" i="12"/>
  <c r="Q13" i="12"/>
  <c r="R13" i="12"/>
  <c r="S13" i="12"/>
  <c r="T13" i="12"/>
  <c r="AC13" i="12"/>
  <c r="AD13" i="12"/>
  <c r="Q14" i="12"/>
  <c r="T14" i="12" s="1"/>
  <c r="R14" i="12"/>
  <c r="S14" i="12"/>
  <c r="AF21" i="5"/>
  <c r="AE21" i="5"/>
  <c r="AD21" i="5"/>
  <c r="AC21" i="5"/>
  <c r="AB21" i="5"/>
  <c r="AA21" i="5"/>
  <c r="Z21" i="5"/>
  <c r="Y21" i="5"/>
  <c r="X21" i="5"/>
  <c r="W21" i="5"/>
  <c r="AF16" i="5"/>
  <c r="AE16" i="5"/>
  <c r="AD16" i="5"/>
  <c r="AC16" i="5"/>
  <c r="AB16" i="5"/>
  <c r="AA16" i="5"/>
  <c r="Z16" i="5"/>
  <c r="Y16" i="5"/>
  <c r="X16" i="5"/>
  <c r="W16" i="5"/>
  <c r="Q21" i="5"/>
  <c r="U21" i="5" s="1"/>
  <c r="R21" i="5"/>
  <c r="S21" i="5"/>
  <c r="Q22" i="5"/>
  <c r="R22" i="5"/>
  <c r="S22" i="5"/>
  <c r="T22" i="5"/>
  <c r="U22" i="5"/>
  <c r="V22" i="5"/>
  <c r="AC5" i="20"/>
  <c r="AD5" i="20" s="1"/>
  <c r="AC6" i="20"/>
  <c r="AD6" i="20"/>
  <c r="Q5" i="20"/>
  <c r="R5" i="20"/>
  <c r="S5" i="20"/>
  <c r="T5" i="20"/>
  <c r="Q6" i="20"/>
  <c r="R6" i="20"/>
  <c r="S6" i="20"/>
  <c r="T6" i="20"/>
  <c r="S4" i="20"/>
  <c r="Z4" i="20" s="1"/>
  <c r="R4" i="20"/>
  <c r="X4" i="20" s="1"/>
  <c r="Q4" i="20"/>
  <c r="AC4" i="20" s="1"/>
  <c r="AD5" i="18"/>
  <c r="AF4" i="18" s="1"/>
  <c r="AD6" i="18"/>
  <c r="AD4" i="18"/>
  <c r="AF12" i="17"/>
  <c r="AE12" i="17"/>
  <c r="AB12" i="17"/>
  <c r="AA12" i="17"/>
  <c r="Z12" i="17"/>
  <c r="Y12" i="17"/>
  <c r="X12" i="17"/>
  <c r="W12" i="17"/>
  <c r="V12" i="17"/>
  <c r="U12" i="17"/>
  <c r="Q12" i="17"/>
  <c r="AC12" i="17" s="1"/>
  <c r="R12" i="17"/>
  <c r="S12" i="17"/>
  <c r="T12" i="17"/>
  <c r="AD12" i="17" s="1"/>
  <c r="Q13" i="17"/>
  <c r="AC13" i="17" s="1"/>
  <c r="R13" i="17"/>
  <c r="S13" i="17"/>
  <c r="T13" i="17"/>
  <c r="AD13" i="17" s="1"/>
  <c r="Q14" i="17"/>
  <c r="R14" i="17"/>
  <c r="S14" i="17"/>
  <c r="T14" i="17"/>
  <c r="AC14" i="17"/>
  <c r="AD14" i="17"/>
  <c r="AB4" i="18"/>
  <c r="AA4" i="18"/>
  <c r="Z4" i="18"/>
  <c r="Y4" i="18"/>
  <c r="X4" i="18"/>
  <c r="W4" i="18"/>
  <c r="V4" i="18"/>
  <c r="U4" i="18"/>
  <c r="Q6" i="18"/>
  <c r="AC6" i="18" s="1"/>
  <c r="R6" i="18"/>
  <c r="S6" i="18"/>
  <c r="T6" i="18"/>
  <c r="AF12" i="19"/>
  <c r="AE12" i="19"/>
  <c r="AB12" i="19"/>
  <c r="AA12" i="19"/>
  <c r="Z12" i="19"/>
  <c r="Y12" i="19"/>
  <c r="X12" i="19"/>
  <c r="W12" i="19"/>
  <c r="V12" i="19"/>
  <c r="U12" i="19"/>
  <c r="Q12" i="19"/>
  <c r="R12" i="19"/>
  <c r="S12" i="19"/>
  <c r="T12" i="19"/>
  <c r="AC12" i="19"/>
  <c r="AD12" i="19"/>
  <c r="Q13" i="19"/>
  <c r="AC13" i="19" s="1"/>
  <c r="R13" i="19"/>
  <c r="S13" i="19"/>
  <c r="T13" i="19"/>
  <c r="AD13" i="19" s="1"/>
  <c r="Q14" i="19"/>
  <c r="R14" i="19"/>
  <c r="S14" i="19"/>
  <c r="T14" i="19"/>
  <c r="AC14" i="19"/>
  <c r="AD14" i="19"/>
  <c r="Q15" i="19"/>
  <c r="R15" i="19"/>
  <c r="S15" i="19"/>
  <c r="T15" i="19"/>
  <c r="AC15" i="19"/>
  <c r="AD15" i="19"/>
  <c r="U4" i="19"/>
  <c r="AF21" i="16"/>
  <c r="AE21" i="16"/>
  <c r="AB21" i="16"/>
  <c r="AA21" i="16"/>
  <c r="Z21" i="16"/>
  <c r="Y21" i="16"/>
  <c r="X21" i="16"/>
  <c r="W21" i="16"/>
  <c r="V21" i="16"/>
  <c r="U21" i="16"/>
  <c r="U12" i="16"/>
  <c r="Q21" i="16"/>
  <c r="R21" i="16"/>
  <c r="S21" i="16"/>
  <c r="T21" i="16"/>
  <c r="AC21" i="16"/>
  <c r="AD21" i="16"/>
  <c r="Q22" i="16"/>
  <c r="R22" i="16"/>
  <c r="S22" i="16"/>
  <c r="T22" i="16"/>
  <c r="AC22" i="16"/>
  <c r="AD22" i="16"/>
  <c r="Q23" i="16"/>
  <c r="T23" i="16" s="1"/>
  <c r="R23" i="16"/>
  <c r="S23" i="16"/>
  <c r="Q24" i="16"/>
  <c r="R24" i="16"/>
  <c r="S24" i="16"/>
  <c r="T24" i="16"/>
  <c r="AC24" i="16"/>
  <c r="AD24" i="16"/>
  <c r="Q25" i="16"/>
  <c r="R25" i="16"/>
  <c r="S25" i="16"/>
  <c r="T25" i="16"/>
  <c r="AD25" i="16" s="1"/>
  <c r="AC25" i="16"/>
  <c r="Q26" i="16"/>
  <c r="R26" i="16"/>
  <c r="S26" i="16"/>
  <c r="T26" i="16"/>
  <c r="AC26" i="16"/>
  <c r="AD26" i="16"/>
  <c r="AF9" i="8"/>
  <c r="AE9" i="8"/>
  <c r="AB9" i="8"/>
  <c r="AA9" i="8"/>
  <c r="Z9" i="8"/>
  <c r="Y9" i="8"/>
  <c r="X9" i="8"/>
  <c r="W9" i="8"/>
  <c r="V9" i="8"/>
  <c r="U9" i="8"/>
  <c r="Z4" i="8"/>
  <c r="U4" i="8"/>
  <c r="Q9" i="8"/>
  <c r="R9" i="8"/>
  <c r="S9" i="8"/>
  <c r="T9" i="8"/>
  <c r="AD9" i="8" s="1"/>
  <c r="AC9" i="8"/>
  <c r="Q10" i="8"/>
  <c r="R10" i="8"/>
  <c r="S10" i="8"/>
  <c r="T10" i="8"/>
  <c r="AC10" i="8"/>
  <c r="AD10" i="8"/>
  <c r="Q11" i="8"/>
  <c r="T11" i="8" s="1"/>
  <c r="R11" i="8"/>
  <c r="S11" i="8"/>
  <c r="Q12" i="8"/>
  <c r="T12" i="8" s="1"/>
  <c r="R12" i="8"/>
  <c r="S12" i="8"/>
  <c r="Q13" i="8"/>
  <c r="R13" i="8"/>
  <c r="S13" i="8"/>
  <c r="T13" i="8"/>
  <c r="AD13" i="8" s="1"/>
  <c r="AC13" i="8"/>
  <c r="Z12" i="16"/>
  <c r="Y12" i="16"/>
  <c r="X12" i="16"/>
  <c r="W12" i="16"/>
  <c r="U4" i="16"/>
  <c r="Q12" i="16"/>
  <c r="T12" i="16" s="1"/>
  <c r="R12" i="16"/>
  <c r="S12" i="16"/>
  <c r="Q13" i="16"/>
  <c r="R13" i="16"/>
  <c r="S13" i="16"/>
  <c r="T13" i="16"/>
  <c r="AD13" i="16" s="1"/>
  <c r="AC13" i="16"/>
  <c r="Q14" i="16"/>
  <c r="R14" i="16"/>
  <c r="S14" i="16"/>
  <c r="T14" i="16"/>
  <c r="AC14" i="16"/>
  <c r="AD14" i="16"/>
  <c r="AF4" i="17"/>
  <c r="AB4" i="17"/>
  <c r="Z4" i="17"/>
  <c r="X4" i="17"/>
  <c r="V4" i="17"/>
  <c r="AE4" i="17"/>
  <c r="AA4" i="17"/>
  <c r="Y4" i="17"/>
  <c r="W4" i="17"/>
  <c r="U4" i="17"/>
  <c r="Q5" i="17"/>
  <c r="R5" i="17"/>
  <c r="S5" i="17"/>
  <c r="T5" i="17"/>
  <c r="AC5" i="17"/>
  <c r="AD5" i="17"/>
  <c r="Q6" i="17"/>
  <c r="R6" i="17"/>
  <c r="S6" i="17"/>
  <c r="T6" i="17"/>
  <c r="AC6" i="17"/>
  <c r="AD6" i="17"/>
  <c r="AD4" i="17"/>
  <c r="AC4" i="17"/>
  <c r="T4" i="17"/>
  <c r="S4" i="17"/>
  <c r="R4" i="17"/>
  <c r="Q4" i="17"/>
  <c r="AF4" i="19"/>
  <c r="AB4" i="19"/>
  <c r="Z4" i="19"/>
  <c r="X4" i="19"/>
  <c r="V4" i="19"/>
  <c r="AE4" i="19"/>
  <c r="AA4" i="19"/>
  <c r="Y4" i="19"/>
  <c r="W4" i="19"/>
  <c r="Q5" i="19"/>
  <c r="R5" i="19"/>
  <c r="S5" i="19"/>
  <c r="T5" i="19"/>
  <c r="AC5" i="19"/>
  <c r="AD5" i="19"/>
  <c r="Q6" i="19"/>
  <c r="R6" i="19"/>
  <c r="S6" i="19"/>
  <c r="T6" i="19"/>
  <c r="AC6" i="19"/>
  <c r="AD6" i="19"/>
  <c r="Q7" i="19"/>
  <c r="AC7" i="19" s="1"/>
  <c r="R7" i="19"/>
  <c r="S7" i="19"/>
  <c r="T7" i="19"/>
  <c r="AD7" i="19" s="1"/>
  <c r="AD4" i="19"/>
  <c r="AF4" i="16"/>
  <c r="AE4" i="16"/>
  <c r="AB4" i="16"/>
  <c r="AA4" i="16"/>
  <c r="Z4" i="16"/>
  <c r="Y4" i="16"/>
  <c r="X4" i="16"/>
  <c r="W4" i="16"/>
  <c r="V4" i="16"/>
  <c r="Q5" i="16"/>
  <c r="T5" i="16" s="1"/>
  <c r="R5" i="16"/>
  <c r="S5" i="16"/>
  <c r="Q6" i="16"/>
  <c r="R6" i="16"/>
  <c r="S6" i="16"/>
  <c r="T6" i="16"/>
  <c r="AC6" i="16"/>
  <c r="AD6" i="16"/>
  <c r="Q7" i="16"/>
  <c r="R7" i="16"/>
  <c r="S7" i="16"/>
  <c r="T7" i="16"/>
  <c r="AC7" i="16"/>
  <c r="AD7" i="16"/>
  <c r="Q8" i="16"/>
  <c r="R8" i="16"/>
  <c r="T8" i="16" s="1"/>
  <c r="S8" i="16"/>
  <c r="Q9" i="16"/>
  <c r="R9" i="16"/>
  <c r="S9" i="16"/>
  <c r="T9" i="16"/>
  <c r="AC9" i="16"/>
  <c r="AD9" i="16"/>
  <c r="Q10" i="16"/>
  <c r="AC10" i="16" s="1"/>
  <c r="R10" i="16"/>
  <c r="S10" i="16"/>
  <c r="T10" i="16"/>
  <c r="AD4" i="16"/>
  <c r="AB15" i="10"/>
  <c r="AA15" i="10"/>
  <c r="Z15" i="10"/>
  <c r="Y15" i="10"/>
  <c r="X15" i="10"/>
  <c r="W15" i="10"/>
  <c r="V16" i="10"/>
  <c r="V17" i="10"/>
  <c r="V18" i="10"/>
  <c r="V19" i="10"/>
  <c r="V20" i="10"/>
  <c r="V21" i="10"/>
  <c r="V22" i="10"/>
  <c r="V15" i="10"/>
  <c r="AE3" i="9"/>
  <c r="AE4" i="9"/>
  <c r="AE5" i="9"/>
  <c r="AE6" i="9"/>
  <c r="AE7" i="9"/>
  <c r="AE8" i="9"/>
  <c r="AE9" i="9"/>
  <c r="AE10" i="9"/>
  <c r="AE11" i="9"/>
  <c r="AE2" i="9"/>
  <c r="AF4" i="8"/>
  <c r="AE4" i="8"/>
  <c r="AB4" i="8"/>
  <c r="AA4" i="8"/>
  <c r="Y4" i="8"/>
  <c r="X4" i="8"/>
  <c r="W4" i="8"/>
  <c r="V4" i="8"/>
  <c r="Q5" i="8"/>
  <c r="T5" i="8" s="1"/>
  <c r="R5" i="8"/>
  <c r="S5" i="8"/>
  <c r="Q6" i="8"/>
  <c r="T6" i="8" s="1"/>
  <c r="R6" i="8"/>
  <c r="S6" i="8"/>
  <c r="Q7" i="8"/>
  <c r="R7" i="8"/>
  <c r="S7" i="8"/>
  <c r="T7" i="8"/>
  <c r="AD7" i="8" s="1"/>
  <c r="AC7" i="8"/>
  <c r="AD4" i="8"/>
  <c r="T4" i="8"/>
  <c r="S4" i="8"/>
  <c r="R4" i="8"/>
  <c r="Q4" i="8"/>
  <c r="AF13" i="7"/>
  <c r="AE13" i="7"/>
  <c r="AD13" i="7"/>
  <c r="AC13" i="7"/>
  <c r="AB13" i="7"/>
  <c r="AA13" i="7"/>
  <c r="Z13" i="7"/>
  <c r="Y13" i="7"/>
  <c r="X13" i="7"/>
  <c r="W13" i="7"/>
  <c r="AF8" i="7"/>
  <c r="AE8" i="7"/>
  <c r="AD8" i="7"/>
  <c r="AC8" i="7"/>
  <c r="AB8" i="7"/>
  <c r="AA8" i="7"/>
  <c r="Z8" i="7"/>
  <c r="Y8" i="7"/>
  <c r="X8" i="7"/>
  <c r="W8" i="7"/>
  <c r="Q10" i="7"/>
  <c r="R10" i="7"/>
  <c r="S10" i="7"/>
  <c r="T10" i="7"/>
  <c r="U10" i="7"/>
  <c r="V10" i="7"/>
  <c r="Q11" i="7"/>
  <c r="R11" i="7"/>
  <c r="S11" i="7"/>
  <c r="T11" i="7"/>
  <c r="U11" i="7"/>
  <c r="V11" i="7"/>
  <c r="Q13" i="7"/>
  <c r="R13" i="7"/>
  <c r="S13" i="7"/>
  <c r="T13" i="7"/>
  <c r="U13" i="7"/>
  <c r="V13" i="7"/>
  <c r="Q14" i="7"/>
  <c r="R14" i="7"/>
  <c r="S14" i="7"/>
  <c r="T14" i="7"/>
  <c r="U14" i="7"/>
  <c r="V14" i="7"/>
  <c r="Q15" i="7"/>
  <c r="T15" i="7" s="1"/>
  <c r="R15" i="7"/>
  <c r="S15" i="7"/>
  <c r="AN9" i="7"/>
  <c r="AM9" i="7"/>
  <c r="AL9" i="7"/>
  <c r="AK9" i="7"/>
  <c r="AJ9" i="7"/>
  <c r="AI9" i="7"/>
  <c r="S9" i="7"/>
  <c r="R9" i="7"/>
  <c r="Q9" i="7"/>
  <c r="S8" i="7"/>
  <c r="R8" i="7"/>
  <c r="Q8" i="7"/>
  <c r="S4" i="7"/>
  <c r="R4" i="7"/>
  <c r="Q4" i="7"/>
  <c r="S3" i="7"/>
  <c r="R3" i="7"/>
  <c r="Q3" i="7"/>
  <c r="AF9" i="6"/>
  <c r="AE9" i="6"/>
  <c r="AD9" i="6"/>
  <c r="AC9" i="6"/>
  <c r="AB9" i="6"/>
  <c r="AA9" i="6"/>
  <c r="Z9" i="6"/>
  <c r="Y9" i="6"/>
  <c r="X9" i="6"/>
  <c r="W9" i="6"/>
  <c r="AF6" i="6"/>
  <c r="AE6" i="6"/>
  <c r="AD6" i="6"/>
  <c r="AC6" i="6"/>
  <c r="AB6" i="6"/>
  <c r="AA6" i="6"/>
  <c r="Z6" i="6"/>
  <c r="Y6" i="6"/>
  <c r="X6" i="6"/>
  <c r="W6" i="6"/>
  <c r="AF3" i="6"/>
  <c r="AE3" i="6"/>
  <c r="AD3" i="6"/>
  <c r="AC3" i="6"/>
  <c r="AB3" i="6"/>
  <c r="AA3" i="6"/>
  <c r="Z3" i="6"/>
  <c r="Y3" i="6"/>
  <c r="X3" i="6"/>
  <c r="W3" i="6"/>
  <c r="Q4" i="6"/>
  <c r="R4" i="6"/>
  <c r="U4" i="6" s="1"/>
  <c r="S4" i="6"/>
  <c r="T4" i="6" s="1"/>
  <c r="V4" i="6" s="1"/>
  <c r="Q6" i="6"/>
  <c r="U6" i="6" s="1"/>
  <c r="R6" i="6"/>
  <c r="S6" i="6"/>
  <c r="T6" i="6"/>
  <c r="V6" i="6" s="1"/>
  <c r="Q7" i="6"/>
  <c r="U7" i="6" s="1"/>
  <c r="R7" i="6"/>
  <c r="T7" i="6" s="1"/>
  <c r="V7" i="6" s="1"/>
  <c r="S7" i="6"/>
  <c r="Q9" i="6"/>
  <c r="T9" i="6" s="1"/>
  <c r="R9" i="6"/>
  <c r="S9" i="6"/>
  <c r="Q10" i="6"/>
  <c r="R10" i="6"/>
  <c r="T10" i="6" s="1"/>
  <c r="V10" i="6" s="1"/>
  <c r="S10" i="6"/>
  <c r="U10" i="6"/>
  <c r="V3" i="6"/>
  <c r="V4" i="14"/>
  <c r="Q5" i="14"/>
  <c r="R5" i="14"/>
  <c r="S5" i="14"/>
  <c r="Q6" i="14"/>
  <c r="R6" i="14"/>
  <c r="S6" i="14"/>
  <c r="AC4" i="14"/>
  <c r="S4" i="14"/>
  <c r="R4" i="14"/>
  <c r="Q4" i="14"/>
  <c r="U4" i="14" s="1"/>
  <c r="Q5" i="13"/>
  <c r="R5" i="13"/>
  <c r="S5" i="13"/>
  <c r="T5" i="13"/>
  <c r="Q6" i="13"/>
  <c r="R6" i="13"/>
  <c r="X4" i="13" s="1"/>
  <c r="S6" i="13"/>
  <c r="AC6" i="13"/>
  <c r="Q7" i="13"/>
  <c r="R7" i="13"/>
  <c r="S7" i="13"/>
  <c r="Q8" i="13"/>
  <c r="R8" i="13"/>
  <c r="S8" i="13"/>
  <c r="Q9" i="13"/>
  <c r="R9" i="13"/>
  <c r="S9" i="13"/>
  <c r="AC9" i="13"/>
  <c r="Q5" i="12"/>
  <c r="R5" i="12"/>
  <c r="S5" i="12"/>
  <c r="Q6" i="12"/>
  <c r="R6" i="12"/>
  <c r="T6" i="12" s="1"/>
  <c r="S6" i="12"/>
  <c r="Q7" i="12"/>
  <c r="R7" i="12"/>
  <c r="S7" i="12"/>
  <c r="Q8" i="12"/>
  <c r="R8" i="12"/>
  <c r="S8" i="12"/>
  <c r="AC8" i="12"/>
  <c r="Q9" i="12"/>
  <c r="R9" i="12"/>
  <c r="S9" i="12"/>
  <c r="U4" i="11"/>
  <c r="Q5" i="11"/>
  <c r="R5" i="11"/>
  <c r="S5" i="11"/>
  <c r="Q6" i="11"/>
  <c r="R6" i="11"/>
  <c r="S6" i="11"/>
  <c r="T6" i="11"/>
  <c r="Q7" i="11"/>
  <c r="R7" i="11"/>
  <c r="S7" i="11"/>
  <c r="T7" i="11"/>
  <c r="AC7" i="11"/>
  <c r="AD7" i="11"/>
  <c r="Q8" i="11"/>
  <c r="R8" i="11"/>
  <c r="S8" i="11"/>
  <c r="Q9" i="11"/>
  <c r="R9" i="11"/>
  <c r="S9" i="11"/>
  <c r="Q10" i="11"/>
  <c r="R10" i="11"/>
  <c r="S10" i="11"/>
  <c r="T10" i="11"/>
  <c r="AC10" i="11"/>
  <c r="AD10" i="11"/>
  <c r="Q4" i="2"/>
  <c r="R4" i="2"/>
  <c r="S4" i="2"/>
  <c r="Q5" i="2"/>
  <c r="R5" i="2"/>
  <c r="T5" i="2" s="1"/>
  <c r="S5" i="2"/>
  <c r="S3" i="2"/>
  <c r="R3" i="2"/>
  <c r="Q3" i="2"/>
  <c r="S4" i="19"/>
  <c r="R4" i="19"/>
  <c r="Q4" i="19"/>
  <c r="Q5" i="18"/>
  <c r="R5" i="18"/>
  <c r="S5" i="18"/>
  <c r="S4" i="18"/>
  <c r="R4" i="18"/>
  <c r="Q4" i="18"/>
  <c r="AC4" i="18" s="1"/>
  <c r="S4" i="16"/>
  <c r="R4" i="16"/>
  <c r="Q4" i="16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Z4" i="13" s="1"/>
  <c r="R4" i="13"/>
  <c r="W4" i="13" s="1"/>
  <c r="Q4" i="13"/>
  <c r="S4" i="12"/>
  <c r="R4" i="12"/>
  <c r="Q4" i="12"/>
  <c r="S4" i="11"/>
  <c r="R4" i="11"/>
  <c r="Q4" i="11"/>
  <c r="Q4" i="10"/>
  <c r="T4" i="10" s="1"/>
  <c r="R4" i="10"/>
  <c r="S4" i="10"/>
  <c r="Q5" i="10"/>
  <c r="T5" i="10" s="1"/>
  <c r="R5" i="10"/>
  <c r="S5" i="10"/>
  <c r="Q6" i="10"/>
  <c r="U6" i="10" s="1"/>
  <c r="R6" i="10"/>
  <c r="S6" i="10"/>
  <c r="Q7" i="10"/>
  <c r="T7" i="10" s="1"/>
  <c r="R7" i="10"/>
  <c r="S7" i="10"/>
  <c r="Q8" i="10"/>
  <c r="T8" i="10" s="1"/>
  <c r="R8" i="10"/>
  <c r="S8" i="10"/>
  <c r="Q9" i="10"/>
  <c r="T9" i="10" s="1"/>
  <c r="R9" i="10"/>
  <c r="S9" i="10"/>
  <c r="Q10" i="10"/>
  <c r="T10" i="10" s="1"/>
  <c r="R10" i="10"/>
  <c r="S10" i="10"/>
  <c r="Q11" i="10"/>
  <c r="R11" i="10"/>
  <c r="S11" i="10"/>
  <c r="T11" i="10"/>
  <c r="U11" i="10"/>
  <c r="Q12" i="10"/>
  <c r="T12" i="10" s="1"/>
  <c r="R12" i="10"/>
  <c r="S12" i="10"/>
  <c r="Q15" i="10"/>
  <c r="R15" i="10"/>
  <c r="S15" i="10"/>
  <c r="Q16" i="10"/>
  <c r="R16" i="10"/>
  <c r="S16" i="10"/>
  <c r="Q17" i="10"/>
  <c r="R17" i="10"/>
  <c r="S17" i="10"/>
  <c r="Q18" i="10"/>
  <c r="R18" i="10"/>
  <c r="S18" i="10"/>
  <c r="Q19" i="10"/>
  <c r="R19" i="10"/>
  <c r="S19" i="10"/>
  <c r="Q20" i="10"/>
  <c r="R20" i="10"/>
  <c r="S20" i="10"/>
  <c r="Q21" i="10"/>
  <c r="R21" i="10"/>
  <c r="S21" i="10"/>
  <c r="Q22" i="10"/>
  <c r="R22" i="10"/>
  <c r="S22" i="10"/>
  <c r="Q26" i="10"/>
  <c r="T26" i="10" s="1"/>
  <c r="R26" i="10"/>
  <c r="S26" i="10"/>
  <c r="Q27" i="10"/>
  <c r="T27" i="10" s="1"/>
  <c r="R27" i="10"/>
  <c r="S27" i="10"/>
  <c r="Q28" i="10"/>
  <c r="T28" i="10" s="1"/>
  <c r="R28" i="10"/>
  <c r="S28" i="10"/>
  <c r="Q31" i="10"/>
  <c r="T31" i="10" s="1"/>
  <c r="R31" i="10"/>
  <c r="S31" i="10"/>
  <c r="Q32" i="10"/>
  <c r="T32" i="10" s="1"/>
  <c r="R32" i="10"/>
  <c r="S32" i="10"/>
  <c r="Q33" i="10"/>
  <c r="T33" i="10" s="1"/>
  <c r="R33" i="10"/>
  <c r="S33" i="10"/>
  <c r="Q34" i="10"/>
  <c r="T34" i="10" s="1"/>
  <c r="R34" i="10"/>
  <c r="S34" i="10"/>
  <c r="Q35" i="10"/>
  <c r="T35" i="10" s="1"/>
  <c r="R35" i="10"/>
  <c r="S35" i="10"/>
  <c r="Q36" i="10"/>
  <c r="T36" i="10" s="1"/>
  <c r="R36" i="10"/>
  <c r="S36" i="10"/>
  <c r="Q37" i="10"/>
  <c r="T37" i="10" s="1"/>
  <c r="R37" i="10"/>
  <c r="S37" i="10"/>
  <c r="Q38" i="10"/>
  <c r="U38" i="10" s="1"/>
  <c r="R38" i="10"/>
  <c r="S38" i="10"/>
  <c r="Q39" i="10"/>
  <c r="U39" i="10" s="1"/>
  <c r="R39" i="10"/>
  <c r="S39" i="10"/>
  <c r="Q42" i="10"/>
  <c r="T42" i="10" s="1"/>
  <c r="AD42" i="10" s="1"/>
  <c r="R42" i="10"/>
  <c r="S42" i="10"/>
  <c r="Q43" i="10"/>
  <c r="T43" i="10" s="1"/>
  <c r="R43" i="10"/>
  <c r="S43" i="10"/>
  <c r="Q44" i="10"/>
  <c r="T44" i="10" s="1"/>
  <c r="R44" i="10"/>
  <c r="S44" i="10"/>
  <c r="Q45" i="10"/>
  <c r="T45" i="10" s="1"/>
  <c r="R45" i="10"/>
  <c r="S45" i="10"/>
  <c r="Q46" i="10"/>
  <c r="U46" i="10" s="1"/>
  <c r="R46" i="10"/>
  <c r="S46" i="10"/>
  <c r="Q47" i="10"/>
  <c r="T47" i="10" s="1"/>
  <c r="R47" i="10"/>
  <c r="S47" i="10"/>
  <c r="Q48" i="10"/>
  <c r="T48" i="10" s="1"/>
  <c r="R48" i="10"/>
  <c r="S48" i="10"/>
  <c r="Q49" i="10"/>
  <c r="T49" i="10" s="1"/>
  <c r="R49" i="10"/>
  <c r="S49" i="10"/>
  <c r="Q50" i="10"/>
  <c r="T50" i="10" s="1"/>
  <c r="R50" i="10"/>
  <c r="S50" i="10"/>
  <c r="Q53" i="10"/>
  <c r="T53" i="10" s="1"/>
  <c r="AD53" i="10" s="1"/>
  <c r="R53" i="10"/>
  <c r="S53" i="10"/>
  <c r="Q54" i="10"/>
  <c r="U54" i="10" s="1"/>
  <c r="R54" i="10"/>
  <c r="S54" i="10"/>
  <c r="Q57" i="10"/>
  <c r="T57" i="10" s="1"/>
  <c r="AD57" i="10" s="1"/>
  <c r="R57" i="10"/>
  <c r="S57" i="10"/>
  <c r="Q58" i="10"/>
  <c r="T58" i="10" s="1"/>
  <c r="R58" i="10"/>
  <c r="S58" i="10"/>
  <c r="Q59" i="10"/>
  <c r="T59" i="10" s="1"/>
  <c r="R59" i="10"/>
  <c r="S59" i="10"/>
  <c r="Q60" i="10"/>
  <c r="T60" i="10" s="1"/>
  <c r="R60" i="10"/>
  <c r="S60" i="10"/>
  <c r="Q61" i="10"/>
  <c r="T61" i="10" s="1"/>
  <c r="R61" i="10"/>
  <c r="S61" i="10"/>
  <c r="Q62" i="10"/>
  <c r="U62" i="10" s="1"/>
  <c r="R62" i="10"/>
  <c r="S62" i="10"/>
  <c r="Q63" i="10"/>
  <c r="T63" i="10" s="1"/>
  <c r="R63" i="10"/>
  <c r="S63" i="10"/>
  <c r="U63" i="10"/>
  <c r="Q66" i="10"/>
  <c r="U66" i="10" s="1"/>
  <c r="R66" i="10"/>
  <c r="S66" i="10"/>
  <c r="Q67" i="10"/>
  <c r="T67" i="10" s="1"/>
  <c r="R67" i="10"/>
  <c r="S67" i="10"/>
  <c r="Q68" i="10"/>
  <c r="T68" i="10" s="1"/>
  <c r="R68" i="10"/>
  <c r="S68" i="10"/>
  <c r="Q71" i="10"/>
  <c r="T71" i="10" s="1"/>
  <c r="AD71" i="10" s="1"/>
  <c r="R71" i="10"/>
  <c r="S71" i="10"/>
  <c r="Q72" i="10"/>
  <c r="T72" i="10" s="1"/>
  <c r="R72" i="10"/>
  <c r="S72" i="10"/>
  <c r="Q73" i="10"/>
  <c r="T73" i="10" s="1"/>
  <c r="R73" i="10"/>
  <c r="S73" i="10"/>
  <c r="Q74" i="10"/>
  <c r="T74" i="10" s="1"/>
  <c r="R74" i="10"/>
  <c r="S74" i="10"/>
  <c r="Q75" i="10"/>
  <c r="T75" i="10" s="1"/>
  <c r="R75" i="10"/>
  <c r="S75" i="10"/>
  <c r="Q76" i="10"/>
  <c r="T76" i="10" s="1"/>
  <c r="R76" i="10"/>
  <c r="S76" i="10"/>
  <c r="Q77" i="10"/>
  <c r="T77" i="10" s="1"/>
  <c r="R77" i="10"/>
  <c r="S77" i="10"/>
  <c r="Q78" i="10"/>
  <c r="U78" i="10" s="1"/>
  <c r="R78" i="10"/>
  <c r="S78" i="10"/>
  <c r="Q79" i="10"/>
  <c r="T79" i="10" s="1"/>
  <c r="R79" i="10"/>
  <c r="S79" i="10"/>
  <c r="Q80" i="10"/>
  <c r="T80" i="10" s="1"/>
  <c r="R80" i="10"/>
  <c r="S80" i="10"/>
  <c r="Q83" i="10"/>
  <c r="T83" i="10" s="1"/>
  <c r="AC83" i="10" s="1"/>
  <c r="R83" i="10"/>
  <c r="S83" i="10"/>
  <c r="Q84" i="10"/>
  <c r="T84" i="10" s="1"/>
  <c r="R84" i="10"/>
  <c r="S84" i="10"/>
  <c r="Q85" i="10"/>
  <c r="U85" i="10" s="1"/>
  <c r="R85" i="10"/>
  <c r="S85" i="10"/>
  <c r="Q86" i="10"/>
  <c r="U86" i="10" s="1"/>
  <c r="R86" i="10"/>
  <c r="S86" i="10"/>
  <c r="Q87" i="10"/>
  <c r="U87" i="10" s="1"/>
  <c r="R87" i="10"/>
  <c r="S87" i="10"/>
  <c r="Q88" i="10"/>
  <c r="U88" i="10" s="1"/>
  <c r="R88" i="10"/>
  <c r="S88" i="10"/>
  <c r="Q91" i="10"/>
  <c r="T91" i="10" s="1"/>
  <c r="R91" i="10"/>
  <c r="S91" i="10"/>
  <c r="Q92" i="10"/>
  <c r="T92" i="10" s="1"/>
  <c r="R92" i="10"/>
  <c r="S92" i="10"/>
  <c r="Q93" i="10"/>
  <c r="T93" i="10" s="1"/>
  <c r="R93" i="10"/>
  <c r="S93" i="10"/>
  <c r="Q94" i="10"/>
  <c r="U94" i="10" s="1"/>
  <c r="R94" i="10"/>
  <c r="S94" i="10"/>
  <c r="Q95" i="10"/>
  <c r="T95" i="10" s="1"/>
  <c r="R95" i="10"/>
  <c r="S95" i="10"/>
  <c r="Q96" i="10"/>
  <c r="T96" i="10" s="1"/>
  <c r="R96" i="10"/>
  <c r="S96" i="10"/>
  <c r="Q97" i="10"/>
  <c r="T97" i="10" s="1"/>
  <c r="R97" i="10"/>
  <c r="S97" i="10"/>
  <c r="Q98" i="10"/>
  <c r="T98" i="10" s="1"/>
  <c r="R98" i="10"/>
  <c r="S98" i="10"/>
  <c r="Q99" i="10"/>
  <c r="T99" i="10" s="1"/>
  <c r="R99" i="10"/>
  <c r="S99" i="10"/>
  <c r="S3" i="10"/>
  <c r="R3" i="10"/>
  <c r="Q3" i="10"/>
  <c r="U3" i="10" s="1"/>
  <c r="AD5" i="9"/>
  <c r="AD10" i="9"/>
  <c r="R3" i="9"/>
  <c r="S3" i="9"/>
  <c r="T3" i="9"/>
  <c r="R4" i="9"/>
  <c r="S4" i="9"/>
  <c r="T4" i="9"/>
  <c r="AD4" i="9" s="1"/>
  <c r="R5" i="9"/>
  <c r="S5" i="9"/>
  <c r="T5" i="9"/>
  <c r="U5" i="9" s="1"/>
  <c r="R6" i="9"/>
  <c r="S6" i="9"/>
  <c r="T6" i="9"/>
  <c r="R7" i="9"/>
  <c r="S7" i="9"/>
  <c r="T7" i="9"/>
  <c r="R8" i="9"/>
  <c r="S8" i="9"/>
  <c r="T8" i="9"/>
  <c r="R9" i="9"/>
  <c r="S9" i="9"/>
  <c r="T9" i="9"/>
  <c r="AD9" i="9" s="1"/>
  <c r="U9" i="9"/>
  <c r="R10" i="9"/>
  <c r="S10" i="9"/>
  <c r="T10" i="9"/>
  <c r="U10" i="9" s="1"/>
  <c r="R11" i="9"/>
  <c r="S11" i="9"/>
  <c r="T11" i="9"/>
  <c r="T2" i="9"/>
  <c r="S2" i="9"/>
  <c r="Y2" i="9" s="1"/>
  <c r="R2" i="9"/>
  <c r="AD2" i="9" s="1"/>
  <c r="AI7" i="6"/>
  <c r="AL7" i="6"/>
  <c r="AN7" i="6"/>
  <c r="S3" i="6"/>
  <c r="R3" i="6"/>
  <c r="Q3" i="6"/>
  <c r="U86" i="5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U12" i="5" s="1"/>
  <c r="Q16" i="5"/>
  <c r="Q17" i="5"/>
  <c r="T17" i="5" s="1"/>
  <c r="Q18" i="5"/>
  <c r="T18" i="5" s="1"/>
  <c r="Q28" i="5"/>
  <c r="Q29" i="5"/>
  <c r="Q30" i="5"/>
  <c r="Q34" i="5"/>
  <c r="T34" i="5" s="1"/>
  <c r="AD34" i="5" s="1"/>
  <c r="Q35" i="5"/>
  <c r="T35" i="5" s="1"/>
  <c r="Q36" i="5"/>
  <c r="T36" i="5" s="1"/>
  <c r="Q37" i="5"/>
  <c r="U37" i="5" s="1"/>
  <c r="Q38" i="5"/>
  <c r="T38" i="5" s="1"/>
  <c r="Q39" i="5"/>
  <c r="T39" i="5" s="1"/>
  <c r="Q40" i="5"/>
  <c r="U40" i="5" s="1"/>
  <c r="Q41" i="5"/>
  <c r="T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U59" i="5" s="1"/>
  <c r="Q63" i="5"/>
  <c r="U63" i="5" s="1"/>
  <c r="Q64" i="5"/>
  <c r="T64" i="5" s="1"/>
  <c r="Q65" i="5"/>
  <c r="T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T85" i="5" s="1"/>
  <c r="Q86" i="5"/>
  <c r="T86" i="5" s="1"/>
  <c r="Q87" i="5"/>
  <c r="U87" i="5" s="1"/>
  <c r="Q88" i="5"/>
  <c r="U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U106" i="5" s="1"/>
  <c r="Q107" i="5"/>
  <c r="U107" i="5" s="1"/>
  <c r="Q108" i="5"/>
  <c r="T108" i="5" s="1"/>
  <c r="Q109" i="5"/>
  <c r="T109" i="5" s="1"/>
  <c r="Q3" i="5"/>
  <c r="T3" i="5" s="1"/>
  <c r="AC14" i="12" l="1"/>
  <c r="AD14" i="12" s="1"/>
  <c r="T21" i="5"/>
  <c r="V21" i="5" s="1"/>
  <c r="T4" i="20"/>
  <c r="U4" i="20"/>
  <c r="V4" i="20"/>
  <c r="W4" i="20"/>
  <c r="Y4" i="20"/>
  <c r="AE4" i="18"/>
  <c r="T5" i="18"/>
  <c r="AB12" i="16"/>
  <c r="AA12" i="16"/>
  <c r="AC23" i="16"/>
  <c r="AD23" i="16" s="1"/>
  <c r="V12" i="16"/>
  <c r="AD12" i="8"/>
  <c r="AC12" i="8"/>
  <c r="AC11" i="8"/>
  <c r="AD11" i="8" s="1"/>
  <c r="AC12" i="16"/>
  <c r="AD12" i="16" s="1"/>
  <c r="AC4" i="19"/>
  <c r="T4" i="19"/>
  <c r="AD10" i="16"/>
  <c r="AC8" i="16"/>
  <c r="AD8" i="16" s="1"/>
  <c r="AC5" i="16"/>
  <c r="AD5" i="16" s="1"/>
  <c r="T87" i="10"/>
  <c r="V11" i="10"/>
  <c r="T16" i="10"/>
  <c r="U71" i="10"/>
  <c r="T88" i="10"/>
  <c r="U42" i="10"/>
  <c r="U5" i="10"/>
  <c r="V5" i="10" s="1"/>
  <c r="T78" i="10"/>
  <c r="V78" i="10" s="1"/>
  <c r="V42" i="10"/>
  <c r="AE42" i="10" s="1"/>
  <c r="U83" i="10"/>
  <c r="V83" i="10" s="1"/>
  <c r="U77" i="10"/>
  <c r="V77" i="10" s="1"/>
  <c r="U59" i="10"/>
  <c r="V59" i="10" s="1"/>
  <c r="U34" i="10"/>
  <c r="V34" i="10" s="1"/>
  <c r="U53" i="10"/>
  <c r="V53" i="10" s="1"/>
  <c r="AF53" i="10" s="1"/>
  <c r="V87" i="10"/>
  <c r="V71" i="10"/>
  <c r="AE71" i="10" s="1"/>
  <c r="AC31" i="10"/>
  <c r="AD31" i="10"/>
  <c r="U92" i="10"/>
  <c r="V92" i="10" s="1"/>
  <c r="U60" i="10"/>
  <c r="U48" i="10"/>
  <c r="V48" i="10" s="1"/>
  <c r="U28" i="10"/>
  <c r="V28" i="10" s="1"/>
  <c r="T66" i="10"/>
  <c r="AC66" i="10" s="1"/>
  <c r="U37" i="10"/>
  <c r="V37" i="10" s="1"/>
  <c r="AC42" i="10"/>
  <c r="AC53" i="10"/>
  <c r="U84" i="10"/>
  <c r="V84" i="10" s="1"/>
  <c r="U74" i="10"/>
  <c r="V74" i="10" s="1"/>
  <c r="T39" i="10"/>
  <c r="V39" i="10" s="1"/>
  <c r="U35" i="10"/>
  <c r="V35" i="10" s="1"/>
  <c r="U98" i="10"/>
  <c r="V98" i="10" s="1"/>
  <c r="U31" i="10"/>
  <c r="V31" i="10" s="1"/>
  <c r="AL15" i="10"/>
  <c r="V63" i="10"/>
  <c r="U95" i="10"/>
  <c r="V95" i="10" s="1"/>
  <c r="U61" i="10"/>
  <c r="V61" i="10" s="1"/>
  <c r="U36" i="10"/>
  <c r="V36" i="10" s="1"/>
  <c r="U27" i="10"/>
  <c r="V27" i="10" s="1"/>
  <c r="AM15" i="10"/>
  <c r="T85" i="10"/>
  <c r="V85" i="10" s="1"/>
  <c r="U80" i="10"/>
  <c r="V80" i="10" s="1"/>
  <c r="U45" i="10"/>
  <c r="V45" i="10" s="1"/>
  <c r="U8" i="10"/>
  <c r="V8" i="10" s="1"/>
  <c r="V60" i="10"/>
  <c r="T3" i="10"/>
  <c r="AD3" i="10" s="1"/>
  <c r="U16" i="10"/>
  <c r="U22" i="10"/>
  <c r="T19" i="10"/>
  <c r="T21" i="10"/>
  <c r="T17" i="10"/>
  <c r="T20" i="10"/>
  <c r="U19" i="10"/>
  <c r="AK15" i="10"/>
  <c r="T18" i="10"/>
  <c r="AI15" i="10"/>
  <c r="T22" i="10"/>
  <c r="U4" i="9"/>
  <c r="AA2" i="9"/>
  <c r="AD11" i="9"/>
  <c r="U11" i="9"/>
  <c r="U8" i="9"/>
  <c r="U3" i="9"/>
  <c r="X2" i="9"/>
  <c r="U7" i="9"/>
  <c r="AD6" i="9"/>
  <c r="V2" i="9"/>
  <c r="U2" i="9"/>
  <c r="W2" i="9"/>
  <c r="AD8" i="9"/>
  <c r="AC6" i="8"/>
  <c r="AD6" i="8" s="1"/>
  <c r="AC5" i="8"/>
  <c r="AD5" i="8" s="1"/>
  <c r="U15" i="7"/>
  <c r="V15" i="7" s="1"/>
  <c r="U4" i="7"/>
  <c r="Z3" i="7"/>
  <c r="AA3" i="7"/>
  <c r="Y3" i="7"/>
  <c r="AB3" i="7"/>
  <c r="U8" i="7"/>
  <c r="U9" i="7"/>
  <c r="X3" i="7"/>
  <c r="T9" i="7"/>
  <c r="T3" i="7"/>
  <c r="T4" i="7"/>
  <c r="V4" i="7" s="1"/>
  <c r="U3" i="7"/>
  <c r="T8" i="7"/>
  <c r="W3" i="7"/>
  <c r="U9" i="6"/>
  <c r="V9" i="6" s="1"/>
  <c r="U3" i="6"/>
  <c r="T3" i="6"/>
  <c r="Z4" i="14"/>
  <c r="T6" i="14"/>
  <c r="X4" i="14"/>
  <c r="T5" i="14"/>
  <c r="T4" i="14"/>
  <c r="AB4" i="14" s="1"/>
  <c r="AD4" i="14"/>
  <c r="W4" i="14"/>
  <c r="Y4" i="14"/>
  <c r="AA4" i="14"/>
  <c r="AC6" i="14"/>
  <c r="Y4" i="13"/>
  <c r="T9" i="13"/>
  <c r="T4" i="13"/>
  <c r="AC7" i="13"/>
  <c r="T6" i="13"/>
  <c r="AC5" i="13"/>
  <c r="AD5" i="13" s="1"/>
  <c r="AC8" i="13"/>
  <c r="AD6" i="13"/>
  <c r="U4" i="13"/>
  <c r="AD9" i="13"/>
  <c r="T8" i="13"/>
  <c r="AD8" i="13" s="1"/>
  <c r="V4" i="13"/>
  <c r="T7" i="13"/>
  <c r="AD7" i="13" s="1"/>
  <c r="AC4" i="12"/>
  <c r="Z4" i="12"/>
  <c r="T8" i="12"/>
  <c r="AD8" i="12" s="1"/>
  <c r="AC7" i="12"/>
  <c r="X4" i="12"/>
  <c r="T9" i="12"/>
  <c r="T7" i="12"/>
  <c r="AC6" i="12"/>
  <c r="AD6" i="12" s="1"/>
  <c r="T5" i="12"/>
  <c r="AD7" i="12"/>
  <c r="Z4" i="11"/>
  <c r="X4" i="11"/>
  <c r="T9" i="11"/>
  <c r="T5" i="11"/>
  <c r="T8" i="11"/>
  <c r="AC4" i="11"/>
  <c r="AC6" i="11"/>
  <c r="AD6" i="11" s="1"/>
  <c r="V4" i="11"/>
  <c r="U3" i="2"/>
  <c r="AB3" i="2"/>
  <c r="T4" i="2"/>
  <c r="Z3" i="2"/>
  <c r="U5" i="2"/>
  <c r="V5" i="2" s="1"/>
  <c r="W3" i="2"/>
  <c r="X3" i="2"/>
  <c r="Y3" i="2"/>
  <c r="T3" i="2"/>
  <c r="AA3" i="2"/>
  <c r="V17" i="5"/>
  <c r="W4" i="11"/>
  <c r="Y4" i="11"/>
  <c r="AC8" i="11"/>
  <c r="AD8" i="11" s="1"/>
  <c r="AC5" i="11"/>
  <c r="AD5" i="11" s="1"/>
  <c r="W4" i="12"/>
  <c r="T4" i="12"/>
  <c r="U4" i="12"/>
  <c r="V4" i="12"/>
  <c r="Y4" i="12"/>
  <c r="AC9" i="12"/>
  <c r="AD9" i="12" s="1"/>
  <c r="AC5" i="14"/>
  <c r="AD5" i="14" s="1"/>
  <c r="AC4" i="13"/>
  <c r="AD4" i="13" s="1"/>
  <c r="AC5" i="12"/>
  <c r="AD5" i="12" s="1"/>
  <c r="AC9" i="11"/>
  <c r="AD9" i="11" s="1"/>
  <c r="AN12" i="5"/>
  <c r="AL12" i="5"/>
  <c r="AJ12" i="5"/>
  <c r="U4" i="2"/>
  <c r="AK12" i="5"/>
  <c r="T87" i="5"/>
  <c r="V87" i="5" s="1"/>
  <c r="T84" i="5"/>
  <c r="V84" i="5" s="1"/>
  <c r="T59" i="5"/>
  <c r="V59" i="5" s="1"/>
  <c r="T16" i="5"/>
  <c r="T12" i="5"/>
  <c r="V12" i="5" s="1"/>
  <c r="U3" i="5"/>
  <c r="V3" i="5" s="1"/>
  <c r="U109" i="5"/>
  <c r="V109" i="5" s="1"/>
  <c r="U108" i="5"/>
  <c r="V108" i="5" s="1"/>
  <c r="T92" i="5"/>
  <c r="AD92" i="5" s="1"/>
  <c r="AI13" i="5"/>
  <c r="T63" i="5"/>
  <c r="V63" i="5" s="1"/>
  <c r="U36" i="5"/>
  <c r="V36" i="5" s="1"/>
  <c r="U35" i="5"/>
  <c r="V35" i="5" s="1"/>
  <c r="U34" i="5"/>
  <c r="V34" i="5" s="1"/>
  <c r="AE34" i="5" s="1"/>
  <c r="T69" i="5"/>
  <c r="V69" i="5" s="1"/>
  <c r="T67" i="5"/>
  <c r="V67" i="5" s="1"/>
  <c r="U65" i="5"/>
  <c r="V65" i="5" s="1"/>
  <c r="T46" i="5"/>
  <c r="V46" i="5" s="1"/>
  <c r="AE46" i="5" s="1"/>
  <c r="T68" i="5"/>
  <c r="V68" i="5" s="1"/>
  <c r="V86" i="5"/>
  <c r="U64" i="5"/>
  <c r="V64" i="5" s="1"/>
  <c r="T47" i="5"/>
  <c r="V47" i="5" s="1"/>
  <c r="U39" i="5"/>
  <c r="V39" i="5" s="1"/>
  <c r="T42" i="5"/>
  <c r="V42" i="5" s="1"/>
  <c r="T40" i="5"/>
  <c r="V40" i="5" s="1"/>
  <c r="T107" i="5"/>
  <c r="V107" i="5" s="1"/>
  <c r="T37" i="5"/>
  <c r="V37" i="5" s="1"/>
  <c r="T106" i="5"/>
  <c r="V106" i="5" s="1"/>
  <c r="U18" i="5"/>
  <c r="V18" i="5" s="1"/>
  <c r="T94" i="5"/>
  <c r="V94" i="5" s="1"/>
  <c r="T93" i="5"/>
  <c r="V93" i="5" s="1"/>
  <c r="U85" i="5"/>
  <c r="V85" i="5" s="1"/>
  <c r="AL13" i="5"/>
  <c r="U81" i="5"/>
  <c r="V81" i="5" s="1"/>
  <c r="U17" i="5"/>
  <c r="U83" i="5"/>
  <c r="V83" i="5" s="1"/>
  <c r="T66" i="5"/>
  <c r="V66" i="5" s="1"/>
  <c r="U82" i="5"/>
  <c r="V82" i="5" s="1"/>
  <c r="U16" i="5"/>
  <c r="U41" i="5"/>
  <c r="V41" i="5" s="1"/>
  <c r="T88" i="5"/>
  <c r="V88" i="5" s="1"/>
  <c r="U38" i="5"/>
  <c r="V38" i="5" s="1"/>
  <c r="AI12" i="5"/>
  <c r="T30" i="5"/>
  <c r="U30" i="5"/>
  <c r="T102" i="5"/>
  <c r="U102" i="5"/>
  <c r="U8" i="5"/>
  <c r="T8" i="5"/>
  <c r="T79" i="5"/>
  <c r="U79" i="5"/>
  <c r="T51" i="5"/>
  <c r="U51" i="5"/>
  <c r="AM13" i="5"/>
  <c r="T75" i="5"/>
  <c r="U75" i="5"/>
  <c r="T50" i="5"/>
  <c r="U50" i="5"/>
  <c r="T6" i="5"/>
  <c r="U6" i="5"/>
  <c r="T49" i="5"/>
  <c r="U49" i="5"/>
  <c r="AC34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V52" i="5" s="1"/>
  <c r="T29" i="5"/>
  <c r="U29" i="5"/>
  <c r="T97" i="5"/>
  <c r="U97" i="5"/>
  <c r="T74" i="5"/>
  <c r="U74" i="5"/>
  <c r="AD73" i="5"/>
  <c r="AC73" i="5"/>
  <c r="U80" i="5"/>
  <c r="V80" i="5" s="1"/>
  <c r="T101" i="5"/>
  <c r="U101" i="5"/>
  <c r="T7" i="5"/>
  <c r="U7" i="5"/>
  <c r="T28" i="5"/>
  <c r="U28" i="5"/>
  <c r="T96" i="5"/>
  <c r="U96" i="5"/>
  <c r="T5" i="5"/>
  <c r="U5" i="5"/>
  <c r="AD3" i="5"/>
  <c r="AC3" i="5"/>
  <c r="AM12" i="5"/>
  <c r="U95" i="5"/>
  <c r="V95" i="5" s="1"/>
  <c r="U73" i="5"/>
  <c r="V73" i="5" s="1"/>
  <c r="U48" i="5"/>
  <c r="V48" i="5" s="1"/>
  <c r="U4" i="5"/>
  <c r="V4" i="5" s="1"/>
  <c r="AJ13" i="5"/>
  <c r="AJ7" i="6"/>
  <c r="AK7" i="6"/>
  <c r="AM7" i="6"/>
  <c r="Z2" i="9"/>
  <c r="AD7" i="9"/>
  <c r="AD3" i="9"/>
  <c r="AF2" i="9" s="1"/>
  <c r="U6" i="9"/>
  <c r="AD91" i="10"/>
  <c r="AC91" i="10"/>
  <c r="V88" i="10"/>
  <c r="AD26" i="10"/>
  <c r="AC26" i="10"/>
  <c r="V12" i="10"/>
  <c r="V68" i="10"/>
  <c r="AD83" i="10"/>
  <c r="AC57" i="10"/>
  <c r="U58" i="10"/>
  <c r="V58" i="10" s="1"/>
  <c r="U26" i="10"/>
  <c r="V26" i="10" s="1"/>
  <c r="U21" i="10"/>
  <c r="U79" i="10"/>
  <c r="V79" i="10" s="1"/>
  <c r="U76" i="10"/>
  <c r="V76" i="10" s="1"/>
  <c r="U15" i="10"/>
  <c r="T94" i="10"/>
  <c r="V94" i="10" s="1"/>
  <c r="U68" i="10"/>
  <c r="U47" i="10"/>
  <c r="V47" i="10" s="1"/>
  <c r="U44" i="10"/>
  <c r="V44" i="10" s="1"/>
  <c r="U18" i="10"/>
  <c r="T15" i="10"/>
  <c r="U7" i="10"/>
  <c r="V7" i="10" s="1"/>
  <c r="U4" i="10"/>
  <c r="V4" i="10" s="1"/>
  <c r="U91" i="10"/>
  <c r="V91" i="10" s="1"/>
  <c r="U50" i="10"/>
  <c r="V50" i="10" s="1"/>
  <c r="U10" i="10"/>
  <c r="V10" i="10" s="1"/>
  <c r="AH15" i="10"/>
  <c r="T86" i="10"/>
  <c r="V86" i="10" s="1"/>
  <c r="AJ15" i="10"/>
  <c r="U72" i="10"/>
  <c r="V72" i="10" s="1"/>
  <c r="U20" i="10"/>
  <c r="U96" i="10"/>
  <c r="V96" i="10" s="1"/>
  <c r="U93" i="10"/>
  <c r="V93" i="10" s="1"/>
  <c r="U75" i="10"/>
  <c r="V75" i="10" s="1"/>
  <c r="T46" i="10"/>
  <c r="V46" i="10" s="1"/>
  <c r="U12" i="10"/>
  <c r="T6" i="10"/>
  <c r="V6" i="10" s="1"/>
  <c r="AC71" i="10"/>
  <c r="U99" i="10"/>
  <c r="V99" i="10" s="1"/>
  <c r="U67" i="10"/>
  <c r="V67" i="10" s="1"/>
  <c r="T54" i="10"/>
  <c r="V54" i="10" s="1"/>
  <c r="U43" i="10"/>
  <c r="V43" i="10" s="1"/>
  <c r="U32" i="10"/>
  <c r="V32" i="10" s="1"/>
  <c r="T62" i="10"/>
  <c r="V62" i="10" s="1"/>
  <c r="T38" i="10"/>
  <c r="V38" i="10" s="1"/>
  <c r="T4" i="11"/>
  <c r="T4" i="15"/>
  <c r="AC4" i="15"/>
  <c r="T4" i="16"/>
  <c r="AC4" i="16"/>
  <c r="T4" i="18"/>
  <c r="AC5" i="18"/>
  <c r="U97" i="10"/>
  <c r="V97" i="10" s="1"/>
  <c r="U73" i="10"/>
  <c r="V73" i="10" s="1"/>
  <c r="U57" i="10"/>
  <c r="V57" i="10" s="1"/>
  <c r="U49" i="10"/>
  <c r="V49" i="10" s="1"/>
  <c r="U33" i="10"/>
  <c r="V33" i="10" s="1"/>
  <c r="U17" i="10"/>
  <c r="U9" i="10"/>
  <c r="V9" i="10" s="1"/>
  <c r="AC4" i="8"/>
  <c r="AB4" i="20" l="1"/>
  <c r="AA4" i="20"/>
  <c r="AD4" i="20"/>
  <c r="AF12" i="16"/>
  <c r="AE12" i="16"/>
  <c r="AF42" i="10"/>
  <c r="AF83" i="10"/>
  <c r="AE83" i="10"/>
  <c r="AF71" i="10"/>
  <c r="AE31" i="10"/>
  <c r="AF31" i="10"/>
  <c r="AE53" i="10"/>
  <c r="AC3" i="10"/>
  <c r="V66" i="10"/>
  <c r="AD66" i="10"/>
  <c r="AE66" i="10"/>
  <c r="AF66" i="10"/>
  <c r="V3" i="10"/>
  <c r="AG2" i="9"/>
  <c r="AC2" i="9"/>
  <c r="AB2" i="9"/>
  <c r="V9" i="7"/>
  <c r="V8" i="7"/>
  <c r="V3" i="7"/>
  <c r="AC3" i="7"/>
  <c r="AD3" i="7"/>
  <c r="AD6" i="14"/>
  <c r="AF4" i="14"/>
  <c r="AE4" i="14"/>
  <c r="AA4" i="13"/>
  <c r="AB4" i="13"/>
  <c r="V4" i="2"/>
  <c r="AD3" i="2"/>
  <c r="V3" i="2"/>
  <c r="AC3" i="2"/>
  <c r="V16" i="5"/>
  <c r="AB4" i="11"/>
  <c r="AA4" i="11"/>
  <c r="AD4" i="11"/>
  <c r="AA4" i="12"/>
  <c r="AD4" i="12"/>
  <c r="AB4" i="12"/>
  <c r="AF4" i="13"/>
  <c r="AE4" i="13"/>
  <c r="AC92" i="5"/>
  <c r="V92" i="5"/>
  <c r="AD63" i="5"/>
  <c r="AC63" i="5"/>
  <c r="AD46" i="5"/>
  <c r="AF46" i="5"/>
  <c r="AC46" i="5"/>
  <c r="AF34" i="5"/>
  <c r="V29" i="5"/>
  <c r="V8" i="5"/>
  <c r="V50" i="5"/>
  <c r="AE92" i="5"/>
  <c r="AF92" i="5"/>
  <c r="V75" i="5"/>
  <c r="AF63" i="5"/>
  <c r="AE63" i="5"/>
  <c r="AF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AF26" i="10"/>
  <c r="AE26" i="10"/>
  <c r="AF91" i="10"/>
  <c r="AE91" i="10"/>
  <c r="AF57" i="10"/>
  <c r="AE57" i="10"/>
  <c r="AD15" i="10"/>
  <c r="AC15" i="10"/>
  <c r="AD4" i="15"/>
  <c r="AE4" i="15" s="1"/>
  <c r="AB4" i="15"/>
  <c r="AA4" i="15"/>
  <c r="AE4" i="20" l="1"/>
  <c r="AF4" i="20"/>
  <c r="AE3" i="10"/>
  <c r="AF3" i="10"/>
  <c r="AE3" i="7"/>
  <c r="AF3" i="7"/>
  <c r="AF3" i="2"/>
  <c r="AE3" i="2"/>
  <c r="AF4" i="11"/>
  <c r="AE4" i="11"/>
  <c r="AE4" i="12"/>
  <c r="AF4" i="12"/>
  <c r="AF79" i="5"/>
  <c r="AE79" i="5"/>
  <c r="AE101" i="5"/>
  <c r="AF101" i="5"/>
  <c r="AE28" i="5"/>
  <c r="AF28" i="5"/>
  <c r="AE15" i="10"/>
  <c r="AF15" i="10"/>
</calcChain>
</file>

<file path=xl/sharedStrings.xml><?xml version="1.0" encoding="utf-8"?>
<sst xmlns="http://schemas.openxmlformats.org/spreadsheetml/2006/main" count="522" uniqueCount="77">
  <si>
    <t>Dati originali</t>
  </si>
  <si>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</si>
  <si>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</si>
  <si>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</si>
  <si>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</si>
  <si>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</si>
  <si>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</si>
  <si>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</si>
  <si>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</si>
  <si>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</si>
  <si>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</si>
  <si>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</si>
  <si>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</si>
  <si>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</si>
  <si>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</si>
  <si>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</si>
  <si>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</si>
  <si>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</si>
  <si>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</si>
  <si>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</si>
  <si>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</si>
  <si>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</si>
  <si>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</si>
  <si>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</si>
  <si>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</si>
  <si>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</si>
  <si>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</si>
  <si>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</si>
  <si>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</si>
  <si>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</si>
  <si>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</si>
  <si>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</si>
  <si>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</si>
  <si>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</si>
  <si>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</si>
  <si>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</si>
  <si>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</si>
  <si>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</si>
  <si>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</si>
  <si>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</si>
  <si>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</si>
  <si>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</si>
  <si>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</si>
  <si>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tau=10%</t>
  </si>
  <si>
    <t>eps=10^-6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</si>
  <si>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</si>
  <si>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</si>
  <si>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</si>
  <si>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</si>
  <si>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</si>
  <si>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</si>
  <si>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</si>
  <si>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</si>
  <si>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</si>
  <si>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</si>
  <si>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DIFF Without retest</t>
  </si>
  <si>
    <t>ERR_0</t>
  </si>
  <si>
    <t>ERR_1</t>
  </si>
  <si>
    <t>ERR_2</t>
  </si>
  <si>
    <t>IMB</t>
  </si>
  <si>
    <t>g=0.0063</t>
  </si>
  <si>
    <t>g=0.00078</t>
  </si>
  <si>
    <t>g=0.0125</t>
  </si>
  <si>
    <t>g=0.0003</t>
  </si>
  <si>
    <t>n = 11 -&gt; 1.1 -&gt; 2</t>
  </si>
  <si>
    <t>n = 11 -&gt; 2.2 -&gt; 3</t>
  </si>
  <si>
    <t>MIT</t>
  </si>
  <si>
    <t xml:space="preserve">c1 </t>
  </si>
  <si>
    <t>STDAUG</t>
  </si>
  <si>
    <t>PARBS</t>
  </si>
  <si>
    <t>ONLYMIN</t>
  </si>
  <si>
    <t>ERRO0</t>
  </si>
  <si>
    <t>ep=0.001</t>
  </si>
  <si>
    <t>ep=0.01</t>
  </si>
  <si>
    <t>ep=0.1</t>
  </si>
  <si>
    <t>EER0_STD</t>
  </si>
  <si>
    <t>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</si>
</sst>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topLeftCell="S6" workbookViewId="0">
      <selection activeCell="V18" sqref="V18"/>
    </sheetView>
  </sheetViews>
  <sheetFormatPr defaultRowHeight="14.4" x14ac:dyDescent="0.3"/>
  <cols>
    <col min="1" max="1" width="9.88671875" customWidth="1"/>
  </cols>
  <sheetData>
    <row r="1" spans="1:27" x14ac:dyDescent="0.3">
      <c r="A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17</v>
      </c>
      <c r="O1" t="s">
        <v>19</v>
      </c>
      <c r="P1" t="s">
        <v>20</v>
      </c>
    </row>
    <row r="2" spans="1:27" x14ac:dyDescent="0.3">
      <c r="B2" t="s">
        <v>3</v>
      </c>
    </row>
    <row r="3" spans="1:27" x14ac:dyDescent="0.3">
      <c r="C3" t="s">
        <v>4</v>
      </c>
      <c r="G3">
        <v>36</v>
      </c>
      <c r="H3">
        <v>4.0926763859362252</v>
      </c>
      <c r="I3">
        <v>37.333333333333336</v>
      </c>
      <c r="J3">
        <v>2.0816659994661326</v>
      </c>
      <c r="K3">
        <v>13.833333333333334</v>
      </c>
      <c r="L3">
        <v>2.0207259421636854</v>
      </c>
      <c r="M3">
        <v>29.055555555555554</v>
      </c>
      <c r="N3">
        <v>1.4938144066387506</v>
      </c>
      <c r="O3">
        <v>15.222222222222221</v>
      </c>
      <c r="P3">
        <v>0.53575837561071948</v>
      </c>
      <c r="R3" t="s">
        <v>76</v>
      </c>
    </row>
    <row r="4" spans="1:27" x14ac:dyDescent="0.3">
      <c r="C4" t="s">
        <v>2</v>
      </c>
      <c r="F4" t="s">
        <v>21</v>
      </c>
      <c r="G4">
        <v>28.5</v>
      </c>
      <c r="H4">
        <v>4.5825756949558398</v>
      </c>
      <c r="I4">
        <v>29.5</v>
      </c>
      <c r="J4">
        <v>3.5</v>
      </c>
      <c r="K4">
        <v>10.166666666666666</v>
      </c>
      <c r="L4">
        <v>1.4433756729740677</v>
      </c>
      <c r="M4">
        <v>22.722222222222225</v>
      </c>
      <c r="N4">
        <v>2.3412563895228313</v>
      </c>
      <c r="O4">
        <v>12.555555555555557</v>
      </c>
      <c r="P4">
        <v>1.4174834246858978</v>
      </c>
      <c r="R4">
        <v>29.5</v>
      </c>
      <c r="S4">
        <v>4.9497474683058327</v>
      </c>
      <c r="T4">
        <v>28.25</v>
      </c>
      <c r="U4">
        <v>6.0104076400856536</v>
      </c>
      <c r="V4">
        <v>9.25</v>
      </c>
      <c r="W4">
        <v>5.3033008588991066</v>
      </c>
      <c r="X4">
        <v>22.333333333333336</v>
      </c>
      <c r="Y4">
        <v>5.4211519890968356</v>
      </c>
      <c r="Z4">
        <v>13.083333333333334</v>
      </c>
      <c r="AA4">
        <v>0.11785113019775875</v>
      </c>
    </row>
    <row r="5" spans="1:27" x14ac:dyDescent="0.3">
      <c r="C5" t="s">
        <v>48</v>
      </c>
    </row>
    <row r="6" spans="1:27" x14ac:dyDescent="0.3">
      <c r="D6" t="s">
        <v>53</v>
      </c>
    </row>
    <row r="7" spans="1:27" x14ac:dyDescent="0.3">
      <c r="E7" t="s">
        <v>43</v>
      </c>
      <c r="F7" t="s">
        <v>47</v>
      </c>
      <c r="G7">
        <v>27</v>
      </c>
      <c r="H7">
        <v>6.3639610306789276</v>
      </c>
      <c r="I7">
        <v>23</v>
      </c>
      <c r="J7">
        <v>6.3639610306789276</v>
      </c>
      <c r="K7">
        <v>11</v>
      </c>
      <c r="L7">
        <v>2.1213203435596424</v>
      </c>
      <c r="M7">
        <v>20.333333333333332</v>
      </c>
      <c r="N7">
        <v>4.9497474683058327</v>
      </c>
      <c r="O7">
        <v>9.3333333333333321</v>
      </c>
      <c r="P7">
        <v>2.8284271247461903</v>
      </c>
    </row>
    <row r="8" spans="1:27" x14ac:dyDescent="0.3">
      <c r="D8" t="s">
        <v>54</v>
      </c>
    </row>
    <row r="9" spans="1:27" x14ac:dyDescent="0.3">
      <c r="E9" t="s">
        <v>43</v>
      </c>
      <c r="F9" t="s">
        <v>44</v>
      </c>
      <c r="G9">
        <v>34.5</v>
      </c>
      <c r="H9">
        <v>0.70710678118654757</v>
      </c>
      <c r="I9">
        <v>31.25</v>
      </c>
      <c r="J9">
        <v>1.0606601717798212</v>
      </c>
      <c r="K9">
        <v>11</v>
      </c>
      <c r="L9">
        <v>2.1213203435596424</v>
      </c>
      <c r="M9">
        <v>25.583333333333336</v>
      </c>
      <c r="N9">
        <v>0.8249579113843063</v>
      </c>
      <c r="O9">
        <v>14.583333333333334</v>
      </c>
      <c r="P9">
        <v>1.2963624321753362</v>
      </c>
    </row>
    <row r="10" spans="1:27" x14ac:dyDescent="0.3">
      <c r="C10" t="s">
        <v>52</v>
      </c>
      <c r="G10">
        <v>27.75</v>
      </c>
      <c r="H10">
        <v>3.5237290853109955</v>
      </c>
      <c r="I10">
        <v>28.25</v>
      </c>
      <c r="J10">
        <v>2.7233557730613653</v>
      </c>
      <c r="K10">
        <v>11.5</v>
      </c>
      <c r="L10">
        <v>2.70801280154532</v>
      </c>
      <c r="M10">
        <v>22.5</v>
      </c>
      <c r="N10">
        <v>2.918650119236383</v>
      </c>
      <c r="O10">
        <v>11</v>
      </c>
      <c r="P10">
        <v>0.72008229982309568</v>
      </c>
    </row>
    <row r="11" spans="1:27" x14ac:dyDescent="0.3">
      <c r="C11" t="s">
        <v>76</v>
      </c>
      <c r="G11">
        <v>27</v>
      </c>
      <c r="H11">
        <v>2.6770630673681683</v>
      </c>
      <c r="I11">
        <v>24.25</v>
      </c>
      <c r="J11">
        <v>1.1902380714238083</v>
      </c>
      <c r="K11">
        <v>8.625</v>
      </c>
      <c r="L11">
        <v>1.7888543819998326</v>
      </c>
      <c r="M11">
        <v>19.958333333333332</v>
      </c>
      <c r="N11">
        <v>0.55067298893330685</v>
      </c>
      <c r="O11">
        <v>11.333333333333332</v>
      </c>
      <c r="P11">
        <v>1.9340994650588066</v>
      </c>
    </row>
    <row r="12" spans="1:27" x14ac:dyDescent="0.3">
      <c r="C12" t="s">
        <v>52</v>
      </c>
    </row>
    <row r="13" spans="1:27" x14ac:dyDescent="0.3">
      <c r="D13" t="s">
        <v>70</v>
      </c>
      <c r="E13" t="s">
        <v>76</v>
      </c>
      <c r="G13">
        <v>30.666666666666668</v>
      </c>
      <c r="H13">
        <v>1.0408329997330663</v>
      </c>
      <c r="I13">
        <v>30</v>
      </c>
      <c r="J13">
        <v>4.7696960070847281</v>
      </c>
      <c r="K13">
        <v>8.6666666666666661</v>
      </c>
      <c r="L13">
        <v>1.8929694486000899</v>
      </c>
      <c r="M13">
        <v>23.111111111111111</v>
      </c>
      <c r="N13">
        <v>1.9883922409081429</v>
      </c>
      <c r="O13">
        <v>14.444444444444443</v>
      </c>
      <c r="P13">
        <v>0.5091750772173157</v>
      </c>
    </row>
    <row r="15" spans="1:27" x14ac:dyDescent="0.3">
      <c r="B15" t="s">
        <v>59</v>
      </c>
    </row>
    <row r="16" spans="1:27" x14ac:dyDescent="0.3">
      <c r="C16" t="s">
        <v>4</v>
      </c>
      <c r="G16">
        <v>31.8</v>
      </c>
      <c r="H16">
        <v>3.4496376621320741</v>
      </c>
      <c r="I16">
        <v>30.25</v>
      </c>
      <c r="J16">
        <v>3.2850672240711707</v>
      </c>
      <c r="K16">
        <v>12.25</v>
      </c>
      <c r="L16">
        <v>1.7677669529663689</v>
      </c>
      <c r="M16">
        <v>24.766666666666666</v>
      </c>
      <c r="N16">
        <v>1.4890547171334187</v>
      </c>
      <c r="O16">
        <v>12.516666666666666</v>
      </c>
      <c r="P16">
        <v>1.8026900338174325</v>
      </c>
    </row>
    <row r="17" spans="1:27" x14ac:dyDescent="0.3">
      <c r="C17" t="s">
        <v>2</v>
      </c>
      <c r="F17" t="s">
        <v>21</v>
      </c>
      <c r="G17">
        <v>29.5625</v>
      </c>
      <c r="H17">
        <v>4.8361547594284922</v>
      </c>
      <c r="I17">
        <v>26</v>
      </c>
      <c r="J17">
        <v>4.5747755604588329</v>
      </c>
      <c r="K17">
        <v>11.1875</v>
      </c>
      <c r="L17">
        <v>2.2509918448795601</v>
      </c>
      <c r="M17">
        <v>22.25</v>
      </c>
      <c r="N17">
        <v>2.8702082220799161</v>
      </c>
      <c r="O17">
        <v>11.062499999999998</v>
      </c>
      <c r="P17">
        <v>3.1896876246518548</v>
      </c>
    </row>
    <row r="18" spans="1:27" x14ac:dyDescent="0.3">
      <c r="A18" t="s">
        <v>66</v>
      </c>
    </row>
    <row r="19" spans="1:27" x14ac:dyDescent="0.3">
      <c r="B19" t="s">
        <v>3</v>
      </c>
    </row>
    <row r="20" spans="1:27" x14ac:dyDescent="0.3">
      <c r="C20" t="s">
        <v>4</v>
      </c>
      <c r="G20">
        <v>36.642857142857146</v>
      </c>
      <c r="H20">
        <v>4.9135381491199581</v>
      </c>
      <c r="I20">
        <v>32.5</v>
      </c>
      <c r="J20">
        <v>4.9413223601245315</v>
      </c>
      <c r="K20">
        <v>11</v>
      </c>
      <c r="L20">
        <v>1.9148542155126762</v>
      </c>
      <c r="M20">
        <v>26.714285714285712</v>
      </c>
      <c r="N20">
        <v>3.0470299529856346</v>
      </c>
      <c r="O20">
        <v>15.714285714285714</v>
      </c>
      <c r="P20">
        <v>3.5207247329921398</v>
      </c>
    </row>
    <row r="21" spans="1:27" x14ac:dyDescent="0.3">
      <c r="C21" t="s">
        <v>68</v>
      </c>
      <c r="F21" t="s">
        <v>21</v>
      </c>
      <c r="G21">
        <v>27.25</v>
      </c>
      <c r="H21">
        <v>4.6124830622995248</v>
      </c>
      <c r="I21">
        <v>27.833333333333332</v>
      </c>
      <c r="J21">
        <v>2.9944392908634274</v>
      </c>
      <c r="K21">
        <v>10.416666666666666</v>
      </c>
      <c r="L21">
        <v>2.8533605917701106</v>
      </c>
      <c r="M21">
        <v>21.833333333333332</v>
      </c>
      <c r="N21">
        <v>2.3452078799117149</v>
      </c>
      <c r="O21">
        <v>11.416666666666664</v>
      </c>
      <c r="P21">
        <v>3.2158461820595017</v>
      </c>
      <c r="Q21" t="s">
        <v>76</v>
      </c>
      <c r="R21">
        <v>27.25</v>
      </c>
      <c r="S21">
        <v>2.4748737341529163</v>
      </c>
      <c r="T21">
        <v>25.75</v>
      </c>
      <c r="U21">
        <v>0.35355339059327379</v>
      </c>
      <c r="V21">
        <v>9</v>
      </c>
      <c r="W21">
        <v>0.70710678118654757</v>
      </c>
      <c r="X21">
        <v>20.6666666666667</v>
      </c>
      <c r="Y21">
        <v>0.70710678118654757</v>
      </c>
      <c r="Z21">
        <v>11.666666666666668</v>
      </c>
      <c r="AA21">
        <v>1.4142135623730951</v>
      </c>
    </row>
    <row r="22" spans="1:27" x14ac:dyDescent="0.3">
      <c r="C22" t="s">
        <v>52</v>
      </c>
    </row>
    <row r="23" spans="1:27" x14ac:dyDescent="0.3">
      <c r="D23" t="s">
        <v>68</v>
      </c>
      <c r="F23" t="s">
        <v>22</v>
      </c>
      <c r="G23">
        <v>25.666666666666668</v>
      </c>
      <c r="H23">
        <v>2.9297326385411577</v>
      </c>
      <c r="I23">
        <v>27.333333333333332</v>
      </c>
      <c r="J23">
        <v>5.3463383107818059</v>
      </c>
      <c r="K23">
        <v>10.666666666666666</v>
      </c>
      <c r="L23">
        <v>0.57735026918962573</v>
      </c>
      <c r="M23">
        <v>21.222222222222218</v>
      </c>
      <c r="N23">
        <v>1.1706281947614148</v>
      </c>
      <c r="O23">
        <v>10.555555555555555</v>
      </c>
      <c r="P23">
        <v>1.677740985615729</v>
      </c>
    </row>
    <row r="24" spans="1:27" x14ac:dyDescent="0.3">
      <c r="F24" t="s">
        <v>76</v>
      </c>
      <c r="G24">
        <v>27.416666666666668</v>
      </c>
      <c r="H24">
        <v>2.083666640004266</v>
      </c>
      <c r="I24">
        <v>28.583333333333332</v>
      </c>
      <c r="J24">
        <v>3.292668623877387</v>
      </c>
      <c r="K24">
        <v>8.5</v>
      </c>
      <c r="L24">
        <v>1.8973665961010275</v>
      </c>
      <c r="M24">
        <v>21.500000000000004</v>
      </c>
      <c r="N24">
        <v>1.2560962454277844</v>
      </c>
      <c r="O24">
        <v>13</v>
      </c>
      <c r="P24">
        <v>2.0357908646136602</v>
      </c>
    </row>
    <row r="25" spans="1:27" x14ac:dyDescent="0.3">
      <c r="D25" t="s">
        <v>70</v>
      </c>
    </row>
    <row r="26" spans="1:27" x14ac:dyDescent="0.3">
      <c r="E26" t="s">
        <v>68</v>
      </c>
      <c r="G26">
        <v>31.875</v>
      </c>
      <c r="H26">
        <v>2.2867371223353739</v>
      </c>
      <c r="I26">
        <v>27.5</v>
      </c>
      <c r="J26">
        <v>3.5590260840104371</v>
      </c>
      <c r="K26">
        <v>8.125</v>
      </c>
      <c r="L26">
        <v>2.056493779875511</v>
      </c>
      <c r="M26">
        <v>22.5</v>
      </c>
      <c r="N26">
        <v>1.3402597868683137</v>
      </c>
      <c r="O26">
        <v>14.375</v>
      </c>
      <c r="P26">
        <v>2.532657073480697</v>
      </c>
    </row>
    <row r="27" spans="1:27" x14ac:dyDescent="0.3">
      <c r="G27">
        <v>29.625</v>
      </c>
      <c r="H27">
        <v>2.6259918760981216</v>
      </c>
      <c r="I27">
        <v>27.375</v>
      </c>
      <c r="J27">
        <v>5.0559371040391712</v>
      </c>
      <c r="K27">
        <v>11</v>
      </c>
      <c r="L27">
        <v>0.40824829046386302</v>
      </c>
      <c r="M27">
        <v>22.666666666666668</v>
      </c>
      <c r="N27">
        <v>2.1125725935368393</v>
      </c>
      <c r="O27">
        <v>11.666666666666668</v>
      </c>
      <c r="P27">
        <v>2.4645636680909782</v>
      </c>
    </row>
    <row r="29" spans="1:27" x14ac:dyDescent="0.3">
      <c r="B29" t="s">
        <v>69</v>
      </c>
    </row>
    <row r="30" spans="1:27" x14ac:dyDescent="0.3">
      <c r="C30" t="s">
        <v>4</v>
      </c>
      <c r="G30">
        <v>23.833333333333332</v>
      </c>
      <c r="H30">
        <v>3.6968455021364766</v>
      </c>
      <c r="I30">
        <v>22</v>
      </c>
      <c r="J30">
        <v>3.03315017762062</v>
      </c>
      <c r="K30">
        <v>8.5833333333333339</v>
      </c>
      <c r="L30">
        <v>1.9853631070075477</v>
      </c>
      <c r="M30">
        <v>18.138888888888889</v>
      </c>
      <c r="N30">
        <v>2.2959303770576787</v>
      </c>
      <c r="O30">
        <v>9.5555555555555554</v>
      </c>
      <c r="P30">
        <v>1.9254629073050034</v>
      </c>
    </row>
    <row r="31" spans="1:27" x14ac:dyDescent="0.3">
      <c r="C31" t="s">
        <v>68</v>
      </c>
      <c r="F31" t="s">
        <v>21</v>
      </c>
      <c r="G31">
        <v>18.666666666666668</v>
      </c>
      <c r="H31">
        <v>5.9651767227244301</v>
      </c>
      <c r="I31">
        <v>19.333333333333332</v>
      </c>
      <c r="J31">
        <v>3.6855573979160021</v>
      </c>
      <c r="K31">
        <v>10.5</v>
      </c>
      <c r="L31">
        <v>0.5</v>
      </c>
      <c r="M31">
        <v>16.166666666666668</v>
      </c>
      <c r="N31">
        <v>3.3706247360261101</v>
      </c>
      <c r="O31">
        <v>5.666666666666667</v>
      </c>
      <c r="P31">
        <v>2.9059326290271166</v>
      </c>
    </row>
    <row r="32" spans="1:27" x14ac:dyDescent="0.3">
      <c r="C32" t="s">
        <v>52</v>
      </c>
    </row>
    <row r="33" spans="4:16" x14ac:dyDescent="0.3">
      <c r="F33" t="s">
        <v>76</v>
      </c>
      <c r="G33">
        <v>23.5</v>
      </c>
      <c r="H33">
        <v>5.634713834792322</v>
      </c>
      <c r="I33">
        <v>22.5</v>
      </c>
      <c r="J33">
        <v>5.4083269131959844</v>
      </c>
      <c r="K33">
        <v>7</v>
      </c>
      <c r="L33">
        <v>2.2912878474779199</v>
      </c>
      <c r="M33">
        <v>17.666666666666668</v>
      </c>
      <c r="N33">
        <v>4.3429380735984644</v>
      </c>
      <c r="O33">
        <v>10.666666666666666</v>
      </c>
      <c r="P33">
        <v>2.4209731743889984</v>
      </c>
    </row>
    <row r="34" spans="4:16" x14ac:dyDescent="0.3">
      <c r="D34" t="s">
        <v>70</v>
      </c>
    </row>
    <row r="35" spans="4:16" x14ac:dyDescent="0.3">
      <c r="E35" t="s">
        <v>68</v>
      </c>
      <c r="G35">
        <v>21.5</v>
      </c>
      <c r="H35">
        <v>4.5</v>
      </c>
      <c r="I35">
        <v>22.666666666666668</v>
      </c>
      <c r="J35">
        <v>3.8188130791298716</v>
      </c>
      <c r="K35">
        <v>10.666666666666666</v>
      </c>
      <c r="L35">
        <v>0.28867513459481292</v>
      </c>
      <c r="M35">
        <v>18.277777777777775</v>
      </c>
      <c r="N35">
        <v>2.3589859717291444</v>
      </c>
      <c r="O35">
        <v>7.6111111111111107</v>
      </c>
      <c r="P35">
        <v>2.0705161281760218</v>
      </c>
    </row>
    <row r="36" spans="4:16" x14ac:dyDescent="0.3">
      <c r="F36" t="s">
        <v>76</v>
      </c>
      <c r="G36">
        <v>22.666666666666668</v>
      </c>
      <c r="H36">
        <v>3.7859388972001873</v>
      </c>
      <c r="I36">
        <v>20.833333333333332</v>
      </c>
      <c r="J36">
        <v>4.2524502740576953</v>
      </c>
      <c r="K36">
        <v>11.166666666666666</v>
      </c>
      <c r="L36">
        <v>1.0408329997330665</v>
      </c>
      <c r="M36">
        <v>18.222222222222225</v>
      </c>
      <c r="N36">
        <v>2.2750661366047948</v>
      </c>
      <c r="O36">
        <v>7.0555555555555562</v>
      </c>
      <c r="P36">
        <v>3.3096380019125498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F3E4-2BE7-409E-B00B-8F78502D7FC2}">
  <dimension ref="B2:AF6"/>
  <sheetViews>
    <sheetView topLeftCell="K1" workbookViewId="0">
      <selection activeCell="AF4" activeCellId="2" sqref="U4:AB4 AE4 AF4"/>
    </sheetView>
  </sheetViews>
  <sheetFormatPr defaultRowHeight="14.4" x14ac:dyDescent="0.3"/>
  <sheetData>
    <row r="2" spans="2:32" x14ac:dyDescent="0.3"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4" spans="2:32" x14ac:dyDescent="0.3">
      <c r="B4">
        <v>76</v>
      </c>
      <c r="C4">
        <v>24</v>
      </c>
      <c r="D4">
        <v>35</v>
      </c>
      <c r="E4">
        <v>65</v>
      </c>
      <c r="G4">
        <v>73</v>
      </c>
      <c r="H4">
        <v>27</v>
      </c>
      <c r="I4">
        <v>42</v>
      </c>
      <c r="J4">
        <v>58</v>
      </c>
      <c r="L4">
        <v>94</v>
      </c>
      <c r="M4">
        <v>6</v>
      </c>
      <c r="N4">
        <v>13</v>
      </c>
      <c r="O4">
        <v>87</v>
      </c>
      <c r="Q4">
        <f>AVERAGE(C4,D4)</f>
        <v>29.5</v>
      </c>
      <c r="R4">
        <f>AVERAGE(H4,I4)</f>
        <v>34.5</v>
      </c>
      <c r="S4">
        <f>AVERAGE(M4,N4)</f>
        <v>9.5</v>
      </c>
      <c r="T4">
        <f>AVERAGE(Q4:S4)</f>
        <v>24.5</v>
      </c>
      <c r="U4">
        <f>AVERAGE(Q4:Q7)</f>
        <v>30.666666666666668</v>
      </c>
      <c r="V4">
        <f>_xlfn.STDEV.S(Q4:Q7)</f>
        <v>1.0408329997330663</v>
      </c>
      <c r="W4">
        <f>AVERAGE(R4:R7)</f>
        <v>30</v>
      </c>
      <c r="X4">
        <f>_xlfn.STDEV.S(R4:R7)</f>
        <v>4.7696960070847281</v>
      </c>
      <c r="Y4">
        <f>AVERAGE(S4:S7)</f>
        <v>8.6666666666666661</v>
      </c>
      <c r="Z4">
        <f>_xlfn.STDEV.S(S4:S7)</f>
        <v>1.8929694486000899</v>
      </c>
      <c r="AA4">
        <f>AVERAGE(T4:T7)</f>
        <v>23.111111111111111</v>
      </c>
      <c r="AB4">
        <f>_xlfn.STDEV.S(T4:T7)</f>
        <v>1.9883922409081429</v>
      </c>
      <c r="AC4">
        <f>MIN(Q4:S4)</f>
        <v>9.5</v>
      </c>
      <c r="AD4">
        <f>(T4-AC4)</f>
        <v>15</v>
      </c>
      <c r="AE4">
        <f>AVERAGE(AD4:AD7)</f>
        <v>14.444444444444443</v>
      </c>
      <c r="AF4">
        <f>_xlfn.STDEV.S(AD4:AD7)</f>
        <v>0.5091750772173157</v>
      </c>
    </row>
    <row r="5" spans="2:32" x14ac:dyDescent="0.3">
      <c r="B5">
        <v>76</v>
      </c>
      <c r="C5">
        <v>24</v>
      </c>
      <c r="D5">
        <v>38</v>
      </c>
      <c r="E5">
        <v>62</v>
      </c>
      <c r="G5">
        <v>92</v>
      </c>
      <c r="H5">
        <v>8</v>
      </c>
      <c r="I5">
        <v>42</v>
      </c>
      <c r="J5">
        <v>58</v>
      </c>
      <c r="L5">
        <v>95</v>
      </c>
      <c r="M5">
        <v>5</v>
      </c>
      <c r="N5">
        <v>8</v>
      </c>
      <c r="O5">
        <v>92</v>
      </c>
      <c r="Q5">
        <f t="shared" ref="Q5:Q6" si="0">AVERAGE(C5,D5)</f>
        <v>31</v>
      </c>
      <c r="R5">
        <f t="shared" ref="R5:R6" si="1">AVERAGE(H5,I5)</f>
        <v>25</v>
      </c>
      <c r="S5">
        <f t="shared" ref="S5:S6" si="2">AVERAGE(M5,N5)</f>
        <v>6.5</v>
      </c>
      <c r="T5">
        <f t="shared" ref="T5:T6" si="3">AVERAGE(Q5:S5)</f>
        <v>20.833333333333332</v>
      </c>
      <c r="AC5">
        <f t="shared" ref="AC5:AC6" si="4">MIN(Q5:S5)</f>
        <v>6.5</v>
      </c>
      <c r="AD5">
        <f t="shared" ref="AD5:AD6" si="5">(T5-AC5)</f>
        <v>14.333333333333332</v>
      </c>
    </row>
    <row r="6" spans="2:32" x14ac:dyDescent="0.3">
      <c r="B6">
        <v>73</v>
      </c>
      <c r="C6">
        <v>27</v>
      </c>
      <c r="D6">
        <v>36</v>
      </c>
      <c r="E6">
        <v>64</v>
      </c>
      <c r="G6">
        <v>86</v>
      </c>
      <c r="H6">
        <v>14</v>
      </c>
      <c r="I6">
        <v>47</v>
      </c>
      <c r="J6">
        <v>53</v>
      </c>
      <c r="L6">
        <v>95</v>
      </c>
      <c r="M6">
        <v>5</v>
      </c>
      <c r="N6">
        <v>15</v>
      </c>
      <c r="O6">
        <v>85</v>
      </c>
      <c r="Q6">
        <f t="shared" si="0"/>
        <v>31.5</v>
      </c>
      <c r="R6">
        <f t="shared" si="1"/>
        <v>30.5</v>
      </c>
      <c r="S6">
        <f t="shared" si="2"/>
        <v>10</v>
      </c>
      <c r="T6">
        <f t="shared" si="3"/>
        <v>24</v>
      </c>
      <c r="AC6">
        <f t="shared" si="4"/>
        <v>10</v>
      </c>
      <c r="AD6">
        <f t="shared" si="5"/>
        <v>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5"/>
  <sheetViews>
    <sheetView topLeftCell="O1" workbookViewId="0">
      <selection activeCell="Q2" sqref="Q2:AF4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75</v>
      </c>
      <c r="C4">
        <v>25</v>
      </c>
      <c r="D4">
        <v>33</v>
      </c>
      <c r="E4">
        <v>67</v>
      </c>
      <c r="G4">
        <v>84</v>
      </c>
      <c r="H4">
        <v>16</v>
      </c>
      <c r="I4">
        <v>33</v>
      </c>
      <c r="J4">
        <v>67</v>
      </c>
      <c r="L4">
        <v>90</v>
      </c>
      <c r="M4">
        <v>10</v>
      </c>
      <c r="N4">
        <v>9</v>
      </c>
      <c r="O4">
        <v>91</v>
      </c>
      <c r="Q4">
        <f>AVERAGE(C4,D4)</f>
        <v>29</v>
      </c>
      <c r="R4">
        <f>AVERAGE(H4,I4)</f>
        <v>24.5</v>
      </c>
      <c r="S4">
        <f>AVERAGE(M4,N4)</f>
        <v>9.5</v>
      </c>
      <c r="T4">
        <f>AVERAGE(Q4:S4)</f>
        <v>21</v>
      </c>
      <c r="U4">
        <f>AVERAGE(Q4:Q7)</f>
        <v>31.875</v>
      </c>
      <c r="V4">
        <f>_xlfn.STDEV.S(Q4:Q7)</f>
        <v>2.2867371223353739</v>
      </c>
      <c r="W4">
        <f>AVERAGE(R4:R7)</f>
        <v>27.5</v>
      </c>
      <c r="X4">
        <f>_xlfn.STDEV.S(R4:R7)</f>
        <v>3.5590260840104371</v>
      </c>
      <c r="Y4">
        <f>AVERAGE(S4:S7)</f>
        <v>8.125</v>
      </c>
      <c r="Z4">
        <f>_xlfn.STDEV.S(S4:S7)</f>
        <v>2.056493779875511</v>
      </c>
      <c r="AA4">
        <f>AVERAGE(T4:T7)</f>
        <v>22.5</v>
      </c>
      <c r="AB4">
        <f>_xlfn.STDEV.S(T4:T7)</f>
        <v>1.3402597868683137</v>
      </c>
      <c r="AC4">
        <f>MIN(Q4:S4)</f>
        <v>9.5</v>
      </c>
      <c r="AD4">
        <f>(T4-AC4)</f>
        <v>11.5</v>
      </c>
      <c r="AE4">
        <f>AVERAGE(AD4:AD7)</f>
        <v>14.375</v>
      </c>
      <c r="AF4">
        <f>_xlfn.STDEV.S(AD4:AD7)</f>
        <v>2.532657073480697</v>
      </c>
    </row>
    <row r="5" spans="1:32" x14ac:dyDescent="0.3">
      <c r="B5">
        <v>75</v>
      </c>
      <c r="C5">
        <v>25</v>
      </c>
      <c r="D5">
        <v>40</v>
      </c>
      <c r="E5">
        <v>60</v>
      </c>
      <c r="G5">
        <v>85</v>
      </c>
      <c r="H5">
        <v>15</v>
      </c>
      <c r="I5">
        <v>36</v>
      </c>
      <c r="J5">
        <v>64</v>
      </c>
      <c r="L5">
        <v>94</v>
      </c>
      <c r="M5">
        <v>6</v>
      </c>
      <c r="N5">
        <v>9</v>
      </c>
      <c r="O5">
        <v>91</v>
      </c>
      <c r="Q5">
        <f t="shared" ref="Q5:Q7" si="0">AVERAGE(C5,D5)</f>
        <v>32.5</v>
      </c>
      <c r="R5">
        <f t="shared" ref="R5:R7" si="1">AVERAGE(H5,I5)</f>
        <v>25.5</v>
      </c>
      <c r="S5">
        <f t="shared" ref="S5:S7" si="2">AVERAGE(M5,N5)</f>
        <v>7.5</v>
      </c>
      <c r="T5">
        <f t="shared" ref="T5:T7" si="3">AVERAGE(Q5:S5)</f>
        <v>21.833333333333332</v>
      </c>
      <c r="AC5">
        <f t="shared" ref="AC5:AC7" si="4">MIN(Q5:S5)</f>
        <v>7.5</v>
      </c>
      <c r="AD5">
        <f t="shared" ref="AD5:AD7" si="5">(T5-AC5)</f>
        <v>14.333333333333332</v>
      </c>
    </row>
    <row r="6" spans="1:32" x14ac:dyDescent="0.3">
      <c r="B6">
        <v>76</v>
      </c>
      <c r="C6">
        <v>24</v>
      </c>
      <c r="D6">
        <v>45</v>
      </c>
      <c r="E6">
        <v>55</v>
      </c>
      <c r="G6">
        <v>88</v>
      </c>
      <c r="H6">
        <v>12</v>
      </c>
      <c r="I6">
        <v>43</v>
      </c>
      <c r="J6">
        <v>57</v>
      </c>
      <c r="L6">
        <v>95</v>
      </c>
      <c r="M6">
        <v>5</v>
      </c>
      <c r="N6">
        <v>15</v>
      </c>
      <c r="O6">
        <v>85</v>
      </c>
      <c r="Q6">
        <f t="shared" si="0"/>
        <v>34.5</v>
      </c>
      <c r="R6">
        <f t="shared" si="1"/>
        <v>27.5</v>
      </c>
      <c r="S6">
        <f t="shared" si="2"/>
        <v>10</v>
      </c>
      <c r="T6">
        <f t="shared" si="3"/>
        <v>24</v>
      </c>
      <c r="AC6">
        <f t="shared" si="4"/>
        <v>10</v>
      </c>
      <c r="AD6">
        <f t="shared" si="5"/>
        <v>14</v>
      </c>
    </row>
    <row r="7" spans="1:32" x14ac:dyDescent="0.3">
      <c r="A7" t="s">
        <v>23</v>
      </c>
      <c r="B7">
        <v>59</v>
      </c>
      <c r="C7">
        <v>41</v>
      </c>
      <c r="D7">
        <v>22</v>
      </c>
      <c r="E7">
        <v>78</v>
      </c>
      <c r="G7">
        <v>65</v>
      </c>
      <c r="H7">
        <v>35</v>
      </c>
      <c r="I7">
        <v>30</v>
      </c>
      <c r="J7">
        <v>70</v>
      </c>
      <c r="L7">
        <v>96</v>
      </c>
      <c r="M7">
        <v>4</v>
      </c>
      <c r="N7">
        <v>7</v>
      </c>
      <c r="O7">
        <v>93</v>
      </c>
      <c r="Q7">
        <f t="shared" si="0"/>
        <v>31.5</v>
      </c>
      <c r="R7">
        <f t="shared" si="1"/>
        <v>32.5</v>
      </c>
      <c r="S7">
        <f t="shared" si="2"/>
        <v>5.5</v>
      </c>
      <c r="T7">
        <f t="shared" si="3"/>
        <v>23.166666666666668</v>
      </c>
      <c r="AC7">
        <f t="shared" si="4"/>
        <v>5.5</v>
      </c>
      <c r="AD7">
        <f t="shared" si="5"/>
        <v>17.666666666666668</v>
      </c>
    </row>
    <row r="11" spans="1:32" x14ac:dyDescent="0.3">
      <c r="A11" t="s">
        <v>76</v>
      </c>
    </row>
    <row r="12" spans="1:32" x14ac:dyDescent="0.3">
      <c r="B12">
        <v>70</v>
      </c>
      <c r="C12">
        <v>30</v>
      </c>
      <c r="D12">
        <v>37</v>
      </c>
      <c r="E12">
        <v>63</v>
      </c>
      <c r="G12">
        <v>76</v>
      </c>
      <c r="H12">
        <v>24</v>
      </c>
      <c r="I12">
        <v>39</v>
      </c>
      <c r="J12">
        <v>61</v>
      </c>
      <c r="L12">
        <v>95</v>
      </c>
      <c r="M12">
        <v>5</v>
      </c>
      <c r="N12">
        <v>16</v>
      </c>
      <c r="O12">
        <v>84</v>
      </c>
      <c r="Q12">
        <f t="shared" ref="Q12:Q15" si="6">AVERAGE(C12,D12)</f>
        <v>33.5</v>
      </c>
      <c r="R12">
        <f t="shared" ref="R12:R15" si="7">AVERAGE(H12,I12)</f>
        <v>31.5</v>
      </c>
      <c r="S12">
        <f t="shared" ref="S12:S15" si="8">AVERAGE(M12,N12)</f>
        <v>10.5</v>
      </c>
      <c r="T12">
        <f t="shared" ref="T12:T15" si="9">AVERAGE(Q12:S12)</f>
        <v>25.166666666666668</v>
      </c>
      <c r="U12">
        <f>AVERAGE(Q12:Q15)</f>
        <v>29.625</v>
      </c>
      <c r="V12">
        <f>_xlfn.STDEV.S(Q12:Q15)</f>
        <v>2.6259918760981216</v>
      </c>
      <c r="W12">
        <f>AVERAGE(R12:R15)</f>
        <v>27.375</v>
      </c>
      <c r="X12">
        <f>_xlfn.STDEV.S(R12:R15)</f>
        <v>5.0559371040391712</v>
      </c>
      <c r="Y12">
        <f>AVERAGE(S12:S15)</f>
        <v>11</v>
      </c>
      <c r="Z12">
        <f>_xlfn.STDEV.S(S12:S15)</f>
        <v>0.40824829046386302</v>
      </c>
      <c r="AA12">
        <f>AVERAGE(T12:T15)</f>
        <v>22.666666666666668</v>
      </c>
      <c r="AB12">
        <f>_xlfn.STDEV.S(T12:T15)</f>
        <v>2.1125725935368393</v>
      </c>
      <c r="AC12">
        <f t="shared" ref="AC12:AC15" si="10">MIN(Q12:S12)</f>
        <v>10.5</v>
      </c>
      <c r="AD12">
        <f t="shared" ref="AD12:AD15" si="11">(T12-AC12)</f>
        <v>14.666666666666668</v>
      </c>
      <c r="AE12">
        <f>AVERAGE(AD12:AD15)</f>
        <v>11.666666666666668</v>
      </c>
      <c r="AF12">
        <f>_xlfn.STDEV.S(AD12:AD15)</f>
        <v>2.4645636680909782</v>
      </c>
    </row>
    <row r="13" spans="1:32" x14ac:dyDescent="0.3">
      <c r="B13">
        <v>71</v>
      </c>
      <c r="C13">
        <v>29</v>
      </c>
      <c r="D13">
        <v>27</v>
      </c>
      <c r="E13">
        <v>73</v>
      </c>
      <c r="G13">
        <v>89</v>
      </c>
      <c r="H13">
        <v>11</v>
      </c>
      <c r="I13">
        <v>35</v>
      </c>
      <c r="J13">
        <v>65</v>
      </c>
      <c r="L13">
        <v>87</v>
      </c>
      <c r="M13">
        <v>13</v>
      </c>
      <c r="N13">
        <v>10</v>
      </c>
      <c r="O13">
        <v>90</v>
      </c>
      <c r="Q13">
        <f t="shared" si="6"/>
        <v>28</v>
      </c>
      <c r="R13">
        <f t="shared" si="7"/>
        <v>23</v>
      </c>
      <c r="S13">
        <f t="shared" si="8"/>
        <v>11.5</v>
      </c>
      <c r="T13">
        <f t="shared" si="9"/>
        <v>20.833333333333332</v>
      </c>
      <c r="AC13">
        <f t="shared" si="10"/>
        <v>11.5</v>
      </c>
      <c r="AD13">
        <f t="shared" si="11"/>
        <v>9.3333333333333321</v>
      </c>
    </row>
    <row r="14" spans="1:32" x14ac:dyDescent="0.3">
      <c r="B14">
        <v>65</v>
      </c>
      <c r="C14">
        <v>35</v>
      </c>
      <c r="D14">
        <v>23</v>
      </c>
      <c r="E14">
        <v>77</v>
      </c>
      <c r="G14">
        <v>85</v>
      </c>
      <c r="H14">
        <v>15</v>
      </c>
      <c r="I14">
        <v>31</v>
      </c>
      <c r="J14">
        <v>69</v>
      </c>
      <c r="L14">
        <v>87</v>
      </c>
      <c r="M14">
        <v>13</v>
      </c>
      <c r="N14">
        <v>9</v>
      </c>
      <c r="O14">
        <v>91</v>
      </c>
      <c r="Q14">
        <f t="shared" si="6"/>
        <v>29</v>
      </c>
      <c r="R14">
        <f t="shared" si="7"/>
        <v>23</v>
      </c>
      <c r="S14">
        <f t="shared" si="8"/>
        <v>11</v>
      </c>
      <c r="T14">
        <f t="shared" si="9"/>
        <v>21</v>
      </c>
      <c r="AC14">
        <f t="shared" si="10"/>
        <v>11</v>
      </c>
      <c r="AD14">
        <f t="shared" si="11"/>
        <v>10</v>
      </c>
    </row>
    <row r="15" spans="1:32" x14ac:dyDescent="0.3">
      <c r="B15">
        <v>68</v>
      </c>
      <c r="C15">
        <v>32</v>
      </c>
      <c r="D15">
        <v>24</v>
      </c>
      <c r="E15">
        <v>76</v>
      </c>
      <c r="G15">
        <v>76</v>
      </c>
      <c r="H15">
        <v>24</v>
      </c>
      <c r="I15">
        <v>40</v>
      </c>
      <c r="J15">
        <v>60</v>
      </c>
      <c r="L15">
        <v>93</v>
      </c>
      <c r="M15">
        <v>7</v>
      </c>
      <c r="N15">
        <v>15</v>
      </c>
      <c r="O15">
        <v>85</v>
      </c>
      <c r="Q15">
        <f t="shared" si="6"/>
        <v>28</v>
      </c>
      <c r="R15">
        <f t="shared" si="7"/>
        <v>32</v>
      </c>
      <c r="S15">
        <f t="shared" si="8"/>
        <v>11</v>
      </c>
      <c r="T15">
        <f t="shared" si="9"/>
        <v>23.666666666666668</v>
      </c>
      <c r="AC15">
        <f t="shared" si="10"/>
        <v>11</v>
      </c>
      <c r="AD15">
        <f t="shared" si="11"/>
        <v>12.666666666666668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6"/>
  <sheetViews>
    <sheetView topLeftCell="N1" workbookViewId="0">
      <selection activeCell="AE4" sqref="AE4:AF4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68</v>
      </c>
      <c r="C4">
        <v>32</v>
      </c>
      <c r="D4">
        <v>28</v>
      </c>
      <c r="E4">
        <v>72</v>
      </c>
      <c r="G4">
        <v>88</v>
      </c>
      <c r="H4">
        <v>12</v>
      </c>
      <c r="I4">
        <v>45</v>
      </c>
      <c r="J4">
        <v>55</v>
      </c>
      <c r="L4">
        <v>93</v>
      </c>
      <c r="M4">
        <v>7</v>
      </c>
      <c r="N4">
        <v>12</v>
      </c>
      <c r="O4">
        <v>88</v>
      </c>
      <c r="Q4">
        <f>AVERAGE(C4,D4)</f>
        <v>30</v>
      </c>
      <c r="R4">
        <f>AVERAGE(H4,I4)</f>
        <v>28.5</v>
      </c>
      <c r="S4">
        <f>AVERAGE(M4,N4)</f>
        <v>9.5</v>
      </c>
      <c r="T4">
        <f>AVERAGE(Q4:S4)</f>
        <v>22.666666666666668</v>
      </c>
      <c r="U4">
        <f>AVERAGE(Q4,Q5:Q6)</f>
        <v>23.5</v>
      </c>
      <c r="V4">
        <f>_xlfn.STDEV.S(Q4,Q5:Q6)</f>
        <v>5.634713834792322</v>
      </c>
      <c r="W4">
        <f>AVERAGE(R4,R5:R6)</f>
        <v>22.5</v>
      </c>
      <c r="X4">
        <f>_xlfn.STDEV.S(R4,R5:R6)</f>
        <v>5.4083269131959844</v>
      </c>
      <c r="Y4">
        <f>AVERAGE(S4,S5:S6)</f>
        <v>7</v>
      </c>
      <c r="Z4">
        <f>_xlfn.STDEV.S(S4,S5:S6)</f>
        <v>2.2912878474779199</v>
      </c>
      <c r="AA4">
        <f>AVERAGE(T4,T5:T6)</f>
        <v>17.666666666666668</v>
      </c>
      <c r="AB4">
        <f>_xlfn.STDEV.S(T4,T5:T6)</f>
        <v>4.3429380735984644</v>
      </c>
      <c r="AC4">
        <f>MIN(Q4:S4)</f>
        <v>9.5</v>
      </c>
      <c r="AD4">
        <f>(T4-AC4)</f>
        <v>13.166666666666668</v>
      </c>
      <c r="AE4">
        <f>AVERAGE(AD4,AD5:AD6)</f>
        <v>10.666666666666666</v>
      </c>
      <c r="AF4">
        <f>_xlfn.STDEV.S(AD4,AD5:AD6)</f>
        <v>2.4209731743889984</v>
      </c>
    </row>
    <row r="5" spans="1:32" x14ac:dyDescent="0.3">
      <c r="B5">
        <v>82</v>
      </c>
      <c r="C5">
        <v>18</v>
      </c>
      <c r="D5">
        <v>22</v>
      </c>
      <c r="E5">
        <v>78</v>
      </c>
      <c r="G5">
        <v>90</v>
      </c>
      <c r="H5">
        <v>10</v>
      </c>
      <c r="I5">
        <v>26</v>
      </c>
      <c r="J5">
        <v>74</v>
      </c>
      <c r="L5">
        <v>97</v>
      </c>
      <c r="M5">
        <v>3</v>
      </c>
      <c r="N5">
        <v>10</v>
      </c>
      <c r="O5">
        <v>90</v>
      </c>
      <c r="Q5">
        <f>AVERAGE(C5,D5)</f>
        <v>20</v>
      </c>
      <c r="R5">
        <f>AVERAGE(H5,I5)</f>
        <v>18</v>
      </c>
      <c r="S5">
        <f>AVERAGE(M5,N5)</f>
        <v>6.5</v>
      </c>
      <c r="T5">
        <f>AVERAGE(Q5:S5)</f>
        <v>14.833333333333334</v>
      </c>
      <c r="AC5">
        <f>MIN(Q5:S5)</f>
        <v>6.5</v>
      </c>
      <c r="AD5">
        <f t="shared" ref="AD5:AD6" si="0">(T5-AC5)</f>
        <v>8.3333333333333339</v>
      </c>
    </row>
    <row r="6" spans="1:32" x14ac:dyDescent="0.3">
      <c r="B6">
        <v>85</v>
      </c>
      <c r="C6">
        <v>15</v>
      </c>
      <c r="D6">
        <v>26</v>
      </c>
      <c r="E6">
        <v>74</v>
      </c>
      <c r="G6">
        <v>94</v>
      </c>
      <c r="H6">
        <v>6</v>
      </c>
      <c r="I6">
        <v>36</v>
      </c>
      <c r="J6">
        <v>64</v>
      </c>
      <c r="L6">
        <v>96</v>
      </c>
      <c r="M6">
        <v>4</v>
      </c>
      <c r="N6">
        <v>6</v>
      </c>
      <c r="O6">
        <v>94</v>
      </c>
      <c r="Q6">
        <f>AVERAGE(C6,D6)</f>
        <v>20.5</v>
      </c>
      <c r="R6">
        <f>AVERAGE(H6,I6)</f>
        <v>21</v>
      </c>
      <c r="S6">
        <f>AVERAGE(M6,N6)</f>
        <v>5</v>
      </c>
      <c r="T6">
        <f>AVERAGE(Q6:S6)</f>
        <v>15.5</v>
      </c>
      <c r="AC6">
        <f>MIN(Q6:S6)</f>
        <v>5</v>
      </c>
      <c r="AD6">
        <f t="shared" si="0"/>
        <v>10.5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4"/>
  <sheetViews>
    <sheetView topLeftCell="L1" workbookViewId="0">
      <selection activeCell="AF12" activeCellId="2" sqref="U12:AB12 AE12 AF12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78</v>
      </c>
      <c r="C4">
        <v>22</v>
      </c>
      <c r="D4">
        <v>30</v>
      </c>
      <c r="E4">
        <v>70</v>
      </c>
      <c r="G4">
        <v>87</v>
      </c>
      <c r="H4">
        <v>13</v>
      </c>
      <c r="I4">
        <v>39</v>
      </c>
      <c r="J4">
        <v>61</v>
      </c>
      <c r="L4">
        <v>93</v>
      </c>
      <c r="M4">
        <v>7</v>
      </c>
      <c r="N4">
        <v>15</v>
      </c>
      <c r="O4">
        <v>85</v>
      </c>
      <c r="Q4">
        <f>AVERAGE(C4:D4)</f>
        <v>26</v>
      </c>
      <c r="R4">
        <f>AVERAGE(H4:I4)</f>
        <v>26</v>
      </c>
      <c r="S4">
        <f>AVERAGE(M4:N4)</f>
        <v>11</v>
      </c>
      <c r="T4">
        <f>AVERAGE(Q4:S4)</f>
        <v>21</v>
      </c>
      <c r="U4">
        <f>AVERAGE(Q4:Q6)</f>
        <v>21.5</v>
      </c>
      <c r="V4">
        <f>_xlfn.STDEV.S(Q4:Q6)</f>
        <v>4.5</v>
      </c>
      <c r="W4">
        <f>AVERAGE(R4:R6)</f>
        <v>22.666666666666668</v>
      </c>
      <c r="X4">
        <f>_xlfn.STDEV.S(R4:R6)</f>
        <v>3.8188130791298716</v>
      </c>
      <c r="Y4">
        <f>AVERAGE(S4:S6)</f>
        <v>10.666666666666666</v>
      </c>
      <c r="Z4">
        <f>_xlfn.STDEV.S(S4:S6)</f>
        <v>0.28867513459481292</v>
      </c>
      <c r="AA4">
        <f>AVERAGE(T4:T6)</f>
        <v>18.277777777777775</v>
      </c>
      <c r="AB4">
        <f>_xlfn.STDEV.S(T4:T6)</f>
        <v>2.3589859717291444</v>
      </c>
      <c r="AC4">
        <f>MIN(Q4:S4)</f>
        <v>11</v>
      </c>
      <c r="AD4">
        <f>T4-AC4</f>
        <v>10</v>
      </c>
      <c r="AE4">
        <f>AVERAGE(AD4:AD6)</f>
        <v>7.6111111111111107</v>
      </c>
      <c r="AF4">
        <f>_xlfn.STDEV.S(AD4:AD6)</f>
        <v>2.0705161281760218</v>
      </c>
    </row>
    <row r="5" spans="1:32" x14ac:dyDescent="0.3">
      <c r="B5">
        <v>79</v>
      </c>
      <c r="C5">
        <v>21</v>
      </c>
      <c r="D5">
        <v>13</v>
      </c>
      <c r="E5">
        <v>87</v>
      </c>
      <c r="G5">
        <v>88</v>
      </c>
      <c r="H5">
        <v>12</v>
      </c>
      <c r="I5">
        <v>35</v>
      </c>
      <c r="J5">
        <v>65</v>
      </c>
      <c r="L5">
        <v>91</v>
      </c>
      <c r="M5">
        <v>9</v>
      </c>
      <c r="N5">
        <v>12</v>
      </c>
      <c r="O5">
        <v>88</v>
      </c>
      <c r="Q5">
        <f t="shared" ref="Q5:Q6" si="0">AVERAGE(C5:D5)</f>
        <v>17</v>
      </c>
      <c r="R5">
        <f t="shared" ref="R5:R6" si="1">AVERAGE(H5:I5)</f>
        <v>23.5</v>
      </c>
      <c r="S5">
        <f t="shared" ref="S5:S6" si="2">AVERAGE(M5:N5)</f>
        <v>10.5</v>
      </c>
      <c r="T5">
        <f t="shared" ref="T5:T6" si="3">AVERAGE(Q5:S5)</f>
        <v>17</v>
      </c>
      <c r="AC5">
        <f t="shared" ref="AC5:AC6" si="4">MIN(Q5:S5)</f>
        <v>10.5</v>
      </c>
      <c r="AD5">
        <f t="shared" ref="AD5:AD6" si="5">T5-AC5</f>
        <v>6.5</v>
      </c>
    </row>
    <row r="6" spans="1:32" x14ac:dyDescent="0.3">
      <c r="B6">
        <v>77</v>
      </c>
      <c r="C6">
        <v>23</v>
      </c>
      <c r="D6">
        <v>20</v>
      </c>
      <c r="E6">
        <v>80</v>
      </c>
      <c r="G6">
        <v>91</v>
      </c>
      <c r="H6">
        <v>9</v>
      </c>
      <c r="I6">
        <v>28</v>
      </c>
      <c r="J6">
        <v>72</v>
      </c>
      <c r="L6">
        <v>94</v>
      </c>
      <c r="M6">
        <v>6</v>
      </c>
      <c r="N6">
        <v>15</v>
      </c>
      <c r="O6">
        <v>85</v>
      </c>
      <c r="Q6">
        <f t="shared" si="0"/>
        <v>21.5</v>
      </c>
      <c r="R6">
        <f t="shared" si="1"/>
        <v>18.5</v>
      </c>
      <c r="S6">
        <f t="shared" si="2"/>
        <v>10.5</v>
      </c>
      <c r="T6">
        <f t="shared" si="3"/>
        <v>16.833333333333332</v>
      </c>
      <c r="AC6">
        <f t="shared" si="4"/>
        <v>10.5</v>
      </c>
      <c r="AD6">
        <f t="shared" si="5"/>
        <v>6.3333333333333321</v>
      </c>
    </row>
    <row r="7" spans="1:32" x14ac:dyDescent="0.3">
      <c r="A7" t="s">
        <v>23</v>
      </c>
    </row>
    <row r="11" spans="1:32" x14ac:dyDescent="0.3">
      <c r="A11" t="s">
        <v>76</v>
      </c>
    </row>
    <row r="12" spans="1:32" x14ac:dyDescent="0.3">
      <c r="B12">
        <v>80</v>
      </c>
      <c r="C12">
        <v>20</v>
      </c>
      <c r="D12">
        <v>20</v>
      </c>
      <c r="E12">
        <v>80</v>
      </c>
      <c r="G12">
        <v>93</v>
      </c>
      <c r="H12">
        <v>7</v>
      </c>
      <c r="I12">
        <v>26</v>
      </c>
      <c r="J12">
        <v>74</v>
      </c>
      <c r="L12">
        <v>91</v>
      </c>
      <c r="M12">
        <v>9</v>
      </c>
      <c r="N12">
        <v>15</v>
      </c>
      <c r="O12">
        <v>85</v>
      </c>
      <c r="Q12">
        <f t="shared" ref="Q12:Q14" si="6">AVERAGE(C12:D12)</f>
        <v>20</v>
      </c>
      <c r="R12">
        <f t="shared" ref="R12:R14" si="7">AVERAGE(H12:I12)</f>
        <v>16.5</v>
      </c>
      <c r="S12">
        <f t="shared" ref="S12:S14" si="8">AVERAGE(M12:N12)</f>
        <v>12</v>
      </c>
      <c r="T12">
        <f t="shared" ref="T12:T14" si="9">AVERAGE(Q12:S12)</f>
        <v>16.166666666666668</v>
      </c>
      <c r="U12">
        <f>AVERAGE(Q12:Q14)</f>
        <v>22.666666666666668</v>
      </c>
      <c r="V12">
        <f>_xlfn.STDEV.S(Q12:Q14)</f>
        <v>3.7859388972001873</v>
      </c>
      <c r="W12">
        <f>AVERAGE(R12:R14)</f>
        <v>20.833333333333332</v>
      </c>
      <c r="X12">
        <f>_xlfn.STDEV.S(R12:R14)</f>
        <v>4.2524502740576953</v>
      </c>
      <c r="Y12">
        <f>AVERAGE(S12:S14)</f>
        <v>11.166666666666666</v>
      </c>
      <c r="Z12">
        <f>_xlfn.STDEV.S(S12:S14)</f>
        <v>1.0408329997330665</v>
      </c>
      <c r="AA12">
        <f>AVERAGE(T12:T14)</f>
        <v>18.222222222222225</v>
      </c>
      <c r="AB12">
        <f>_xlfn.STDEV.S(T12:T14)</f>
        <v>2.2750661366047948</v>
      </c>
      <c r="AC12">
        <f t="shared" ref="AC12:AC14" si="10">MIN(Q12:S12)</f>
        <v>12</v>
      </c>
      <c r="AD12">
        <f t="shared" ref="AD12:AD14" si="11">T12-AC12</f>
        <v>4.1666666666666679</v>
      </c>
      <c r="AE12">
        <f>AVERAGE(AD12:AD14)</f>
        <v>7.0555555555555562</v>
      </c>
      <c r="AF12">
        <f>_xlfn.STDEV.S(AD12:AD14)</f>
        <v>3.3096380019125498</v>
      </c>
    </row>
    <row r="13" spans="1:32" x14ac:dyDescent="0.3">
      <c r="B13">
        <v>78</v>
      </c>
      <c r="C13">
        <v>22</v>
      </c>
      <c r="D13">
        <v>20</v>
      </c>
      <c r="E13">
        <v>80</v>
      </c>
      <c r="G13">
        <v>87</v>
      </c>
      <c r="H13">
        <v>13</v>
      </c>
      <c r="I13">
        <v>29</v>
      </c>
      <c r="J13">
        <v>71</v>
      </c>
      <c r="L13">
        <v>92</v>
      </c>
      <c r="M13">
        <v>8</v>
      </c>
      <c r="N13">
        <v>15</v>
      </c>
      <c r="O13">
        <v>85</v>
      </c>
      <c r="Q13">
        <f t="shared" si="6"/>
        <v>21</v>
      </c>
      <c r="R13">
        <f t="shared" si="7"/>
        <v>21</v>
      </c>
      <c r="S13">
        <f t="shared" si="8"/>
        <v>11.5</v>
      </c>
      <c r="T13">
        <f t="shared" si="9"/>
        <v>17.833333333333332</v>
      </c>
      <c r="AC13">
        <f t="shared" si="10"/>
        <v>11.5</v>
      </c>
      <c r="AD13">
        <f t="shared" si="11"/>
        <v>6.3333333333333321</v>
      </c>
    </row>
    <row r="14" spans="1:32" x14ac:dyDescent="0.3">
      <c r="B14">
        <v>81</v>
      </c>
      <c r="C14">
        <v>19</v>
      </c>
      <c r="D14">
        <v>35</v>
      </c>
      <c r="E14">
        <v>65</v>
      </c>
      <c r="G14">
        <v>86</v>
      </c>
      <c r="H14">
        <v>14</v>
      </c>
      <c r="I14">
        <v>36</v>
      </c>
      <c r="J14">
        <v>64</v>
      </c>
      <c r="L14">
        <v>88</v>
      </c>
      <c r="M14">
        <v>12</v>
      </c>
      <c r="N14">
        <v>8</v>
      </c>
      <c r="O14">
        <v>92</v>
      </c>
      <c r="Q14">
        <f t="shared" si="6"/>
        <v>27</v>
      </c>
      <c r="R14">
        <f t="shared" si="7"/>
        <v>25</v>
      </c>
      <c r="S14">
        <f t="shared" si="8"/>
        <v>10</v>
      </c>
      <c r="T14">
        <f t="shared" si="9"/>
        <v>20.666666666666668</v>
      </c>
      <c r="AC14">
        <f t="shared" si="10"/>
        <v>10</v>
      </c>
      <c r="AD14">
        <f t="shared" si="11"/>
        <v>10.666666666666668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26"/>
  <sheetViews>
    <sheetView topLeftCell="N9" workbookViewId="0">
      <selection activeCell="AF21" activeCellId="2" sqref="U21:AB21 AE21 AF21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67</v>
      </c>
      <c r="C4">
        <v>33</v>
      </c>
      <c r="D4">
        <v>32</v>
      </c>
      <c r="E4">
        <v>68</v>
      </c>
      <c r="G4">
        <v>80</v>
      </c>
      <c r="H4">
        <v>20</v>
      </c>
      <c r="I4">
        <v>34</v>
      </c>
      <c r="J4">
        <v>66</v>
      </c>
      <c r="L4">
        <v>90</v>
      </c>
      <c r="M4">
        <v>10</v>
      </c>
      <c r="N4">
        <v>9</v>
      </c>
      <c r="O4">
        <v>91</v>
      </c>
      <c r="Q4">
        <f>AVERAGE(C4,D4)</f>
        <v>32.5</v>
      </c>
      <c r="R4">
        <f>AVERAGE(H4,I4)</f>
        <v>27</v>
      </c>
      <c r="S4">
        <f>AVERAGE(M4,N4)</f>
        <v>9.5</v>
      </c>
      <c r="T4">
        <f>AVERAGE(Q4:S4)</f>
        <v>23</v>
      </c>
      <c r="U4">
        <f>AVERAGE(Q4:Q10)</f>
        <v>29.714285714285715</v>
      </c>
      <c r="V4">
        <f>_xlfn.STDEV.S(Q4:Q10)</f>
        <v>4.2314018840996335</v>
      </c>
      <c r="W4">
        <f>AVERAGE(R4:R10)</f>
        <v>26.714285714285715</v>
      </c>
      <c r="X4">
        <f>_xlfn.STDEV.S(R4:R10)</f>
        <v>3.6384193323605869</v>
      </c>
      <c r="Y4">
        <f>AVERAGE(S4:S10)</f>
        <v>9.7857142857142865</v>
      </c>
      <c r="Z4">
        <f>_xlfn.STDEV.S(S4:S10)</f>
        <v>2.8263218567769739</v>
      </c>
      <c r="AA4">
        <f>AVERAGE(T4:T10)</f>
        <v>22.071428571428573</v>
      </c>
      <c r="AB4">
        <f>_xlfn.STDEV.S(T4:T10)</f>
        <v>2.5456155896283152</v>
      </c>
      <c r="AC4">
        <f>MIN(Q4:S4)</f>
        <v>9.5</v>
      </c>
      <c r="AD4">
        <f>(T4-AC4)</f>
        <v>13.5</v>
      </c>
      <c r="AE4">
        <f>AVERAGE(AD4:AD10)</f>
        <v>12.285714285714286</v>
      </c>
      <c r="AF4">
        <f>_xlfn.STDEV.S(AD4:AD10)</f>
        <v>3.0164890765932415</v>
      </c>
    </row>
    <row r="5" spans="1:32" x14ac:dyDescent="0.3">
      <c r="B5">
        <v>67</v>
      </c>
      <c r="C5">
        <v>33</v>
      </c>
      <c r="D5">
        <v>19</v>
      </c>
      <c r="E5">
        <v>81</v>
      </c>
      <c r="G5">
        <v>85</v>
      </c>
      <c r="H5">
        <v>15</v>
      </c>
      <c r="I5">
        <v>32</v>
      </c>
      <c r="J5">
        <v>68</v>
      </c>
      <c r="L5">
        <v>87</v>
      </c>
      <c r="M5">
        <v>13</v>
      </c>
      <c r="N5">
        <v>15</v>
      </c>
      <c r="O5">
        <v>85</v>
      </c>
      <c r="Q5">
        <f t="shared" ref="Q5:Q10" si="0">AVERAGE(C5,D5)</f>
        <v>26</v>
      </c>
      <c r="R5">
        <f t="shared" ref="R5:R10" si="1">AVERAGE(H5,I5)</f>
        <v>23.5</v>
      </c>
      <c r="S5">
        <f t="shared" ref="S5:S10" si="2">AVERAGE(M5,N5)</f>
        <v>14</v>
      </c>
      <c r="T5">
        <f t="shared" ref="T5:T10" si="3">AVERAGE(Q5:S5)</f>
        <v>21.166666666666668</v>
      </c>
      <c r="AC5">
        <f t="shared" ref="AC5:AC10" si="4">MIN(Q5:S5)</f>
        <v>14</v>
      </c>
      <c r="AD5">
        <f t="shared" ref="AD5:AD10" si="5">(T5-AC5)</f>
        <v>7.1666666666666679</v>
      </c>
    </row>
    <row r="6" spans="1:32" x14ac:dyDescent="0.3">
      <c r="B6">
        <v>77</v>
      </c>
      <c r="C6">
        <v>23</v>
      </c>
      <c r="D6">
        <v>32</v>
      </c>
      <c r="E6">
        <v>68</v>
      </c>
      <c r="G6">
        <v>81</v>
      </c>
      <c r="H6">
        <v>19</v>
      </c>
      <c r="I6">
        <v>34</v>
      </c>
      <c r="J6">
        <v>66</v>
      </c>
      <c r="L6">
        <v>99</v>
      </c>
      <c r="M6">
        <v>1</v>
      </c>
      <c r="N6">
        <v>20</v>
      </c>
      <c r="O6">
        <v>80</v>
      </c>
      <c r="Q6">
        <f t="shared" si="0"/>
        <v>27.5</v>
      </c>
      <c r="R6">
        <f t="shared" si="1"/>
        <v>26.5</v>
      </c>
      <c r="S6">
        <f t="shared" si="2"/>
        <v>10.5</v>
      </c>
      <c r="T6">
        <f t="shared" si="3"/>
        <v>21.5</v>
      </c>
      <c r="AC6">
        <f t="shared" si="4"/>
        <v>10.5</v>
      </c>
      <c r="AD6">
        <f t="shared" si="5"/>
        <v>11</v>
      </c>
    </row>
    <row r="7" spans="1:32" x14ac:dyDescent="0.3">
      <c r="B7">
        <v>74</v>
      </c>
      <c r="C7">
        <v>26</v>
      </c>
      <c r="D7">
        <v>50</v>
      </c>
      <c r="E7">
        <v>50</v>
      </c>
      <c r="G7">
        <v>80</v>
      </c>
      <c r="H7">
        <v>20</v>
      </c>
      <c r="I7">
        <v>42</v>
      </c>
      <c r="J7">
        <v>58</v>
      </c>
      <c r="L7">
        <v>95</v>
      </c>
      <c r="M7">
        <v>5</v>
      </c>
      <c r="N7">
        <v>14</v>
      </c>
      <c r="O7">
        <v>86</v>
      </c>
      <c r="Q7">
        <f t="shared" si="0"/>
        <v>38</v>
      </c>
      <c r="R7">
        <f t="shared" si="1"/>
        <v>31</v>
      </c>
      <c r="S7">
        <f t="shared" si="2"/>
        <v>9.5</v>
      </c>
      <c r="T7">
        <f t="shared" si="3"/>
        <v>26.166666666666668</v>
      </c>
      <c r="AC7">
        <f t="shared" si="4"/>
        <v>9.5</v>
      </c>
      <c r="AD7">
        <f t="shared" si="5"/>
        <v>16.666666666666668</v>
      </c>
    </row>
    <row r="8" spans="1:32" x14ac:dyDescent="0.3">
      <c r="B8">
        <v>76</v>
      </c>
      <c r="C8">
        <v>24</v>
      </c>
      <c r="D8">
        <v>29</v>
      </c>
      <c r="E8">
        <v>71</v>
      </c>
      <c r="G8">
        <v>85</v>
      </c>
      <c r="H8">
        <v>15</v>
      </c>
      <c r="I8">
        <v>34</v>
      </c>
      <c r="J8">
        <v>66</v>
      </c>
      <c r="L8">
        <v>92</v>
      </c>
      <c r="M8">
        <v>8</v>
      </c>
      <c r="N8">
        <v>11</v>
      </c>
      <c r="O8">
        <v>89</v>
      </c>
      <c r="Q8">
        <f t="shared" si="0"/>
        <v>26.5</v>
      </c>
      <c r="R8">
        <f t="shared" si="1"/>
        <v>24.5</v>
      </c>
      <c r="S8">
        <f t="shared" si="2"/>
        <v>9.5</v>
      </c>
      <c r="T8">
        <f t="shared" si="3"/>
        <v>20.166666666666668</v>
      </c>
      <c r="AC8">
        <f t="shared" si="4"/>
        <v>9.5</v>
      </c>
      <c r="AD8">
        <f t="shared" si="5"/>
        <v>10.666666666666668</v>
      </c>
    </row>
    <row r="9" spans="1:32" x14ac:dyDescent="0.3">
      <c r="B9">
        <v>74</v>
      </c>
      <c r="C9">
        <v>26</v>
      </c>
      <c r="D9">
        <v>31</v>
      </c>
      <c r="E9">
        <v>69</v>
      </c>
      <c r="G9">
        <v>87</v>
      </c>
      <c r="H9">
        <v>13</v>
      </c>
      <c r="I9">
        <v>32</v>
      </c>
      <c r="J9">
        <v>68</v>
      </c>
      <c r="L9">
        <v>95</v>
      </c>
      <c r="M9">
        <v>5</v>
      </c>
      <c r="N9">
        <v>4</v>
      </c>
      <c r="O9">
        <v>96</v>
      </c>
      <c r="Q9">
        <f t="shared" si="0"/>
        <v>28.5</v>
      </c>
      <c r="R9">
        <f t="shared" si="1"/>
        <v>22.5</v>
      </c>
      <c r="S9">
        <f t="shared" si="2"/>
        <v>4.5</v>
      </c>
      <c r="T9">
        <f t="shared" si="3"/>
        <v>18.5</v>
      </c>
      <c r="AC9">
        <f t="shared" si="4"/>
        <v>4.5</v>
      </c>
      <c r="AD9">
        <f t="shared" si="5"/>
        <v>14</v>
      </c>
    </row>
    <row r="10" spans="1:32" x14ac:dyDescent="0.3">
      <c r="B10">
        <v>81</v>
      </c>
      <c r="C10">
        <v>19</v>
      </c>
      <c r="D10">
        <v>39</v>
      </c>
      <c r="E10">
        <v>61</v>
      </c>
      <c r="G10">
        <v>79</v>
      </c>
      <c r="H10">
        <v>21</v>
      </c>
      <c r="I10">
        <v>43</v>
      </c>
      <c r="J10">
        <v>57</v>
      </c>
      <c r="L10">
        <v>95</v>
      </c>
      <c r="M10">
        <v>5</v>
      </c>
      <c r="N10">
        <v>17</v>
      </c>
      <c r="O10">
        <v>83</v>
      </c>
      <c r="Q10">
        <f t="shared" si="0"/>
        <v>29</v>
      </c>
      <c r="R10">
        <f t="shared" si="1"/>
        <v>32</v>
      </c>
      <c r="S10">
        <f t="shared" si="2"/>
        <v>11</v>
      </c>
      <c r="T10">
        <f t="shared" si="3"/>
        <v>24</v>
      </c>
      <c r="AC10">
        <f t="shared" si="4"/>
        <v>11</v>
      </c>
      <c r="AD10">
        <f t="shared" si="5"/>
        <v>13</v>
      </c>
    </row>
    <row r="11" spans="1:32" x14ac:dyDescent="0.3">
      <c r="A11" t="s">
        <v>22</v>
      </c>
    </row>
    <row r="12" spans="1:32" x14ac:dyDescent="0.3">
      <c r="B12">
        <v>70</v>
      </c>
      <c r="C12">
        <v>30</v>
      </c>
      <c r="D12">
        <v>19</v>
      </c>
      <c r="E12">
        <v>81</v>
      </c>
      <c r="G12">
        <v>80</v>
      </c>
      <c r="H12">
        <v>20</v>
      </c>
      <c r="I12">
        <v>29</v>
      </c>
      <c r="J12">
        <v>71</v>
      </c>
      <c r="L12">
        <v>87</v>
      </c>
      <c r="M12">
        <v>13</v>
      </c>
      <c r="N12">
        <v>9</v>
      </c>
      <c r="O12">
        <v>91</v>
      </c>
      <c r="Q12">
        <f t="shared" ref="Q12:Q14" si="6">AVERAGE(C12,D12)</f>
        <v>24.5</v>
      </c>
      <c r="R12">
        <f t="shared" ref="R12:R14" si="7">AVERAGE(H12,I12)</f>
        <v>24.5</v>
      </c>
      <c r="S12">
        <f t="shared" ref="S12:S14" si="8">AVERAGE(M12,N12)</f>
        <v>11</v>
      </c>
      <c r="T12">
        <f t="shared" ref="T12:T14" si="9">AVERAGE(Q12:S12)</f>
        <v>20</v>
      </c>
      <c r="U12">
        <f>AVERAGE(Q12:Q18)</f>
        <v>25.666666666666668</v>
      </c>
      <c r="V12">
        <f>_xlfn.STDEV.S(Q12:Q18)</f>
        <v>2.9297326385411577</v>
      </c>
      <c r="W12">
        <f>AVERAGE(R12:R18)</f>
        <v>27.333333333333332</v>
      </c>
      <c r="X12">
        <f>_xlfn.STDEV.S(R12:R18)</f>
        <v>5.3463383107818059</v>
      </c>
      <c r="Y12">
        <f>AVERAGE(S12:S18)</f>
        <v>10.666666666666666</v>
      </c>
      <c r="Z12">
        <f>_xlfn.STDEV.S(S12:S18)</f>
        <v>0.57735026918962573</v>
      </c>
      <c r="AA12">
        <f>AVERAGE(T12:T18)</f>
        <v>21.222222222222218</v>
      </c>
      <c r="AB12">
        <f>_xlfn.STDEV.S(T12:T18)</f>
        <v>1.1706281947614148</v>
      </c>
      <c r="AC12">
        <f t="shared" ref="AC12:AC14" si="10">MIN(Q12:S12)</f>
        <v>11</v>
      </c>
      <c r="AD12">
        <f t="shared" ref="AD12:AD14" si="11">(T12-AC12)</f>
        <v>9</v>
      </c>
      <c r="AE12">
        <f>AVERAGE(AD12:AD18)</f>
        <v>10.555555555555555</v>
      </c>
      <c r="AF12">
        <f>_xlfn.STDEV.S(AD12:AD18)</f>
        <v>1.677740985615729</v>
      </c>
    </row>
    <row r="13" spans="1:32" x14ac:dyDescent="0.3">
      <c r="B13">
        <v>77</v>
      </c>
      <c r="C13">
        <v>23</v>
      </c>
      <c r="D13">
        <v>24</v>
      </c>
      <c r="E13">
        <v>76</v>
      </c>
      <c r="G13">
        <v>78</v>
      </c>
      <c r="H13">
        <v>22</v>
      </c>
      <c r="I13">
        <v>45</v>
      </c>
      <c r="J13">
        <v>55</v>
      </c>
      <c r="L13">
        <v>93</v>
      </c>
      <c r="M13">
        <v>7</v>
      </c>
      <c r="N13">
        <v>13</v>
      </c>
      <c r="O13">
        <v>87</v>
      </c>
      <c r="Q13">
        <f t="shared" si="6"/>
        <v>23.5</v>
      </c>
      <c r="R13">
        <f t="shared" si="7"/>
        <v>33.5</v>
      </c>
      <c r="S13">
        <f t="shared" si="8"/>
        <v>10</v>
      </c>
      <c r="T13">
        <f t="shared" si="9"/>
        <v>22.333333333333332</v>
      </c>
      <c r="AC13">
        <f t="shared" si="10"/>
        <v>10</v>
      </c>
      <c r="AD13">
        <f t="shared" si="11"/>
        <v>12.333333333333332</v>
      </c>
    </row>
    <row r="14" spans="1:32" x14ac:dyDescent="0.3">
      <c r="B14">
        <v>79</v>
      </c>
      <c r="C14">
        <v>21</v>
      </c>
      <c r="D14">
        <v>37</v>
      </c>
      <c r="E14">
        <v>63</v>
      </c>
      <c r="G14">
        <v>88</v>
      </c>
      <c r="H14">
        <v>12</v>
      </c>
      <c r="I14">
        <v>36</v>
      </c>
      <c r="J14">
        <v>64</v>
      </c>
      <c r="L14">
        <v>92</v>
      </c>
      <c r="M14">
        <v>8</v>
      </c>
      <c r="N14">
        <v>14</v>
      </c>
      <c r="O14">
        <v>86</v>
      </c>
      <c r="Q14">
        <f t="shared" si="6"/>
        <v>29</v>
      </c>
      <c r="R14">
        <f t="shared" si="7"/>
        <v>24</v>
      </c>
      <c r="S14">
        <f t="shared" si="8"/>
        <v>11</v>
      </c>
      <c r="T14">
        <f t="shared" si="9"/>
        <v>21.333333333333332</v>
      </c>
      <c r="AC14">
        <f t="shared" si="10"/>
        <v>11</v>
      </c>
      <c r="AD14">
        <f t="shared" si="11"/>
        <v>10.333333333333332</v>
      </c>
    </row>
    <row r="20" spans="1:32" x14ac:dyDescent="0.3">
      <c r="A20" t="s">
        <v>76</v>
      </c>
    </row>
    <row r="21" spans="1:32" x14ac:dyDescent="0.3">
      <c r="B21">
        <v>78</v>
      </c>
      <c r="C21">
        <v>22</v>
      </c>
      <c r="D21">
        <v>32</v>
      </c>
      <c r="E21">
        <v>68</v>
      </c>
      <c r="G21">
        <v>87</v>
      </c>
      <c r="H21">
        <v>13</v>
      </c>
      <c r="I21">
        <v>49</v>
      </c>
      <c r="J21">
        <v>51</v>
      </c>
      <c r="L21">
        <v>86</v>
      </c>
      <c r="M21">
        <v>14</v>
      </c>
      <c r="N21">
        <v>6</v>
      </c>
      <c r="O21">
        <v>94</v>
      </c>
      <c r="Q21">
        <f t="shared" ref="Q21:Q26" si="12">AVERAGE(C21,D21)</f>
        <v>27</v>
      </c>
      <c r="R21">
        <f t="shared" ref="R21:R26" si="13">AVERAGE(H21,I21)</f>
        <v>31</v>
      </c>
      <c r="S21">
        <f t="shared" ref="S21:S26" si="14">AVERAGE(M21,N21)</f>
        <v>10</v>
      </c>
      <c r="T21">
        <f t="shared" ref="T21:T26" si="15">AVERAGE(Q21:S21)</f>
        <v>22.666666666666668</v>
      </c>
      <c r="U21">
        <f>AVERAGE(Q21:Q27)</f>
        <v>27.416666666666668</v>
      </c>
      <c r="V21">
        <f>_xlfn.STDEV.S(Q21:Q27)</f>
        <v>2.083666640004266</v>
      </c>
      <c r="W21">
        <f>AVERAGE(R21:R27)</f>
        <v>28.583333333333332</v>
      </c>
      <c r="X21">
        <f>_xlfn.STDEV.S(R21:R27)</f>
        <v>3.292668623877387</v>
      </c>
      <c r="Y21">
        <f>AVERAGE(S21:S27)</f>
        <v>8.5</v>
      </c>
      <c r="Z21">
        <f>_xlfn.STDEV.S(S21:S27)</f>
        <v>1.8973665961010275</v>
      </c>
      <c r="AA21">
        <f>AVERAGE(T21:T27)</f>
        <v>21.500000000000004</v>
      </c>
      <c r="AB21">
        <f>_xlfn.STDEV.S(T21:T27)</f>
        <v>1.2560962454277844</v>
      </c>
      <c r="AC21">
        <f t="shared" ref="AC21:AC26" si="16">MIN(Q21:S21)</f>
        <v>10</v>
      </c>
      <c r="AD21">
        <f t="shared" ref="AD21:AD26" si="17">(T21-AC21)</f>
        <v>12.666666666666668</v>
      </c>
      <c r="AE21">
        <f>AVERAGE(AD21:AD27)</f>
        <v>13</v>
      </c>
      <c r="AF21">
        <f>_xlfn.STDEV.S(AD21:AD27)</f>
        <v>2.0357908646136602</v>
      </c>
    </row>
    <row r="22" spans="1:32" x14ac:dyDescent="0.3">
      <c r="B22">
        <v>67</v>
      </c>
      <c r="C22">
        <v>33</v>
      </c>
      <c r="D22">
        <v>28</v>
      </c>
      <c r="E22">
        <v>72</v>
      </c>
      <c r="G22">
        <v>82</v>
      </c>
      <c r="H22">
        <v>18</v>
      </c>
      <c r="I22">
        <v>43</v>
      </c>
      <c r="J22">
        <v>57</v>
      </c>
      <c r="L22">
        <v>93</v>
      </c>
      <c r="M22">
        <v>7</v>
      </c>
      <c r="N22">
        <v>3</v>
      </c>
      <c r="O22">
        <v>97</v>
      </c>
      <c r="Q22">
        <f t="shared" si="12"/>
        <v>30.5</v>
      </c>
      <c r="R22">
        <f t="shared" si="13"/>
        <v>30.5</v>
      </c>
      <c r="S22">
        <f t="shared" si="14"/>
        <v>5</v>
      </c>
      <c r="T22">
        <f t="shared" si="15"/>
        <v>22</v>
      </c>
      <c r="AC22">
        <f t="shared" si="16"/>
        <v>5</v>
      </c>
      <c r="AD22">
        <f t="shared" si="17"/>
        <v>17</v>
      </c>
    </row>
    <row r="23" spans="1:32" x14ac:dyDescent="0.3">
      <c r="B23">
        <v>84</v>
      </c>
      <c r="C23">
        <v>16</v>
      </c>
      <c r="D23">
        <v>36</v>
      </c>
      <c r="E23">
        <v>64</v>
      </c>
      <c r="G23">
        <v>88</v>
      </c>
      <c r="H23">
        <v>12</v>
      </c>
      <c r="I23">
        <v>47</v>
      </c>
      <c r="J23">
        <v>53</v>
      </c>
      <c r="L23">
        <v>96</v>
      </c>
      <c r="M23">
        <v>4</v>
      </c>
      <c r="N23">
        <v>15</v>
      </c>
      <c r="O23">
        <v>85</v>
      </c>
      <c r="Q23">
        <f t="shared" si="12"/>
        <v>26</v>
      </c>
      <c r="R23">
        <f t="shared" si="13"/>
        <v>29.5</v>
      </c>
      <c r="S23">
        <f t="shared" si="14"/>
        <v>9.5</v>
      </c>
      <c r="T23">
        <f t="shared" si="15"/>
        <v>21.666666666666668</v>
      </c>
      <c r="AC23">
        <f t="shared" si="16"/>
        <v>9.5</v>
      </c>
      <c r="AD23">
        <f t="shared" si="17"/>
        <v>12.166666666666668</v>
      </c>
    </row>
    <row r="24" spans="1:32" x14ac:dyDescent="0.3">
      <c r="B24">
        <v>71</v>
      </c>
      <c r="C24">
        <v>29</v>
      </c>
      <c r="D24">
        <v>30</v>
      </c>
      <c r="E24">
        <v>70</v>
      </c>
      <c r="G24">
        <v>86</v>
      </c>
      <c r="H24">
        <v>14</v>
      </c>
      <c r="I24">
        <v>37</v>
      </c>
      <c r="J24">
        <v>63</v>
      </c>
      <c r="L24">
        <v>95</v>
      </c>
      <c r="M24">
        <v>5</v>
      </c>
      <c r="N24">
        <v>12</v>
      </c>
      <c r="O24">
        <v>88</v>
      </c>
      <c r="Q24">
        <f t="shared" si="12"/>
        <v>29.5</v>
      </c>
      <c r="R24">
        <f t="shared" si="13"/>
        <v>25.5</v>
      </c>
      <c r="S24">
        <f t="shared" si="14"/>
        <v>8.5</v>
      </c>
      <c r="T24">
        <f t="shared" si="15"/>
        <v>21.166666666666668</v>
      </c>
      <c r="AC24">
        <f t="shared" si="16"/>
        <v>8.5</v>
      </c>
      <c r="AD24">
        <f t="shared" si="17"/>
        <v>12.666666666666668</v>
      </c>
    </row>
    <row r="25" spans="1:32" x14ac:dyDescent="0.3">
      <c r="B25">
        <v>75</v>
      </c>
      <c r="C25">
        <v>25</v>
      </c>
      <c r="D25">
        <v>27</v>
      </c>
      <c r="E25">
        <v>73</v>
      </c>
      <c r="G25">
        <v>85</v>
      </c>
      <c r="H25">
        <v>15</v>
      </c>
      <c r="I25">
        <v>32</v>
      </c>
      <c r="J25">
        <v>68</v>
      </c>
      <c r="L25">
        <v>92</v>
      </c>
      <c r="M25">
        <v>8</v>
      </c>
      <c r="N25">
        <v>8</v>
      </c>
      <c r="O25">
        <v>92</v>
      </c>
      <c r="Q25">
        <f t="shared" si="12"/>
        <v>26</v>
      </c>
      <c r="R25">
        <f t="shared" si="13"/>
        <v>23.5</v>
      </c>
      <c r="S25">
        <f t="shared" si="14"/>
        <v>8</v>
      </c>
      <c r="T25">
        <f t="shared" si="15"/>
        <v>19.166666666666668</v>
      </c>
      <c r="AC25">
        <f t="shared" si="16"/>
        <v>8</v>
      </c>
      <c r="AD25">
        <f t="shared" si="17"/>
        <v>11.166666666666668</v>
      </c>
    </row>
    <row r="26" spans="1:32" x14ac:dyDescent="0.3">
      <c r="B26">
        <v>72</v>
      </c>
      <c r="C26">
        <v>28</v>
      </c>
      <c r="D26">
        <v>23</v>
      </c>
      <c r="E26">
        <v>77</v>
      </c>
      <c r="G26">
        <v>80</v>
      </c>
      <c r="H26">
        <v>20</v>
      </c>
      <c r="I26">
        <v>43</v>
      </c>
      <c r="J26">
        <v>57</v>
      </c>
      <c r="L26">
        <v>92</v>
      </c>
      <c r="M26">
        <v>8</v>
      </c>
      <c r="N26">
        <v>12</v>
      </c>
      <c r="O26">
        <v>88</v>
      </c>
      <c r="Q26">
        <f t="shared" si="12"/>
        <v>25.5</v>
      </c>
      <c r="R26">
        <f t="shared" si="13"/>
        <v>31.5</v>
      </c>
      <c r="S26">
        <f t="shared" si="14"/>
        <v>10</v>
      </c>
      <c r="T26">
        <f t="shared" si="15"/>
        <v>22.333333333333332</v>
      </c>
      <c r="AC26">
        <f t="shared" si="16"/>
        <v>10</v>
      </c>
      <c r="AD26">
        <f t="shared" si="17"/>
        <v>12.333333333333332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6"/>
  <sheetViews>
    <sheetView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83</v>
      </c>
      <c r="C4">
        <v>17</v>
      </c>
      <c r="D4">
        <v>12</v>
      </c>
      <c r="E4">
        <v>88</v>
      </c>
      <c r="G4">
        <v>92</v>
      </c>
      <c r="H4">
        <v>8</v>
      </c>
      <c r="I4">
        <v>25</v>
      </c>
      <c r="J4">
        <v>75</v>
      </c>
      <c r="L4">
        <v>92</v>
      </c>
      <c r="M4">
        <v>8</v>
      </c>
      <c r="N4">
        <v>12</v>
      </c>
      <c r="O4">
        <v>88</v>
      </c>
      <c r="Q4">
        <f>AVERAGE(C4:D4)</f>
        <v>14.5</v>
      </c>
      <c r="R4">
        <f>AVERAGE(H4:I4)</f>
        <v>16.5</v>
      </c>
      <c r="S4">
        <f>AVERAGE(M4:N4)</f>
        <v>10</v>
      </c>
      <c r="T4">
        <f>AVERAGE(Q4:S4)</f>
        <v>13.666666666666666</v>
      </c>
      <c r="U4">
        <f>AVERAGE(Q4:Q8)</f>
        <v>18.666666666666668</v>
      </c>
      <c r="V4">
        <f>_xlfn.STDEV.S(Q4:Q8)</f>
        <v>5.9651767227244301</v>
      </c>
      <c r="W4">
        <f>AVERAGE(R4:R8)</f>
        <v>19.333333333333332</v>
      </c>
      <c r="X4">
        <f>_xlfn.STDEV.S(R4:R8)</f>
        <v>3.6855573979160021</v>
      </c>
      <c r="Y4">
        <f>AVERAGE(S4:S8)</f>
        <v>10.5</v>
      </c>
      <c r="Z4">
        <f>_xlfn.STDEV.S(S4:S8)</f>
        <v>0.5</v>
      </c>
      <c r="AA4">
        <f>AVERAGE(T4:T8)</f>
        <v>16.166666666666668</v>
      </c>
      <c r="AB4">
        <f>_xlfn.STDEV.S(T4:T8)</f>
        <v>3.3706247360261101</v>
      </c>
      <c r="AC4">
        <f>MIN(Q4:S4)</f>
        <v>10</v>
      </c>
      <c r="AD4">
        <f>T4-AC4</f>
        <v>3.6666666666666661</v>
      </c>
      <c r="AE4">
        <f>AVERAGE(AD4:AD8)</f>
        <v>5.666666666666667</v>
      </c>
      <c r="AF4">
        <f>_xlfn.STDEV.S(AD4:AD8)</f>
        <v>2.9059326290271166</v>
      </c>
    </row>
    <row r="5" spans="1:32" x14ac:dyDescent="0.3">
      <c r="B5">
        <v>86</v>
      </c>
      <c r="C5">
        <v>14</v>
      </c>
      <c r="D5">
        <v>18</v>
      </c>
      <c r="E5">
        <v>82</v>
      </c>
      <c r="G5">
        <v>87</v>
      </c>
      <c r="H5">
        <v>13</v>
      </c>
      <c r="I5">
        <v>23</v>
      </c>
      <c r="J5">
        <v>77</v>
      </c>
      <c r="L5">
        <v>91</v>
      </c>
      <c r="M5">
        <v>9</v>
      </c>
      <c r="N5">
        <v>12</v>
      </c>
      <c r="O5">
        <v>88</v>
      </c>
      <c r="Q5">
        <f t="shared" ref="Q5:Q6" si="0">AVERAGE(C5:D5)</f>
        <v>16</v>
      </c>
      <c r="R5">
        <f t="shared" ref="R5:R6" si="1">AVERAGE(H5:I5)</f>
        <v>18</v>
      </c>
      <c r="S5">
        <f t="shared" ref="S5:S6" si="2">AVERAGE(M5:N5)</f>
        <v>10.5</v>
      </c>
      <c r="T5">
        <f t="shared" ref="T5:T6" si="3">AVERAGE(Q5:S5)</f>
        <v>14.833333333333334</v>
      </c>
      <c r="AC5">
        <f t="shared" ref="AC5:AC6" si="4">MIN(Q5:S5)</f>
        <v>10.5</v>
      </c>
      <c r="AD5">
        <f t="shared" ref="AD5:AD6" si="5">T5-AC5</f>
        <v>4.3333333333333339</v>
      </c>
    </row>
    <row r="6" spans="1:32" x14ac:dyDescent="0.3">
      <c r="A6" t="s">
        <v>23</v>
      </c>
      <c r="B6">
        <v>75</v>
      </c>
      <c r="C6">
        <v>25</v>
      </c>
      <c r="D6">
        <v>26</v>
      </c>
      <c r="E6">
        <v>74</v>
      </c>
      <c r="G6">
        <v>73</v>
      </c>
      <c r="H6">
        <v>27</v>
      </c>
      <c r="I6">
        <v>20</v>
      </c>
      <c r="J6">
        <v>80</v>
      </c>
      <c r="L6">
        <v>88</v>
      </c>
      <c r="M6">
        <v>12</v>
      </c>
      <c r="N6">
        <v>10</v>
      </c>
      <c r="O6">
        <v>90</v>
      </c>
      <c r="Q6">
        <f t="shared" si="0"/>
        <v>25.5</v>
      </c>
      <c r="R6">
        <f t="shared" si="1"/>
        <v>23.5</v>
      </c>
      <c r="S6">
        <f t="shared" si="2"/>
        <v>11</v>
      </c>
      <c r="T6">
        <f t="shared" si="3"/>
        <v>20</v>
      </c>
      <c r="AC6">
        <f t="shared" si="4"/>
        <v>11</v>
      </c>
      <c r="AD6">
        <f t="shared" si="5"/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9"/>
  <sheetViews>
    <sheetView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75</v>
      </c>
      <c r="C4">
        <v>25</v>
      </c>
      <c r="D4">
        <v>9</v>
      </c>
      <c r="E4">
        <v>91</v>
      </c>
      <c r="G4">
        <v>82</v>
      </c>
      <c r="H4">
        <v>18</v>
      </c>
      <c r="I4">
        <v>18</v>
      </c>
      <c r="J4">
        <v>82</v>
      </c>
      <c r="L4">
        <v>88</v>
      </c>
      <c r="M4">
        <v>12</v>
      </c>
      <c r="N4">
        <v>4</v>
      </c>
      <c r="O4">
        <v>96</v>
      </c>
      <c r="Q4">
        <f>AVERAGE(C4,D4)</f>
        <v>17</v>
      </c>
      <c r="R4">
        <f>AVERAGE(H4,I4)</f>
        <v>18</v>
      </c>
      <c r="S4">
        <f>AVERAGE(M4,N4)</f>
        <v>8</v>
      </c>
      <c r="T4">
        <f>AVERAGE(Q4:S4)</f>
        <v>14.333333333333334</v>
      </c>
      <c r="U4">
        <f>AVERAGE(Q4:Q9)</f>
        <v>23.833333333333332</v>
      </c>
      <c r="V4">
        <f>_xlfn.STDEV.S(Q4:Q9)</f>
        <v>3.6968455021364766</v>
      </c>
      <c r="W4">
        <f>AVERAGE(R4:R9)</f>
        <v>22</v>
      </c>
      <c r="X4">
        <f>_xlfn.STDEV.S(R4:R9)</f>
        <v>3.03315017762062</v>
      </c>
      <c r="Y4">
        <f>AVERAGE(S4:S10)</f>
        <v>8.5833333333333339</v>
      </c>
      <c r="Z4">
        <f>_xlfn.STDEV.S(S4:S9)</f>
        <v>1.9853631070075477</v>
      </c>
      <c r="AA4">
        <f>AVERAGE(T4:T9)</f>
        <v>18.138888888888889</v>
      </c>
      <c r="AB4">
        <f>_xlfn.STDEV.S(T4:T9)</f>
        <v>2.2959303770576787</v>
      </c>
      <c r="AC4">
        <f>MIN(Q4:S4)</f>
        <v>8</v>
      </c>
      <c r="AD4">
        <f>T4-AC4</f>
        <v>6.3333333333333339</v>
      </c>
      <c r="AE4">
        <f>AVERAGE(AD4:AD9)</f>
        <v>9.5555555555555554</v>
      </c>
      <c r="AF4">
        <f>_xlfn.STDEV.S(AD4:AD9)</f>
        <v>1.9254629073050034</v>
      </c>
    </row>
    <row r="5" spans="1:32" x14ac:dyDescent="0.3">
      <c r="B5">
        <v>69</v>
      </c>
      <c r="C5">
        <v>31</v>
      </c>
      <c r="D5">
        <v>19</v>
      </c>
      <c r="E5">
        <v>81</v>
      </c>
      <c r="G5">
        <v>81</v>
      </c>
      <c r="H5">
        <v>19</v>
      </c>
      <c r="I5">
        <v>31</v>
      </c>
      <c r="J5">
        <v>69</v>
      </c>
      <c r="L5">
        <v>94</v>
      </c>
      <c r="M5">
        <v>6</v>
      </c>
      <c r="N5">
        <v>11</v>
      </c>
      <c r="O5">
        <v>89</v>
      </c>
      <c r="Q5">
        <f t="shared" ref="Q5:Q9" si="0">AVERAGE(C5,D5)</f>
        <v>25</v>
      </c>
      <c r="R5">
        <f t="shared" ref="R5:R9" si="1">AVERAGE(H5,I5)</f>
        <v>25</v>
      </c>
      <c r="S5">
        <f t="shared" ref="S5:S9" si="2">AVERAGE(M5,N5)</f>
        <v>8.5</v>
      </c>
      <c r="T5">
        <f t="shared" ref="T5:T9" si="3">AVERAGE(Q5:S5)</f>
        <v>19.5</v>
      </c>
      <c r="AC5">
        <f t="shared" ref="AC5:AC9" si="4">MIN(Q5:S5)</f>
        <v>8.5</v>
      </c>
      <c r="AD5">
        <f t="shared" ref="AD5:AD9" si="5">T5-AC5</f>
        <v>11</v>
      </c>
    </row>
    <row r="6" spans="1:32" x14ac:dyDescent="0.3">
      <c r="A6" t="s">
        <v>23</v>
      </c>
      <c r="B6">
        <v>70</v>
      </c>
      <c r="C6">
        <v>30</v>
      </c>
      <c r="D6">
        <v>18</v>
      </c>
      <c r="E6">
        <v>82</v>
      </c>
      <c r="G6">
        <v>76</v>
      </c>
      <c r="H6">
        <v>24</v>
      </c>
      <c r="I6">
        <v>25</v>
      </c>
      <c r="J6">
        <v>75</v>
      </c>
      <c r="L6">
        <v>89</v>
      </c>
      <c r="M6">
        <v>11</v>
      </c>
      <c r="N6">
        <v>8</v>
      </c>
      <c r="O6">
        <v>92</v>
      </c>
      <c r="Q6">
        <f t="shared" si="0"/>
        <v>24</v>
      </c>
      <c r="R6">
        <f t="shared" si="1"/>
        <v>24.5</v>
      </c>
      <c r="S6">
        <f t="shared" si="2"/>
        <v>9.5</v>
      </c>
      <c r="T6">
        <f t="shared" si="3"/>
        <v>19.333333333333332</v>
      </c>
      <c r="AC6">
        <f t="shared" si="4"/>
        <v>9.5</v>
      </c>
      <c r="AD6">
        <f t="shared" si="5"/>
        <v>9.8333333333333321</v>
      </c>
    </row>
    <row r="7" spans="1:32" x14ac:dyDescent="0.3">
      <c r="B7">
        <v>67</v>
      </c>
      <c r="C7">
        <v>33</v>
      </c>
      <c r="D7">
        <v>14</v>
      </c>
      <c r="E7">
        <v>86</v>
      </c>
      <c r="G7">
        <v>82</v>
      </c>
      <c r="H7">
        <v>18</v>
      </c>
      <c r="I7">
        <v>21</v>
      </c>
      <c r="J7">
        <v>79</v>
      </c>
      <c r="L7">
        <v>93</v>
      </c>
      <c r="M7">
        <v>7</v>
      </c>
      <c r="N7">
        <v>7</v>
      </c>
      <c r="O7">
        <v>93</v>
      </c>
      <c r="Q7">
        <f t="shared" si="0"/>
        <v>23.5</v>
      </c>
      <c r="R7">
        <f t="shared" si="1"/>
        <v>19.5</v>
      </c>
      <c r="S7">
        <f t="shared" si="2"/>
        <v>7</v>
      </c>
      <c r="T7">
        <f t="shared" si="3"/>
        <v>16.666666666666668</v>
      </c>
      <c r="AC7">
        <f t="shared" si="4"/>
        <v>7</v>
      </c>
      <c r="AD7">
        <f t="shared" si="5"/>
        <v>9.6666666666666679</v>
      </c>
    </row>
    <row r="8" spans="1:32" x14ac:dyDescent="0.3">
      <c r="B8">
        <v>67</v>
      </c>
      <c r="C8">
        <v>33</v>
      </c>
      <c r="D8">
        <v>18</v>
      </c>
      <c r="E8">
        <v>82</v>
      </c>
      <c r="G8">
        <v>82</v>
      </c>
      <c r="H8">
        <v>18</v>
      </c>
      <c r="I8">
        <v>31</v>
      </c>
      <c r="J8">
        <v>69</v>
      </c>
      <c r="L8">
        <v>88</v>
      </c>
      <c r="M8">
        <v>12</v>
      </c>
      <c r="N8">
        <v>12</v>
      </c>
      <c r="O8">
        <v>88</v>
      </c>
      <c r="Q8">
        <f t="shared" si="0"/>
        <v>25.5</v>
      </c>
      <c r="R8">
        <f t="shared" si="1"/>
        <v>24.5</v>
      </c>
      <c r="S8">
        <f t="shared" si="2"/>
        <v>12</v>
      </c>
      <c r="T8">
        <f t="shared" si="3"/>
        <v>20.666666666666668</v>
      </c>
      <c r="AC8">
        <f t="shared" si="4"/>
        <v>12</v>
      </c>
      <c r="AD8">
        <f t="shared" si="5"/>
        <v>8.6666666666666679</v>
      </c>
    </row>
    <row r="9" spans="1:32" x14ac:dyDescent="0.3">
      <c r="B9">
        <v>77</v>
      </c>
      <c r="C9">
        <v>23</v>
      </c>
      <c r="D9">
        <v>33</v>
      </c>
      <c r="E9">
        <v>67</v>
      </c>
      <c r="G9">
        <v>79</v>
      </c>
      <c r="H9">
        <v>21</v>
      </c>
      <c r="I9">
        <v>20</v>
      </c>
      <c r="J9">
        <v>80</v>
      </c>
      <c r="L9">
        <v>94</v>
      </c>
      <c r="M9">
        <v>6</v>
      </c>
      <c r="N9">
        <v>7</v>
      </c>
      <c r="O9">
        <v>93</v>
      </c>
      <c r="Q9">
        <f t="shared" si="0"/>
        <v>28</v>
      </c>
      <c r="R9">
        <f t="shared" si="1"/>
        <v>20.5</v>
      </c>
      <c r="S9">
        <f t="shared" si="2"/>
        <v>6.5</v>
      </c>
      <c r="T9">
        <f t="shared" si="3"/>
        <v>18.333333333333332</v>
      </c>
      <c r="AC9">
        <f t="shared" si="4"/>
        <v>6.5</v>
      </c>
      <c r="AD9">
        <f t="shared" si="5"/>
        <v>11.833333333333332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4"/>
  <sheetViews>
    <sheetView topLeftCell="L1" workbookViewId="0">
      <selection activeCell="AF13" activeCellId="2" sqref="U13:AB13 AE13 AF13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73</v>
      </c>
      <c r="C4">
        <v>27</v>
      </c>
      <c r="D4">
        <v>28</v>
      </c>
      <c r="E4">
        <v>72</v>
      </c>
      <c r="G4">
        <v>84</v>
      </c>
      <c r="H4">
        <v>16</v>
      </c>
      <c r="I4">
        <v>41</v>
      </c>
      <c r="J4">
        <v>59</v>
      </c>
      <c r="L4">
        <v>87</v>
      </c>
      <c r="M4">
        <v>13</v>
      </c>
      <c r="N4">
        <v>12</v>
      </c>
      <c r="O4">
        <v>88</v>
      </c>
      <c r="Q4">
        <f>AVERAGE(C4,D4)</f>
        <v>27.5</v>
      </c>
      <c r="R4">
        <f>AVERAGE(H4,I4)</f>
        <v>28.5</v>
      </c>
      <c r="S4">
        <f>AVERAGE(M4,N4)</f>
        <v>12.5</v>
      </c>
      <c r="T4">
        <f>AVERAGE(Q4:S4)</f>
        <v>22.833333333333332</v>
      </c>
      <c r="U4">
        <f>AVERAGE(Q4:Q9)</f>
        <v>27.25</v>
      </c>
      <c r="V4">
        <f>_xlfn.STDEV.S(Q4:Q9)</f>
        <v>4.6124830622995248</v>
      </c>
      <c r="W4">
        <f>AVERAGE(R4:R9)</f>
        <v>27.833333333333332</v>
      </c>
      <c r="X4">
        <f>_xlfn.STDEV.S(R4:R9)</f>
        <v>2.9944392908634274</v>
      </c>
      <c r="Y4">
        <f>AVERAGE(S4:S9)</f>
        <v>10.416666666666666</v>
      </c>
      <c r="Z4">
        <f>_xlfn.STDEV.S(S4:S9)</f>
        <v>2.8533605917701106</v>
      </c>
      <c r="AA4">
        <f>AVERAGE(T4:T9)</f>
        <v>21.833333333333332</v>
      </c>
      <c r="AB4">
        <f>_xlfn.STDEV.S(T4:T9)</f>
        <v>2.3452078799117149</v>
      </c>
      <c r="AC4">
        <f>MIN(Q4:S4)</f>
        <v>12.5</v>
      </c>
      <c r="AD4">
        <f>T4-AC4</f>
        <v>10.333333333333332</v>
      </c>
      <c r="AE4">
        <f>AVERAGE(AD4:AD9)</f>
        <v>11.416666666666664</v>
      </c>
      <c r="AF4">
        <f>_xlfn.STDEV.S(AD4:AD9)</f>
        <v>3.2158461820595017</v>
      </c>
    </row>
    <row r="5" spans="1:32" x14ac:dyDescent="0.3">
      <c r="B5">
        <v>67</v>
      </c>
      <c r="C5">
        <v>33</v>
      </c>
      <c r="D5">
        <v>17</v>
      </c>
      <c r="E5">
        <v>83</v>
      </c>
      <c r="G5">
        <v>84</v>
      </c>
      <c r="H5">
        <v>16</v>
      </c>
      <c r="I5">
        <v>35</v>
      </c>
      <c r="J5">
        <v>65</v>
      </c>
      <c r="L5">
        <v>95</v>
      </c>
      <c r="M5">
        <v>5</v>
      </c>
      <c r="N5">
        <v>13</v>
      </c>
      <c r="O5">
        <v>87</v>
      </c>
      <c r="Q5">
        <f t="shared" ref="Q5:Q9" si="0">AVERAGE(C5,D5)</f>
        <v>25</v>
      </c>
      <c r="R5">
        <f t="shared" ref="R5:R9" si="1">AVERAGE(H5,I5)</f>
        <v>25.5</v>
      </c>
      <c r="S5">
        <f t="shared" ref="S5:S9" si="2">AVERAGE(M5,N5)</f>
        <v>9</v>
      </c>
      <c r="T5">
        <f t="shared" ref="T5:T9" si="3">AVERAGE(Q5:S5)</f>
        <v>19.833333333333332</v>
      </c>
      <c r="AC5">
        <f t="shared" ref="AC5:AC9" si="4">MIN(Q5:S5)</f>
        <v>9</v>
      </c>
      <c r="AD5">
        <f t="shared" ref="AD5:AD9" si="5">T5-AC5</f>
        <v>10.833333333333332</v>
      </c>
    </row>
    <row r="6" spans="1:32" x14ac:dyDescent="0.3">
      <c r="A6" t="s">
        <v>23</v>
      </c>
      <c r="B6">
        <v>79</v>
      </c>
      <c r="C6">
        <v>21</v>
      </c>
      <c r="D6">
        <v>18</v>
      </c>
      <c r="E6">
        <v>82</v>
      </c>
      <c r="G6">
        <v>83</v>
      </c>
      <c r="H6">
        <v>17</v>
      </c>
      <c r="I6">
        <v>35</v>
      </c>
      <c r="J6">
        <v>65</v>
      </c>
      <c r="L6">
        <v>90</v>
      </c>
      <c r="M6">
        <v>10</v>
      </c>
      <c r="N6">
        <v>9</v>
      </c>
      <c r="O6">
        <v>91</v>
      </c>
      <c r="Q6">
        <f t="shared" si="0"/>
        <v>19.5</v>
      </c>
      <c r="R6">
        <f t="shared" si="1"/>
        <v>26</v>
      </c>
      <c r="S6">
        <f t="shared" si="2"/>
        <v>9.5</v>
      </c>
      <c r="T6">
        <f t="shared" si="3"/>
        <v>18.333333333333332</v>
      </c>
      <c r="AC6">
        <f t="shared" si="4"/>
        <v>9.5</v>
      </c>
      <c r="AD6">
        <f t="shared" si="5"/>
        <v>8.8333333333333321</v>
      </c>
    </row>
    <row r="7" spans="1:32" x14ac:dyDescent="0.3">
      <c r="B7">
        <v>64</v>
      </c>
      <c r="C7">
        <v>36</v>
      </c>
      <c r="D7">
        <v>28</v>
      </c>
      <c r="E7">
        <v>72</v>
      </c>
      <c r="G7">
        <v>76</v>
      </c>
      <c r="H7">
        <v>24</v>
      </c>
      <c r="I7">
        <v>43</v>
      </c>
      <c r="J7">
        <v>57</v>
      </c>
      <c r="L7">
        <v>97</v>
      </c>
      <c r="M7">
        <v>3</v>
      </c>
      <c r="N7">
        <v>9</v>
      </c>
      <c r="O7">
        <v>91</v>
      </c>
      <c r="Q7">
        <f t="shared" si="0"/>
        <v>32</v>
      </c>
      <c r="R7">
        <f t="shared" si="1"/>
        <v>33.5</v>
      </c>
      <c r="S7">
        <f t="shared" si="2"/>
        <v>6</v>
      </c>
      <c r="T7">
        <f t="shared" si="3"/>
        <v>23.833333333333332</v>
      </c>
      <c r="AC7">
        <f t="shared" si="4"/>
        <v>6</v>
      </c>
      <c r="AD7">
        <f t="shared" si="5"/>
        <v>17.833333333333332</v>
      </c>
    </row>
    <row r="8" spans="1:32" x14ac:dyDescent="0.3">
      <c r="B8">
        <v>67</v>
      </c>
      <c r="C8">
        <v>33</v>
      </c>
      <c r="D8">
        <v>23</v>
      </c>
      <c r="E8">
        <v>77</v>
      </c>
      <c r="G8">
        <v>79</v>
      </c>
      <c r="H8">
        <v>21</v>
      </c>
      <c r="I8">
        <v>31</v>
      </c>
      <c r="J8">
        <v>69</v>
      </c>
      <c r="L8">
        <v>87</v>
      </c>
      <c r="M8">
        <v>13</v>
      </c>
      <c r="N8">
        <v>10</v>
      </c>
      <c r="O8">
        <v>90</v>
      </c>
      <c r="Q8">
        <f t="shared" si="0"/>
        <v>28</v>
      </c>
      <c r="R8">
        <f t="shared" si="1"/>
        <v>26</v>
      </c>
      <c r="S8">
        <f t="shared" si="2"/>
        <v>11.5</v>
      </c>
      <c r="T8">
        <f t="shared" si="3"/>
        <v>21.833333333333332</v>
      </c>
      <c r="AC8">
        <f t="shared" si="4"/>
        <v>11.5</v>
      </c>
      <c r="AD8">
        <f t="shared" si="5"/>
        <v>10.333333333333332</v>
      </c>
    </row>
    <row r="9" spans="1:32" x14ac:dyDescent="0.3">
      <c r="B9">
        <v>66</v>
      </c>
      <c r="C9">
        <v>34</v>
      </c>
      <c r="D9">
        <v>29</v>
      </c>
      <c r="E9">
        <v>71</v>
      </c>
      <c r="G9">
        <v>79</v>
      </c>
      <c r="H9">
        <v>21</v>
      </c>
      <c r="I9">
        <v>34</v>
      </c>
      <c r="J9">
        <v>66</v>
      </c>
      <c r="L9">
        <v>85</v>
      </c>
      <c r="M9">
        <v>15</v>
      </c>
      <c r="N9">
        <v>13</v>
      </c>
      <c r="O9">
        <v>87</v>
      </c>
      <c r="Q9">
        <f t="shared" si="0"/>
        <v>31.5</v>
      </c>
      <c r="R9">
        <f t="shared" si="1"/>
        <v>27.5</v>
      </c>
      <c r="S9">
        <f t="shared" si="2"/>
        <v>14</v>
      </c>
      <c r="T9">
        <f t="shared" si="3"/>
        <v>24.333333333333332</v>
      </c>
      <c r="AC9">
        <f t="shared" si="4"/>
        <v>14</v>
      </c>
      <c r="AD9">
        <f t="shared" si="5"/>
        <v>10.333333333333332</v>
      </c>
    </row>
    <row r="12" spans="1:32" x14ac:dyDescent="0.3">
      <c r="A12" t="s">
        <v>76</v>
      </c>
    </row>
    <row r="13" spans="1:32" x14ac:dyDescent="0.3">
      <c r="B13">
        <v>74</v>
      </c>
      <c r="C13">
        <v>26</v>
      </c>
      <c r="D13">
        <v>25</v>
      </c>
      <c r="E13">
        <v>75</v>
      </c>
      <c r="G13">
        <v>87</v>
      </c>
      <c r="H13">
        <v>13</v>
      </c>
      <c r="I13">
        <v>38</v>
      </c>
      <c r="J13">
        <v>62</v>
      </c>
      <c r="L13">
        <v>91</v>
      </c>
      <c r="M13">
        <v>9</v>
      </c>
      <c r="N13">
        <v>10</v>
      </c>
      <c r="O13">
        <v>90</v>
      </c>
      <c r="Q13">
        <f t="shared" ref="Q10:Q14" si="6">AVERAGE(C13,D13)</f>
        <v>25.5</v>
      </c>
      <c r="R13">
        <f t="shared" ref="R10:R14" si="7">AVERAGE(H13,I13)</f>
        <v>25.5</v>
      </c>
      <c r="S13">
        <f t="shared" ref="S10:S14" si="8">AVERAGE(M13,N13)</f>
        <v>9.5</v>
      </c>
      <c r="T13">
        <f t="shared" ref="T10:T14" si="9">AVERAGE(Q13:S13)</f>
        <v>20.166666666666668</v>
      </c>
      <c r="U13">
        <f>AVERAGE(Q13:Q18)</f>
        <v>27.25</v>
      </c>
      <c r="V13">
        <f>_xlfn.STDEV.S(Q13:Q18)</f>
        <v>2.4748737341529163</v>
      </c>
      <c r="W13">
        <f>AVERAGE(R13:R18)</f>
        <v>25.75</v>
      </c>
      <c r="X13">
        <f>_xlfn.STDEV.S(R13:R18)</f>
        <v>0.35355339059327379</v>
      </c>
      <c r="Y13">
        <f>AVERAGE(S13:S18)</f>
        <v>9</v>
      </c>
      <c r="Z13">
        <f>_xlfn.STDEV.S(S13:S18)</f>
        <v>0.70710678118654757</v>
      </c>
      <c r="AA13">
        <f>AVERAGE(T13:T18)</f>
        <v>20.666666666666668</v>
      </c>
      <c r="AB13">
        <f>_xlfn.STDEV.S(T13:T18)</f>
        <v>0.70710678118654757</v>
      </c>
      <c r="AC13">
        <f t="shared" ref="AC10:AC14" si="10">MIN(Q13:S13)</f>
        <v>9.5</v>
      </c>
      <c r="AD13">
        <f t="shared" ref="AD10:AD14" si="11">T13-AC13</f>
        <v>10.666666666666668</v>
      </c>
      <c r="AE13">
        <f>AVERAGE(AD13:AD18)</f>
        <v>11.666666666666668</v>
      </c>
      <c r="AF13">
        <f>_xlfn.STDEV.S(AD13:AD18)</f>
        <v>1.4142135623730951</v>
      </c>
    </row>
    <row r="14" spans="1:32" x14ac:dyDescent="0.3">
      <c r="B14">
        <v>67</v>
      </c>
      <c r="C14">
        <v>33</v>
      </c>
      <c r="D14">
        <v>25</v>
      </c>
      <c r="E14">
        <v>75</v>
      </c>
      <c r="G14">
        <v>79</v>
      </c>
      <c r="H14">
        <v>21</v>
      </c>
      <c r="I14">
        <v>31</v>
      </c>
      <c r="J14">
        <v>69</v>
      </c>
      <c r="L14">
        <v>94</v>
      </c>
      <c r="M14">
        <v>6</v>
      </c>
      <c r="N14">
        <v>11</v>
      </c>
      <c r="O14">
        <v>89</v>
      </c>
      <c r="Q14">
        <f t="shared" si="6"/>
        <v>29</v>
      </c>
      <c r="R14">
        <f t="shared" si="7"/>
        <v>26</v>
      </c>
      <c r="S14">
        <f t="shared" si="8"/>
        <v>8.5</v>
      </c>
      <c r="T14">
        <f t="shared" si="9"/>
        <v>21.166666666666668</v>
      </c>
      <c r="AC14">
        <f t="shared" si="10"/>
        <v>8.5</v>
      </c>
      <c r="AD14">
        <f t="shared" si="11"/>
        <v>12.666666666666668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0"/>
  <sheetViews>
    <sheetView topLeftCell="P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67</v>
      </c>
      <c r="K3" t="s">
        <v>25</v>
      </c>
    </row>
    <row r="4" spans="1:32" x14ac:dyDescent="0.3">
      <c r="B4">
        <v>63</v>
      </c>
      <c r="C4">
        <v>37</v>
      </c>
      <c r="D4">
        <v>31</v>
      </c>
      <c r="E4">
        <v>69</v>
      </c>
      <c r="G4">
        <v>76</v>
      </c>
      <c r="H4">
        <v>24</v>
      </c>
      <c r="I4">
        <v>39</v>
      </c>
      <c r="J4">
        <v>61</v>
      </c>
      <c r="L4">
        <v>85</v>
      </c>
      <c r="M4">
        <v>15</v>
      </c>
      <c r="N4">
        <v>12</v>
      </c>
      <c r="O4">
        <v>88</v>
      </c>
      <c r="Q4">
        <f>AVERAGE(C4,D4)</f>
        <v>34</v>
      </c>
      <c r="R4">
        <f>AVERAGE(H4,I4)</f>
        <v>31.5</v>
      </c>
      <c r="S4">
        <f>AVERAGE(M4,N4)</f>
        <v>13.5</v>
      </c>
      <c r="T4">
        <f>AVERAGE(Q4:S4)</f>
        <v>26.333333333333332</v>
      </c>
      <c r="U4">
        <f>AVERAGE(Q4:Q10)</f>
        <v>36.642857142857146</v>
      </c>
      <c r="V4">
        <f>_xlfn.STDEV.S(Q4:Q10)</f>
        <v>4.9135381491199581</v>
      </c>
      <c r="W4">
        <f>AVERAGE(R4:R10)</f>
        <v>32.5</v>
      </c>
      <c r="X4">
        <f>_xlfn.STDEV.S(R4:R10)</f>
        <v>4.9413223601245315</v>
      </c>
      <c r="Y4">
        <f>AVERAGE(S4:S10)</f>
        <v>11</v>
      </c>
      <c r="Z4">
        <f>_xlfn.STDEV.S(S4:S10)</f>
        <v>1.9148542155126762</v>
      </c>
      <c r="AA4">
        <f>AVERAGE(T4:T10)</f>
        <v>26.714285714285712</v>
      </c>
      <c r="AB4">
        <f>_xlfn.STDEV.S(T4:T10)</f>
        <v>3.0470299529856346</v>
      </c>
      <c r="AC4">
        <f>MIN(Q4:S4)</f>
        <v>13.5</v>
      </c>
      <c r="AD4">
        <f>T4-AC4</f>
        <v>12.833333333333332</v>
      </c>
      <c r="AE4">
        <f>AVERAGE(AD4:AD10)</f>
        <v>15.714285714285714</v>
      </c>
      <c r="AF4">
        <f>_xlfn.STDEV.S(AD4:AD10)</f>
        <v>3.5207247329921398</v>
      </c>
    </row>
    <row r="5" spans="1:32" x14ac:dyDescent="0.3">
      <c r="B5">
        <v>52</v>
      </c>
      <c r="C5">
        <v>48</v>
      </c>
      <c r="D5">
        <v>29</v>
      </c>
      <c r="E5">
        <v>71</v>
      </c>
      <c r="G5">
        <v>58</v>
      </c>
      <c r="H5">
        <v>42</v>
      </c>
      <c r="I5">
        <v>25</v>
      </c>
      <c r="J5">
        <v>75</v>
      </c>
      <c r="L5">
        <v>93</v>
      </c>
      <c r="M5">
        <v>7</v>
      </c>
      <c r="N5">
        <v>8</v>
      </c>
      <c r="O5">
        <v>92</v>
      </c>
      <c r="Q5">
        <f t="shared" ref="Q5:Q10" si="0">AVERAGE(C5,D5)</f>
        <v>38.5</v>
      </c>
      <c r="R5">
        <f t="shared" ref="R5:R10" si="1">AVERAGE(H5,I5)</f>
        <v>33.5</v>
      </c>
      <c r="S5">
        <f t="shared" ref="S5:S10" si="2">AVERAGE(M5,N5)</f>
        <v>7.5</v>
      </c>
      <c r="T5">
        <f t="shared" ref="T5:T10" si="3">AVERAGE(Q5:S5)</f>
        <v>26.5</v>
      </c>
      <c r="AC5">
        <f t="shared" ref="AC5:AC10" si="4">MIN(Q5:S5)</f>
        <v>7.5</v>
      </c>
      <c r="AD5">
        <f t="shared" ref="AD5:AD10" si="5">T5-AC5</f>
        <v>19</v>
      </c>
    </row>
    <row r="6" spans="1:32" x14ac:dyDescent="0.3">
      <c r="B6">
        <v>69</v>
      </c>
      <c r="C6">
        <v>31</v>
      </c>
      <c r="D6">
        <v>24</v>
      </c>
      <c r="E6">
        <v>76</v>
      </c>
      <c r="G6">
        <v>78</v>
      </c>
      <c r="H6">
        <v>22</v>
      </c>
      <c r="I6">
        <v>33</v>
      </c>
      <c r="J6">
        <v>67</v>
      </c>
      <c r="L6">
        <v>84</v>
      </c>
      <c r="M6">
        <v>16</v>
      </c>
      <c r="N6">
        <v>8</v>
      </c>
      <c r="O6">
        <v>92</v>
      </c>
      <c r="Q6">
        <f t="shared" si="0"/>
        <v>27.5</v>
      </c>
      <c r="R6">
        <f t="shared" si="1"/>
        <v>27.5</v>
      </c>
      <c r="S6">
        <f t="shared" si="2"/>
        <v>12</v>
      </c>
      <c r="T6">
        <f t="shared" si="3"/>
        <v>22.333333333333332</v>
      </c>
      <c r="AC6">
        <f t="shared" si="4"/>
        <v>12</v>
      </c>
      <c r="AD6">
        <f t="shared" si="5"/>
        <v>10.333333333333332</v>
      </c>
    </row>
    <row r="7" spans="1:32" x14ac:dyDescent="0.3">
      <c r="B7">
        <v>58</v>
      </c>
      <c r="C7">
        <v>42</v>
      </c>
      <c r="D7">
        <v>32</v>
      </c>
      <c r="E7">
        <v>68</v>
      </c>
      <c r="G7">
        <v>57</v>
      </c>
      <c r="H7">
        <v>43</v>
      </c>
      <c r="I7">
        <v>24</v>
      </c>
      <c r="J7">
        <v>76</v>
      </c>
      <c r="L7">
        <v>91</v>
      </c>
      <c r="M7">
        <v>9</v>
      </c>
      <c r="N7">
        <v>12</v>
      </c>
      <c r="O7">
        <v>88</v>
      </c>
      <c r="Q7">
        <f t="shared" si="0"/>
        <v>37</v>
      </c>
      <c r="R7">
        <f t="shared" si="1"/>
        <v>33.5</v>
      </c>
      <c r="S7">
        <f t="shared" si="2"/>
        <v>10.5</v>
      </c>
      <c r="T7">
        <f t="shared" si="3"/>
        <v>27</v>
      </c>
      <c r="AC7">
        <f t="shared" si="4"/>
        <v>10.5</v>
      </c>
      <c r="AD7">
        <f t="shared" si="5"/>
        <v>16.5</v>
      </c>
    </row>
    <row r="8" spans="1:32" x14ac:dyDescent="0.3">
      <c r="B8">
        <v>50</v>
      </c>
      <c r="C8">
        <v>50</v>
      </c>
      <c r="D8">
        <v>37</v>
      </c>
      <c r="E8">
        <v>63</v>
      </c>
      <c r="G8">
        <v>51</v>
      </c>
      <c r="H8">
        <v>49</v>
      </c>
      <c r="I8">
        <v>36</v>
      </c>
      <c r="J8">
        <v>64</v>
      </c>
      <c r="L8">
        <v>84</v>
      </c>
      <c r="M8">
        <v>16</v>
      </c>
      <c r="N8">
        <v>8</v>
      </c>
      <c r="O8">
        <v>92</v>
      </c>
      <c r="Q8">
        <f t="shared" si="0"/>
        <v>43.5</v>
      </c>
      <c r="R8">
        <f t="shared" si="1"/>
        <v>42.5</v>
      </c>
      <c r="S8">
        <f t="shared" si="2"/>
        <v>12</v>
      </c>
      <c r="T8">
        <f t="shared" si="3"/>
        <v>32.666666666666664</v>
      </c>
      <c r="AC8">
        <f t="shared" si="4"/>
        <v>12</v>
      </c>
      <c r="AD8">
        <f t="shared" si="5"/>
        <v>20.666666666666664</v>
      </c>
    </row>
    <row r="9" spans="1:32" x14ac:dyDescent="0.3">
      <c r="B9">
        <v>45</v>
      </c>
      <c r="C9">
        <v>55</v>
      </c>
      <c r="D9">
        <v>21</v>
      </c>
      <c r="E9">
        <v>79</v>
      </c>
      <c r="G9">
        <v>61</v>
      </c>
      <c r="H9">
        <v>39</v>
      </c>
      <c r="I9">
        <v>21</v>
      </c>
      <c r="J9">
        <v>79</v>
      </c>
      <c r="L9">
        <v>89</v>
      </c>
      <c r="M9">
        <v>11</v>
      </c>
      <c r="N9">
        <v>9</v>
      </c>
      <c r="O9">
        <v>91</v>
      </c>
      <c r="Q9">
        <f t="shared" si="0"/>
        <v>38</v>
      </c>
      <c r="R9">
        <f t="shared" si="1"/>
        <v>30</v>
      </c>
      <c r="S9">
        <f t="shared" si="2"/>
        <v>10</v>
      </c>
      <c r="T9">
        <f t="shared" si="3"/>
        <v>26</v>
      </c>
      <c r="AC9">
        <f t="shared" si="4"/>
        <v>10</v>
      </c>
      <c r="AD9">
        <f t="shared" si="5"/>
        <v>16</v>
      </c>
    </row>
    <row r="10" spans="1:32" x14ac:dyDescent="0.3">
      <c r="B10">
        <v>43</v>
      </c>
      <c r="C10">
        <v>57</v>
      </c>
      <c r="D10">
        <v>19</v>
      </c>
      <c r="E10">
        <v>81</v>
      </c>
      <c r="G10">
        <v>53</v>
      </c>
      <c r="H10">
        <v>47</v>
      </c>
      <c r="I10">
        <v>11</v>
      </c>
      <c r="J10">
        <v>89</v>
      </c>
      <c r="L10">
        <v>86</v>
      </c>
      <c r="M10">
        <v>14</v>
      </c>
      <c r="N10">
        <v>9</v>
      </c>
      <c r="O10">
        <v>91</v>
      </c>
      <c r="Q10">
        <f t="shared" si="0"/>
        <v>38</v>
      </c>
      <c r="R10">
        <f t="shared" si="1"/>
        <v>29</v>
      </c>
      <c r="S10">
        <f t="shared" si="2"/>
        <v>11.5</v>
      </c>
      <c r="T10">
        <f t="shared" si="3"/>
        <v>26.166666666666668</v>
      </c>
      <c r="AC10">
        <f t="shared" si="4"/>
        <v>11.5</v>
      </c>
      <c r="AD10">
        <f t="shared" si="5"/>
        <v>14.666666666666668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6F53-9387-444E-890F-DCD3D83EC80C}">
  <dimension ref="A1:AN99"/>
  <sheetViews>
    <sheetView topLeftCell="O4" workbookViewId="0">
      <selection activeCell="W15" sqref="W15:AF15"/>
    </sheetView>
  </sheetViews>
  <sheetFormatPr defaultRowHeight="14.4" x14ac:dyDescent="0.3"/>
  <cols>
    <col min="34" max="34" width="23.21875" customWidth="1"/>
    <col min="38" max="38" width="19.33203125" customWidth="1"/>
  </cols>
  <sheetData>
    <row r="1" spans="1:40" x14ac:dyDescent="0.3">
      <c r="A1" t="s">
        <v>22</v>
      </c>
    </row>
    <row r="2" spans="1:40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</v>
      </c>
      <c r="X2" t="s">
        <v>49</v>
      </c>
      <c r="Y2" t="s">
        <v>7</v>
      </c>
      <c r="Z2" t="s">
        <v>50</v>
      </c>
      <c r="AA2" t="s">
        <v>9</v>
      </c>
      <c r="AB2" t="s">
        <v>51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0" x14ac:dyDescent="0.3">
      <c r="Q3" t="e">
        <f>AVERAGE(C3,D3)</f>
        <v>#DIV/0!</v>
      </c>
      <c r="R3" t="e">
        <f>AVERAGE(H3,I3)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64</v>
      </c>
      <c r="AL3" t="s">
        <v>65</v>
      </c>
    </row>
    <row r="4" spans="1:40" x14ac:dyDescent="0.3">
      <c r="Q4" t="e">
        <f t="shared" ref="Q4:Q67" si="0">AVERAGE(C4,D4)</f>
        <v>#DIV/0!</v>
      </c>
      <c r="R4" t="e">
        <f t="shared" ref="R4:R67" si="1">AVERAGE(H4,I4)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21</v>
      </c>
      <c r="AI4">
        <v>18.981481481481485</v>
      </c>
      <c r="AJ4">
        <v>1.6419753086419753</v>
      </c>
      <c r="AL4" t="s">
        <v>21</v>
      </c>
      <c r="AM4">
        <v>18.981481481481485</v>
      </c>
      <c r="AN4">
        <v>1.6419753086419753</v>
      </c>
    </row>
    <row r="5" spans="1:40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61</v>
      </c>
      <c r="AI5">
        <v>19.333333333333336</v>
      </c>
      <c r="AJ5">
        <v>1.7777777777777779</v>
      </c>
      <c r="AL5" t="s">
        <v>61</v>
      </c>
      <c r="AM5">
        <v>19.333333333333336</v>
      </c>
      <c r="AN5">
        <v>1.7777777777777779</v>
      </c>
    </row>
    <row r="6" spans="1:40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63</v>
      </c>
      <c r="AM6">
        <v>19.740740740740744</v>
      </c>
      <c r="AN6">
        <v>1.8024691358024691</v>
      </c>
    </row>
    <row r="7" spans="1:40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</row>
    <row r="8" spans="1:40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</row>
    <row r="9" spans="1:40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0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0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</row>
    <row r="12" spans="1:40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</row>
    <row r="14" spans="1:40" x14ac:dyDescent="0.3">
      <c r="A14" t="s">
        <v>21</v>
      </c>
      <c r="AH14" t="s">
        <v>5</v>
      </c>
      <c r="AI14" t="s">
        <v>6</v>
      </c>
      <c r="AJ14" t="s">
        <v>7</v>
      </c>
      <c r="AK14" t="s">
        <v>8</v>
      </c>
      <c r="AL14" t="s">
        <v>9</v>
      </c>
      <c r="AM14" t="s">
        <v>10</v>
      </c>
    </row>
    <row r="15" spans="1:40" x14ac:dyDescent="0.3">
      <c r="B15">
        <v>66</v>
      </c>
      <c r="C15">
        <v>34</v>
      </c>
      <c r="D15">
        <v>35</v>
      </c>
      <c r="E15">
        <v>65</v>
      </c>
      <c r="G15">
        <v>73</v>
      </c>
      <c r="H15">
        <v>27</v>
      </c>
      <c r="I15">
        <v>33</v>
      </c>
      <c r="J15">
        <v>67</v>
      </c>
      <c r="L15">
        <v>92</v>
      </c>
      <c r="M15">
        <v>8</v>
      </c>
      <c r="N15">
        <v>15</v>
      </c>
      <c r="O15">
        <v>85</v>
      </c>
      <c r="Q15">
        <f t="shared" si="0"/>
        <v>34.5</v>
      </c>
      <c r="R15">
        <f t="shared" si="1"/>
        <v>30</v>
      </c>
      <c r="S15">
        <f t="shared" si="2"/>
        <v>11.5</v>
      </c>
      <c r="T15">
        <f t="shared" si="3"/>
        <v>25.333333333333332</v>
      </c>
      <c r="U15">
        <f t="shared" si="4"/>
        <v>11.5</v>
      </c>
      <c r="V15">
        <f>(T15-U15)</f>
        <v>13.833333333333332</v>
      </c>
      <c r="W15">
        <f>AVERAGE(Q15:Q22)</f>
        <v>29.5625</v>
      </c>
      <c r="X15">
        <f>_xlfn.STDEV.S(Q15:Q22)</f>
        <v>4.8361547594284922</v>
      </c>
      <c r="Y15">
        <f>AVERAGE(R15:R22)</f>
        <v>26</v>
      </c>
      <c r="Z15">
        <f>_xlfn.STDEV.S(R15:R22)</f>
        <v>4.5747755604588329</v>
      </c>
      <c r="AA15">
        <f>AVERAGE(S15:S22)</f>
        <v>11.1875</v>
      </c>
      <c r="AB15">
        <f>_xlfn.STDEV.S(S15:S22)</f>
        <v>2.2509918448795601</v>
      </c>
      <c r="AC15">
        <f>AVERAGE(T15:T23)</f>
        <v>22.25</v>
      </c>
      <c r="AD15">
        <f>_xlfn.STDEV.S(T15:T23)</f>
        <v>2.8702082220799161</v>
      </c>
      <c r="AE15">
        <f>AVERAGE(V15:V23)</f>
        <v>11.062499999999998</v>
      </c>
      <c r="AF15">
        <f>_xlfn.STDEV.S(V15:V23)</f>
        <v>3.1896876246518548</v>
      </c>
      <c r="AH15">
        <f>AVERAGE(Q15:Q23)</f>
        <v>29.5625</v>
      </c>
      <c r="AI15">
        <f>_xlfn.STDEV.S(Q15:Q23)</f>
        <v>4.8361547594284922</v>
      </c>
      <c r="AJ15">
        <f>AVERAGE(R15:R23)</f>
        <v>26</v>
      </c>
      <c r="AK15">
        <f>_xlfn.STDEV.S(R15:R23)</f>
        <v>4.5747755604588329</v>
      </c>
      <c r="AL15">
        <f>AVERAGE(S15:S23)</f>
        <v>11.1875</v>
      </c>
      <c r="AM15">
        <f>_xlfn.STDEV.S(S15:S23)</f>
        <v>2.2509918448795601</v>
      </c>
    </row>
    <row r="16" spans="1:40" x14ac:dyDescent="0.3">
      <c r="B16">
        <v>71</v>
      </c>
      <c r="C16">
        <v>29</v>
      </c>
      <c r="D16">
        <v>24</v>
      </c>
      <c r="E16">
        <v>76</v>
      </c>
      <c r="G16">
        <v>85</v>
      </c>
      <c r="H16">
        <v>15</v>
      </c>
      <c r="I16">
        <v>32</v>
      </c>
      <c r="J16">
        <v>68</v>
      </c>
      <c r="L16">
        <v>91</v>
      </c>
      <c r="M16">
        <v>9</v>
      </c>
      <c r="N16">
        <v>19</v>
      </c>
      <c r="O16">
        <v>81</v>
      </c>
      <c r="Q16">
        <f t="shared" si="0"/>
        <v>26.5</v>
      </c>
      <c r="R16">
        <f t="shared" si="1"/>
        <v>23.5</v>
      </c>
      <c r="S16">
        <f t="shared" si="2"/>
        <v>14</v>
      </c>
      <c r="T16">
        <f t="shared" si="3"/>
        <v>21.333333333333332</v>
      </c>
      <c r="U16">
        <f t="shared" si="4"/>
        <v>14</v>
      </c>
      <c r="V16">
        <f t="shared" ref="V16:V22" si="6">(T16-U16)</f>
        <v>7.3333333333333321</v>
      </c>
    </row>
    <row r="17" spans="1:32" x14ac:dyDescent="0.3">
      <c r="B17">
        <v>77</v>
      </c>
      <c r="C17">
        <v>23</v>
      </c>
      <c r="D17">
        <v>21</v>
      </c>
      <c r="E17">
        <v>79</v>
      </c>
      <c r="G17">
        <v>74</v>
      </c>
      <c r="H17">
        <v>26</v>
      </c>
      <c r="I17">
        <v>21</v>
      </c>
      <c r="J17">
        <v>79</v>
      </c>
      <c r="L17">
        <v>91</v>
      </c>
      <c r="M17">
        <v>9</v>
      </c>
      <c r="N17">
        <v>10</v>
      </c>
      <c r="O17">
        <v>90</v>
      </c>
      <c r="Q17">
        <f t="shared" si="0"/>
        <v>22</v>
      </c>
      <c r="R17">
        <f t="shared" si="1"/>
        <v>23.5</v>
      </c>
      <c r="S17">
        <f t="shared" si="2"/>
        <v>9.5</v>
      </c>
      <c r="T17">
        <f t="shared" si="3"/>
        <v>18.333333333333332</v>
      </c>
      <c r="U17">
        <f t="shared" si="4"/>
        <v>9.5</v>
      </c>
      <c r="V17">
        <f t="shared" si="6"/>
        <v>8.8333333333333321</v>
      </c>
    </row>
    <row r="18" spans="1:32" x14ac:dyDescent="0.3">
      <c r="B18">
        <v>74</v>
      </c>
      <c r="C18">
        <v>26</v>
      </c>
      <c r="D18">
        <v>36</v>
      </c>
      <c r="E18">
        <v>64</v>
      </c>
      <c r="G18">
        <v>89</v>
      </c>
      <c r="H18">
        <v>11</v>
      </c>
      <c r="I18">
        <v>26</v>
      </c>
      <c r="J18">
        <v>74</v>
      </c>
      <c r="L18">
        <v>93</v>
      </c>
      <c r="M18">
        <v>7</v>
      </c>
      <c r="N18">
        <v>10</v>
      </c>
      <c r="O18">
        <v>90</v>
      </c>
      <c r="Q18">
        <f t="shared" si="0"/>
        <v>31</v>
      </c>
      <c r="R18">
        <f t="shared" si="1"/>
        <v>18.5</v>
      </c>
      <c r="S18">
        <f t="shared" si="2"/>
        <v>8.5</v>
      </c>
      <c r="T18">
        <f t="shared" si="3"/>
        <v>19.333333333333332</v>
      </c>
      <c r="U18">
        <f t="shared" si="4"/>
        <v>8.5</v>
      </c>
      <c r="V18">
        <f t="shared" si="6"/>
        <v>10.833333333333332</v>
      </c>
    </row>
    <row r="19" spans="1:32" x14ac:dyDescent="0.3">
      <c r="B19">
        <v>57</v>
      </c>
      <c r="C19">
        <v>43</v>
      </c>
      <c r="D19">
        <v>27</v>
      </c>
      <c r="E19">
        <v>73</v>
      </c>
      <c r="G19">
        <v>73</v>
      </c>
      <c r="H19">
        <v>27</v>
      </c>
      <c r="I19">
        <v>34</v>
      </c>
      <c r="J19">
        <v>66</v>
      </c>
      <c r="L19">
        <v>95</v>
      </c>
      <c r="M19">
        <v>5</v>
      </c>
      <c r="N19">
        <v>13</v>
      </c>
      <c r="O19">
        <v>87</v>
      </c>
      <c r="Q19">
        <f t="shared" si="0"/>
        <v>35</v>
      </c>
      <c r="R19">
        <f t="shared" si="1"/>
        <v>30.5</v>
      </c>
      <c r="S19">
        <f t="shared" si="2"/>
        <v>9</v>
      </c>
      <c r="T19">
        <f t="shared" si="3"/>
        <v>24.833333333333332</v>
      </c>
      <c r="U19">
        <f t="shared" si="4"/>
        <v>9</v>
      </c>
      <c r="V19">
        <f t="shared" si="6"/>
        <v>15.833333333333332</v>
      </c>
    </row>
    <row r="20" spans="1:32" x14ac:dyDescent="0.3">
      <c r="B20">
        <v>71</v>
      </c>
      <c r="C20">
        <v>29</v>
      </c>
      <c r="D20">
        <v>38</v>
      </c>
      <c r="E20">
        <v>62</v>
      </c>
      <c r="G20">
        <v>83</v>
      </c>
      <c r="H20">
        <v>17</v>
      </c>
      <c r="I20">
        <v>41</v>
      </c>
      <c r="J20">
        <v>59</v>
      </c>
      <c r="L20">
        <v>89</v>
      </c>
      <c r="M20">
        <v>11</v>
      </c>
      <c r="N20">
        <v>17</v>
      </c>
      <c r="O20">
        <v>83</v>
      </c>
      <c r="Q20">
        <f t="shared" si="0"/>
        <v>33.5</v>
      </c>
      <c r="R20">
        <f t="shared" si="1"/>
        <v>29</v>
      </c>
      <c r="S20">
        <f t="shared" si="2"/>
        <v>14</v>
      </c>
      <c r="T20">
        <f t="shared" si="3"/>
        <v>25.5</v>
      </c>
      <c r="U20">
        <f t="shared" si="4"/>
        <v>14</v>
      </c>
      <c r="V20">
        <f t="shared" si="6"/>
        <v>11.5</v>
      </c>
    </row>
    <row r="21" spans="1:32" x14ac:dyDescent="0.3">
      <c r="B21">
        <v>75</v>
      </c>
      <c r="C21">
        <v>25</v>
      </c>
      <c r="D21">
        <v>24</v>
      </c>
      <c r="E21">
        <v>76</v>
      </c>
      <c r="G21">
        <v>83</v>
      </c>
      <c r="H21">
        <v>17</v>
      </c>
      <c r="I21">
        <v>28</v>
      </c>
      <c r="J21">
        <v>72</v>
      </c>
      <c r="L21">
        <v>89</v>
      </c>
      <c r="M21">
        <v>11</v>
      </c>
      <c r="N21">
        <v>15</v>
      </c>
      <c r="O21">
        <v>85</v>
      </c>
      <c r="Q21">
        <f t="shared" si="0"/>
        <v>24.5</v>
      </c>
      <c r="R21">
        <f t="shared" si="1"/>
        <v>22.5</v>
      </c>
      <c r="S21">
        <f t="shared" si="2"/>
        <v>13</v>
      </c>
      <c r="T21">
        <f t="shared" si="3"/>
        <v>20</v>
      </c>
      <c r="U21">
        <f t="shared" si="4"/>
        <v>13</v>
      </c>
      <c r="V21">
        <f t="shared" si="6"/>
        <v>7</v>
      </c>
    </row>
    <row r="22" spans="1:32" x14ac:dyDescent="0.3">
      <c r="B22">
        <v>72</v>
      </c>
      <c r="C22">
        <v>28</v>
      </c>
      <c r="D22">
        <v>31</v>
      </c>
      <c r="E22">
        <v>69</v>
      </c>
      <c r="G22">
        <v>78</v>
      </c>
      <c r="H22">
        <v>22</v>
      </c>
      <c r="I22">
        <v>39</v>
      </c>
      <c r="J22">
        <v>61</v>
      </c>
      <c r="L22">
        <v>93</v>
      </c>
      <c r="M22">
        <v>7</v>
      </c>
      <c r="N22">
        <v>13</v>
      </c>
      <c r="O22">
        <v>87</v>
      </c>
      <c r="Q22">
        <f t="shared" si="0"/>
        <v>29.5</v>
      </c>
      <c r="R22">
        <f t="shared" si="1"/>
        <v>30.5</v>
      </c>
      <c r="S22">
        <f t="shared" si="2"/>
        <v>10</v>
      </c>
      <c r="T22">
        <f t="shared" si="3"/>
        <v>23.333333333333332</v>
      </c>
      <c r="U22">
        <f t="shared" si="4"/>
        <v>10</v>
      </c>
      <c r="V22">
        <f t="shared" si="6"/>
        <v>13.333333333333332</v>
      </c>
    </row>
    <row r="25" spans="1:32" x14ac:dyDescent="0.3">
      <c r="A25" t="s">
        <v>26</v>
      </c>
    </row>
    <row r="26" spans="1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 t="shared" si="5"/>
        <v>#DIV/0!</v>
      </c>
      <c r="AC26" t="e">
        <f>AVERAGE(T26:T28)</f>
        <v>#DIV/0!</v>
      </c>
      <c r="AD26" t="e">
        <f>_xlfn.STDEV.S(T26:T28)</f>
        <v>#DIV/0!</v>
      </c>
      <c r="AE26" t="e">
        <f>AVERAGE(V26:V28)</f>
        <v>#DIV/0!</v>
      </c>
      <c r="AF26" t="e">
        <f>_xlfn.STDEV.S(V26:V28)</f>
        <v>#DIV/0!</v>
      </c>
    </row>
    <row r="27" spans="1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 t="shared" si="5"/>
        <v>#DIV/0!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</row>
    <row r="30" spans="1:32" x14ac:dyDescent="0.3">
      <c r="A30" t="s">
        <v>60</v>
      </c>
    </row>
    <row r="31" spans="1:32" x14ac:dyDescent="0.3">
      <c r="Q31" t="e">
        <f t="shared" si="0"/>
        <v>#DIV/0!</v>
      </c>
      <c r="R31" t="e">
        <f t="shared" si="1"/>
        <v>#DIV/0!</v>
      </c>
      <c r="S31" t="e">
        <f t="shared" si="2"/>
        <v>#DIV/0!</v>
      </c>
      <c r="T31" t="e">
        <f t="shared" si="3"/>
        <v>#DIV/0!</v>
      </c>
      <c r="U31" t="e">
        <f t="shared" si="4"/>
        <v>#DIV/0!</v>
      </c>
      <c r="V31" t="e">
        <f t="shared" si="5"/>
        <v>#DIV/0!</v>
      </c>
      <c r="AC31" t="e">
        <f>AVERAGE(T31:T39)</f>
        <v>#DIV/0!</v>
      </c>
      <c r="AD31" t="e">
        <f>_xlfn.STDEV.S(T31:T39)</f>
        <v>#DIV/0!</v>
      </c>
      <c r="AE31" t="e">
        <f>AVERAGE(V31:V39)</f>
        <v>#DIV/0!</v>
      </c>
      <c r="AF31" t="e">
        <f>_xlfn.STDEV.S(V31:V39)</f>
        <v>#DIV/0!</v>
      </c>
    </row>
    <row r="32" spans="1:32" x14ac:dyDescent="0.3">
      <c r="Q32" t="e">
        <f t="shared" si="0"/>
        <v>#DIV/0!</v>
      </c>
      <c r="R32" t="e">
        <f t="shared" si="1"/>
        <v>#DIV/0!</v>
      </c>
      <c r="S32" t="e">
        <f t="shared" si="2"/>
        <v>#DIV/0!</v>
      </c>
      <c r="T32" t="e">
        <f t="shared" si="3"/>
        <v>#DIV/0!</v>
      </c>
      <c r="U32" t="e">
        <f t="shared" si="4"/>
        <v>#DIV/0!</v>
      </c>
      <c r="V32" t="e">
        <f t="shared" si="5"/>
        <v>#DIV/0!</v>
      </c>
    </row>
    <row r="33" spans="1:32" x14ac:dyDescent="0.3">
      <c r="Q33" t="e">
        <f t="shared" si="0"/>
        <v>#DIV/0!</v>
      </c>
      <c r="R33" t="e">
        <f t="shared" si="1"/>
        <v>#DIV/0!</v>
      </c>
      <c r="S33" t="e">
        <f t="shared" si="2"/>
        <v>#DIV/0!</v>
      </c>
      <c r="T33" t="e">
        <f t="shared" si="3"/>
        <v>#DIV/0!</v>
      </c>
      <c r="U33" t="e">
        <f t="shared" si="4"/>
        <v>#DIV/0!</v>
      </c>
      <c r="V33" t="e">
        <f t="shared" si="5"/>
        <v>#DIV/0!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1" spans="1:32" x14ac:dyDescent="0.3">
      <c r="A41" t="s">
        <v>28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  <c r="AC42" t="e">
        <f>AVERAGE(T42:T50)</f>
        <v>#DIV/0!</v>
      </c>
      <c r="AD42" t="e">
        <f>_xlfn.STDEV.S(T42:T50)</f>
        <v>#DIV/0!</v>
      </c>
      <c r="AE42" t="e">
        <f>AVERAGE(V42:V50)</f>
        <v>#DIV/0!</v>
      </c>
      <c r="AF42" t="e">
        <f>_xlfn.STDEV.S(V42:V50)</f>
        <v>#DIV/0!</v>
      </c>
    </row>
    <row r="43" spans="1:32" x14ac:dyDescent="0.3">
      <c r="Q43" t="e">
        <f t="shared" si="0"/>
        <v>#DIV/0!</v>
      </c>
      <c r="R43" t="e">
        <f t="shared" si="1"/>
        <v>#DIV/0!</v>
      </c>
      <c r="S43" t="e">
        <f t="shared" si="2"/>
        <v>#DIV/0!</v>
      </c>
      <c r="T43" t="e">
        <f t="shared" si="3"/>
        <v>#DIV/0!</v>
      </c>
      <c r="U43" t="e">
        <f t="shared" si="4"/>
        <v>#DIV/0!</v>
      </c>
      <c r="V43" t="e">
        <f t="shared" si="5"/>
        <v>#DIV/0!</v>
      </c>
    </row>
    <row r="44" spans="1:32" x14ac:dyDescent="0.3">
      <c r="Q44" t="e">
        <f t="shared" si="0"/>
        <v>#DIV/0!</v>
      </c>
      <c r="R44" t="e">
        <f t="shared" si="1"/>
        <v>#DIV/0!</v>
      </c>
      <c r="S44" t="e">
        <f t="shared" si="2"/>
        <v>#DIV/0!</v>
      </c>
      <c r="T44" t="e">
        <f t="shared" si="3"/>
        <v>#DIV/0!</v>
      </c>
      <c r="U44" t="e">
        <f t="shared" si="4"/>
        <v>#DIV/0!</v>
      </c>
      <c r="V44" t="e">
        <f t="shared" si="5"/>
        <v>#DIV/0!</v>
      </c>
    </row>
    <row r="45" spans="1:32" x14ac:dyDescent="0.3">
      <c r="Q45" t="e">
        <f t="shared" si="0"/>
        <v>#DIV/0!</v>
      </c>
      <c r="R45" t="e">
        <f t="shared" si="1"/>
        <v>#DIV/0!</v>
      </c>
      <c r="S45" t="e">
        <f t="shared" si="2"/>
        <v>#DIV/0!</v>
      </c>
      <c r="T45" t="e">
        <f t="shared" si="3"/>
        <v>#DIV/0!</v>
      </c>
      <c r="U45" t="e">
        <f t="shared" si="4"/>
        <v>#DIV/0!</v>
      </c>
      <c r="V45" t="e">
        <f t="shared" si="5"/>
        <v>#DIV/0!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2" spans="1:32" x14ac:dyDescent="0.3">
      <c r="A52" t="s">
        <v>61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  <c r="AC53" t="e">
        <f>AVERAGE(T53:T54)</f>
        <v>#DIV/0!</v>
      </c>
      <c r="AD53" t="e">
        <f>_xlfn.STDEV.S(T53,T54)</f>
        <v>#DIV/0!</v>
      </c>
      <c r="AE53" t="e">
        <f>AVERAGE(V53:V54)</f>
        <v>#DIV/0!</v>
      </c>
      <c r="AF53" t="e">
        <f>_xlfn.STDEV.S(V53,V54)</f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62</v>
      </c>
    </row>
    <row r="57" spans="1:32" x14ac:dyDescent="0.3">
      <c r="Q57" t="e">
        <f t="shared" si="0"/>
        <v>#DIV/0!</v>
      </c>
      <c r="R57" t="e">
        <f t="shared" si="1"/>
        <v>#DIV/0!</v>
      </c>
      <c r="S57" t="e">
        <f t="shared" si="2"/>
        <v>#DIV/0!</v>
      </c>
      <c r="T57" t="e">
        <f t="shared" si="3"/>
        <v>#DIV/0!</v>
      </c>
      <c r="U57" t="e">
        <f t="shared" si="4"/>
        <v>#DIV/0!</v>
      </c>
      <c r="V57" t="e">
        <f t="shared" si="5"/>
        <v>#DIV/0!</v>
      </c>
      <c r="AC57" t="e">
        <f>AVERAGE(T57:T63)</f>
        <v>#DIV/0!</v>
      </c>
      <c r="AD57" t="e">
        <f>_xlfn.STDEV.S(T57:T63)</f>
        <v>#DIV/0!</v>
      </c>
      <c r="AE57" t="e">
        <f>AVERAGE(V57:V63)</f>
        <v>#DIV/0!</v>
      </c>
      <c r="AF57" t="e">
        <f>_xlfn.STDEV.S(V57:V63)</f>
        <v>#DIV/0!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0" spans="1:32" x14ac:dyDescent="0.3">
      <c r="Q60" t="e">
        <f t="shared" si="0"/>
        <v>#DIV/0!</v>
      </c>
      <c r="R60" t="e">
        <f t="shared" si="1"/>
        <v>#DIV/0!</v>
      </c>
      <c r="S60" t="e">
        <f t="shared" si="2"/>
        <v>#DIV/0!</v>
      </c>
      <c r="T60" t="e">
        <f t="shared" si="3"/>
        <v>#DIV/0!</v>
      </c>
      <c r="U60" t="e">
        <f t="shared" si="4"/>
        <v>#DIV/0!</v>
      </c>
      <c r="V60" t="e">
        <f t="shared" si="5"/>
        <v>#DIV/0!</v>
      </c>
    </row>
    <row r="61" spans="1:32" x14ac:dyDescent="0.3">
      <c r="Q61" t="e">
        <f t="shared" si="0"/>
        <v>#DIV/0!</v>
      </c>
      <c r="R61" t="e">
        <f t="shared" si="1"/>
        <v>#DIV/0!</v>
      </c>
      <c r="S61" t="e">
        <f t="shared" si="2"/>
        <v>#DIV/0!</v>
      </c>
      <c r="T61" t="e">
        <f t="shared" si="3"/>
        <v>#DIV/0!</v>
      </c>
      <c r="U61" t="e">
        <f t="shared" si="4"/>
        <v>#DIV/0!</v>
      </c>
      <c r="V61" t="e">
        <f t="shared" si="5"/>
        <v>#DIV/0!</v>
      </c>
    </row>
    <row r="62" spans="1:32" x14ac:dyDescent="0.3">
      <c r="Q62" t="e">
        <f t="shared" si="0"/>
        <v>#DIV/0!</v>
      </c>
      <c r="R62" t="e">
        <f t="shared" si="1"/>
        <v>#DIV/0!</v>
      </c>
      <c r="S62" t="e">
        <f t="shared" si="2"/>
        <v>#DIV/0!</v>
      </c>
      <c r="T62" t="e">
        <f t="shared" si="3"/>
        <v>#DIV/0!</v>
      </c>
      <c r="U62" t="e">
        <f t="shared" si="4"/>
        <v>#DIV/0!</v>
      </c>
      <c r="V62" t="e">
        <f t="shared" si="5"/>
        <v>#DIV/0!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</row>
    <row r="65" spans="1:32" x14ac:dyDescent="0.3">
      <c r="A65" t="s">
        <v>31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  <c r="AC66" t="e">
        <f>AVERAGE(T66:T68)</f>
        <v>#DIV/0!</v>
      </c>
      <c r="AD66" t="e">
        <f>_xlfn.STDEV.S(T66:T68)</f>
        <v>#DIV/0!</v>
      </c>
      <c r="AE66" t="e">
        <f>AVERAGE(V66:V68)</f>
        <v>#DIV/0!</v>
      </c>
      <c r="AF66" t="e">
        <f>_xlfn.STDEV.S(V66:V68)</f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99" si="7">AVERAGE(C68,D68)</f>
        <v>#DIV/0!</v>
      </c>
      <c r="R68" t="e">
        <f t="shared" ref="R68:R99" si="8">AVERAGE(H68,I68)</f>
        <v>#DIV/0!</v>
      </c>
      <c r="S68" t="e">
        <f t="shared" ref="S68:S99" si="9">AVERAGE(M68,N68)</f>
        <v>#DIV/0!</v>
      </c>
      <c r="T68" t="e">
        <f t="shared" ref="T68:T99" si="10">AVERAGE(Q68:S68)</f>
        <v>#DIV/0!</v>
      </c>
      <c r="U68" t="e">
        <f t="shared" ref="U68:U99" si="11">MIN(Q68:S68)</f>
        <v>#DIV/0!</v>
      </c>
      <c r="V68" t="e">
        <f t="shared" ref="V68:V99" si="12">(1/3)*(T68-U68)</f>
        <v>#DIV/0!</v>
      </c>
    </row>
    <row r="70" spans="1:32" x14ac:dyDescent="0.3">
      <c r="A70" t="s">
        <v>32</v>
      </c>
    </row>
    <row r="71" spans="1:32" x14ac:dyDescent="0.3">
      <c r="Q71" t="e">
        <f t="shared" si="7"/>
        <v>#DIV/0!</v>
      </c>
      <c r="R71" t="e">
        <f t="shared" si="8"/>
        <v>#DIV/0!</v>
      </c>
      <c r="S71" t="e">
        <f t="shared" si="9"/>
        <v>#DIV/0!</v>
      </c>
      <c r="T71" t="e">
        <f t="shared" si="10"/>
        <v>#DIV/0!</v>
      </c>
      <c r="U71" t="e">
        <f t="shared" si="11"/>
        <v>#DIV/0!</v>
      </c>
      <c r="V71" t="e">
        <f t="shared" si="12"/>
        <v>#DIV/0!</v>
      </c>
      <c r="AC71" t="e">
        <f>AVERAGE(T71:T80)</f>
        <v>#DIV/0!</v>
      </c>
      <c r="AD71" t="e">
        <f>_xlfn.STDEV.S(T71:T80)</f>
        <v>#DIV/0!</v>
      </c>
      <c r="AE71" t="e">
        <f>AVERAGE(V71:V80)</f>
        <v>#DIV/0!</v>
      </c>
      <c r="AF71" t="e">
        <f>_xlfn.STDEV.S(V71:V80)</f>
        <v>#DIV/0!</v>
      </c>
    </row>
    <row r="72" spans="1:32" x14ac:dyDescent="0.3">
      <c r="Q72" t="e">
        <f t="shared" si="7"/>
        <v>#DIV/0!</v>
      </c>
      <c r="R72" t="e">
        <f t="shared" si="8"/>
        <v>#DIV/0!</v>
      </c>
      <c r="S72" t="e">
        <f t="shared" si="9"/>
        <v>#DIV/0!</v>
      </c>
      <c r="T72" t="e">
        <f t="shared" si="10"/>
        <v>#DIV/0!</v>
      </c>
      <c r="U72" t="e">
        <f t="shared" si="11"/>
        <v>#DIV/0!</v>
      </c>
      <c r="V72" t="e">
        <f t="shared" si="12"/>
        <v>#DIV/0!</v>
      </c>
    </row>
    <row r="73" spans="1:32" x14ac:dyDescent="0.3">
      <c r="Q73" t="e">
        <f t="shared" si="7"/>
        <v>#DIV/0!</v>
      </c>
      <c r="R73" t="e">
        <f t="shared" si="8"/>
        <v>#DIV/0!</v>
      </c>
      <c r="S73" t="e">
        <f t="shared" si="9"/>
        <v>#DIV/0!</v>
      </c>
      <c r="T73" t="e">
        <f t="shared" si="10"/>
        <v>#DIV/0!</v>
      </c>
      <c r="U73" t="e">
        <f t="shared" si="11"/>
        <v>#DIV/0!</v>
      </c>
      <c r="V73" t="e">
        <f t="shared" si="12"/>
        <v>#DIV/0!</v>
      </c>
    </row>
    <row r="74" spans="1:32" x14ac:dyDescent="0.3">
      <c r="Q74" t="e">
        <f t="shared" si="7"/>
        <v>#DIV/0!</v>
      </c>
      <c r="R74" t="e">
        <f t="shared" si="8"/>
        <v>#DIV/0!</v>
      </c>
      <c r="S74" t="e">
        <f t="shared" si="9"/>
        <v>#DIV/0!</v>
      </c>
      <c r="T74" t="e">
        <f t="shared" si="10"/>
        <v>#DIV/0!</v>
      </c>
      <c r="U74" t="e">
        <f t="shared" si="11"/>
        <v>#DIV/0!</v>
      </c>
      <c r="V74" t="e">
        <f t="shared" si="12"/>
        <v>#DIV/0!</v>
      </c>
    </row>
    <row r="75" spans="1:32" x14ac:dyDescent="0.3">
      <c r="Q75" t="e">
        <f t="shared" si="7"/>
        <v>#DIV/0!</v>
      </c>
      <c r="R75" t="e">
        <f t="shared" si="8"/>
        <v>#DIV/0!</v>
      </c>
      <c r="S75" t="e">
        <f t="shared" si="9"/>
        <v>#DIV/0!</v>
      </c>
      <c r="T75" t="e">
        <f t="shared" si="10"/>
        <v>#DIV/0!</v>
      </c>
      <c r="U75" t="e">
        <f t="shared" si="11"/>
        <v>#DIV/0!</v>
      </c>
      <c r="V75" t="e">
        <f t="shared" si="12"/>
        <v>#DIV/0!</v>
      </c>
    </row>
    <row r="76" spans="1:32" x14ac:dyDescent="0.3">
      <c r="Q76" t="e">
        <f t="shared" si="7"/>
        <v>#DIV/0!</v>
      </c>
      <c r="R76" t="e">
        <f t="shared" si="8"/>
        <v>#DIV/0!</v>
      </c>
      <c r="S76" t="e">
        <f t="shared" si="9"/>
        <v>#DIV/0!</v>
      </c>
      <c r="T76" t="e">
        <f t="shared" si="10"/>
        <v>#DIV/0!</v>
      </c>
      <c r="U76" t="e">
        <f t="shared" si="11"/>
        <v>#DIV/0!</v>
      </c>
      <c r="V76" t="e">
        <f t="shared" si="12"/>
        <v>#DIV/0!</v>
      </c>
    </row>
    <row r="77" spans="1:32" x14ac:dyDescent="0.3">
      <c r="Q77" t="e">
        <f t="shared" si="7"/>
        <v>#DIV/0!</v>
      </c>
      <c r="R77" t="e">
        <f t="shared" si="8"/>
        <v>#DIV/0!</v>
      </c>
      <c r="S77" t="e">
        <f t="shared" si="9"/>
        <v>#DIV/0!</v>
      </c>
      <c r="T77" t="e">
        <f t="shared" si="10"/>
        <v>#DIV/0!</v>
      </c>
      <c r="U77" t="e">
        <f t="shared" si="11"/>
        <v>#DIV/0!</v>
      </c>
      <c r="V77" t="e">
        <f t="shared" si="12"/>
        <v>#DIV/0!</v>
      </c>
    </row>
    <row r="78" spans="1:32" x14ac:dyDescent="0.3">
      <c r="Q78" t="e">
        <f t="shared" si="7"/>
        <v>#DIV/0!</v>
      </c>
      <c r="R78" t="e">
        <f t="shared" si="8"/>
        <v>#DIV/0!</v>
      </c>
      <c r="S78" t="e">
        <f t="shared" si="9"/>
        <v>#DIV/0!</v>
      </c>
      <c r="T78" t="e">
        <f t="shared" si="10"/>
        <v>#DIV/0!</v>
      </c>
      <c r="U78" t="e">
        <f t="shared" si="11"/>
        <v>#DIV/0!</v>
      </c>
      <c r="V78" t="e">
        <f t="shared" si="12"/>
        <v>#DIV/0!</v>
      </c>
    </row>
    <row r="79" spans="1:32" x14ac:dyDescent="0.3">
      <c r="Q79" t="e">
        <f t="shared" si="7"/>
        <v>#DIV/0!</v>
      </c>
      <c r="R79" t="e">
        <f t="shared" si="8"/>
        <v>#DIV/0!</v>
      </c>
      <c r="S79" t="e">
        <f t="shared" si="9"/>
        <v>#DIV/0!</v>
      </c>
      <c r="T79" t="e">
        <f t="shared" si="10"/>
        <v>#DIV/0!</v>
      </c>
      <c r="U79" t="e">
        <f t="shared" si="11"/>
        <v>#DIV/0!</v>
      </c>
      <c r="V79" t="e">
        <f t="shared" si="12"/>
        <v>#DIV/0!</v>
      </c>
    </row>
    <row r="80" spans="1:32" x14ac:dyDescent="0.3">
      <c r="Q80" t="e">
        <f t="shared" si="7"/>
        <v>#DIV/0!</v>
      </c>
      <c r="R80" t="e">
        <f t="shared" si="8"/>
        <v>#DIV/0!</v>
      </c>
      <c r="S80" t="e">
        <f t="shared" si="9"/>
        <v>#DIV/0!</v>
      </c>
      <c r="T80" t="e">
        <f t="shared" si="10"/>
        <v>#DIV/0!</v>
      </c>
      <c r="U80" t="e">
        <f t="shared" si="11"/>
        <v>#DIV/0!</v>
      </c>
      <c r="V80" t="e">
        <f t="shared" si="12"/>
        <v>#DIV/0!</v>
      </c>
    </row>
    <row r="82" spans="1:32" x14ac:dyDescent="0.3">
      <c r="A82" t="s">
        <v>33</v>
      </c>
    </row>
    <row r="83" spans="1:32" x14ac:dyDescent="0.3">
      <c r="Q83" t="e">
        <f t="shared" si="7"/>
        <v>#DIV/0!</v>
      </c>
      <c r="R83" t="e">
        <f t="shared" si="8"/>
        <v>#DIV/0!</v>
      </c>
      <c r="S83" t="e">
        <f t="shared" si="9"/>
        <v>#DIV/0!</v>
      </c>
      <c r="T83" t="e">
        <f t="shared" si="10"/>
        <v>#DIV/0!</v>
      </c>
      <c r="U83" t="e">
        <f t="shared" si="11"/>
        <v>#DIV/0!</v>
      </c>
      <c r="V83" t="e">
        <f t="shared" si="12"/>
        <v>#DIV/0!</v>
      </c>
      <c r="AC83" t="e">
        <f>AVERAGE(T83:T88)</f>
        <v>#DIV/0!</v>
      </c>
      <c r="AD83" t="e">
        <f>_xlfn.STDEV.S(T83:T88)</f>
        <v>#DIV/0!</v>
      </c>
      <c r="AE83" t="e">
        <f>AVERAGE(V83:V88)</f>
        <v>#DIV/0!</v>
      </c>
      <c r="AF83" t="e">
        <f>_xlfn.STDEV.S(V83:V88)</f>
        <v>#DIV/0!</v>
      </c>
    </row>
    <row r="84" spans="1:32" x14ac:dyDescent="0.3">
      <c r="Q84" t="e">
        <f t="shared" si="7"/>
        <v>#DIV/0!</v>
      </c>
      <c r="R84" t="e">
        <f t="shared" si="8"/>
        <v>#DIV/0!</v>
      </c>
      <c r="S84" t="e">
        <f t="shared" si="9"/>
        <v>#DIV/0!</v>
      </c>
      <c r="T84" t="e">
        <f t="shared" si="10"/>
        <v>#DIV/0!</v>
      </c>
      <c r="U84" t="e">
        <f t="shared" si="11"/>
        <v>#DIV/0!</v>
      </c>
      <c r="V84" t="e">
        <f t="shared" si="12"/>
        <v>#DIV/0!</v>
      </c>
    </row>
    <row r="85" spans="1:32" x14ac:dyDescent="0.3">
      <c r="Q85" t="e">
        <f t="shared" si="7"/>
        <v>#DIV/0!</v>
      </c>
      <c r="R85" t="e">
        <f t="shared" si="8"/>
        <v>#DIV/0!</v>
      </c>
      <c r="S85" t="e">
        <f t="shared" si="9"/>
        <v>#DIV/0!</v>
      </c>
      <c r="T85" t="e">
        <f t="shared" si="10"/>
        <v>#DIV/0!</v>
      </c>
      <c r="U85" t="e">
        <f t="shared" si="11"/>
        <v>#DIV/0!</v>
      </c>
      <c r="V85" t="e">
        <f t="shared" si="12"/>
        <v>#DIV/0!</v>
      </c>
    </row>
    <row r="86" spans="1:32" x14ac:dyDescent="0.3">
      <c r="Q86" t="e">
        <f t="shared" si="7"/>
        <v>#DIV/0!</v>
      </c>
      <c r="R86" t="e">
        <f t="shared" si="8"/>
        <v>#DIV/0!</v>
      </c>
      <c r="S86" t="e">
        <f t="shared" si="9"/>
        <v>#DIV/0!</v>
      </c>
      <c r="T86" t="e">
        <f t="shared" si="10"/>
        <v>#DIV/0!</v>
      </c>
      <c r="U86" t="e">
        <f t="shared" si="11"/>
        <v>#DIV/0!</v>
      </c>
      <c r="V86" t="e">
        <f t="shared" si="12"/>
        <v>#DIV/0!</v>
      </c>
    </row>
    <row r="87" spans="1:32" x14ac:dyDescent="0.3">
      <c r="Q87" t="e">
        <f t="shared" si="7"/>
        <v>#DIV/0!</v>
      </c>
      <c r="R87" t="e">
        <f t="shared" si="8"/>
        <v>#DIV/0!</v>
      </c>
      <c r="S87" t="e">
        <f t="shared" si="9"/>
        <v>#DIV/0!</v>
      </c>
      <c r="T87" t="e">
        <f t="shared" si="10"/>
        <v>#DIV/0!</v>
      </c>
      <c r="U87" t="e">
        <f t="shared" si="11"/>
        <v>#DIV/0!</v>
      </c>
      <c r="V87" t="e">
        <f t="shared" si="12"/>
        <v>#DIV/0!</v>
      </c>
    </row>
    <row r="88" spans="1:32" x14ac:dyDescent="0.3">
      <c r="Q88" t="e">
        <f t="shared" si="7"/>
        <v>#DIV/0!</v>
      </c>
      <c r="R88" t="e">
        <f t="shared" si="8"/>
        <v>#DIV/0!</v>
      </c>
      <c r="S88" t="e">
        <f t="shared" si="9"/>
        <v>#DIV/0!</v>
      </c>
      <c r="T88" t="e">
        <f t="shared" si="10"/>
        <v>#DIV/0!</v>
      </c>
      <c r="U88" t="e">
        <f t="shared" si="11"/>
        <v>#DIV/0!</v>
      </c>
      <c r="V88" t="e">
        <f t="shared" si="12"/>
        <v>#DIV/0!</v>
      </c>
    </row>
    <row r="90" spans="1:32" x14ac:dyDescent="0.3">
      <c r="A90" t="s">
        <v>63</v>
      </c>
    </row>
    <row r="91" spans="1:32" x14ac:dyDescent="0.3">
      <c r="Q91" t="e">
        <f t="shared" si="7"/>
        <v>#DIV/0!</v>
      </c>
      <c r="R91" t="e">
        <f t="shared" si="8"/>
        <v>#DIV/0!</v>
      </c>
      <c r="S91" t="e">
        <f t="shared" si="9"/>
        <v>#DIV/0!</v>
      </c>
      <c r="T91" t="e">
        <f t="shared" si="10"/>
        <v>#DIV/0!</v>
      </c>
      <c r="U91" t="e">
        <f t="shared" si="11"/>
        <v>#DIV/0!</v>
      </c>
      <c r="V91" t="e">
        <f t="shared" si="12"/>
        <v>#DIV/0!</v>
      </c>
      <c r="AC91" t="e">
        <f>AVERAGE(T91:T99)</f>
        <v>#DIV/0!</v>
      </c>
      <c r="AD91" t="e">
        <f>_xlfn.STDEV.S(T91:T99)</f>
        <v>#DIV/0!</v>
      </c>
      <c r="AE91" t="e">
        <f>AVERAGE(V91:V99)</f>
        <v>#DIV/0!</v>
      </c>
      <c r="AF91" t="e">
        <f>_xlfn.STDEV.S(V91:V99)</f>
        <v>#DIV/0!</v>
      </c>
    </row>
    <row r="92" spans="1:32" x14ac:dyDescent="0.3">
      <c r="Q92" t="e">
        <f t="shared" si="7"/>
        <v>#DIV/0!</v>
      </c>
      <c r="R92" t="e">
        <f t="shared" si="8"/>
        <v>#DIV/0!</v>
      </c>
      <c r="S92" t="e">
        <f t="shared" si="9"/>
        <v>#DIV/0!</v>
      </c>
      <c r="T92" t="e">
        <f t="shared" si="10"/>
        <v>#DIV/0!</v>
      </c>
      <c r="U92" t="e">
        <f t="shared" si="11"/>
        <v>#DIV/0!</v>
      </c>
      <c r="V92" t="e">
        <f t="shared" si="12"/>
        <v>#DIV/0!</v>
      </c>
    </row>
    <row r="93" spans="1:32" x14ac:dyDescent="0.3">
      <c r="Q93" t="e">
        <f t="shared" si="7"/>
        <v>#DIV/0!</v>
      </c>
      <c r="R93" t="e">
        <f t="shared" si="8"/>
        <v>#DIV/0!</v>
      </c>
      <c r="S93" t="e">
        <f t="shared" si="9"/>
        <v>#DIV/0!</v>
      </c>
      <c r="T93" t="e">
        <f t="shared" si="10"/>
        <v>#DIV/0!</v>
      </c>
      <c r="U93" t="e">
        <f t="shared" si="11"/>
        <v>#DIV/0!</v>
      </c>
      <c r="V93" t="e">
        <f t="shared" si="12"/>
        <v>#DIV/0!</v>
      </c>
    </row>
    <row r="94" spans="1:32" x14ac:dyDescent="0.3">
      <c r="Q94" t="e">
        <f t="shared" si="7"/>
        <v>#DIV/0!</v>
      </c>
      <c r="R94" t="e">
        <f t="shared" si="8"/>
        <v>#DIV/0!</v>
      </c>
      <c r="S94" t="e">
        <f t="shared" si="9"/>
        <v>#DIV/0!</v>
      </c>
      <c r="T94" t="e">
        <f t="shared" si="10"/>
        <v>#DIV/0!</v>
      </c>
      <c r="U94" t="e">
        <f t="shared" si="11"/>
        <v>#DIV/0!</v>
      </c>
      <c r="V94" t="e">
        <f t="shared" si="12"/>
        <v>#DIV/0!</v>
      </c>
    </row>
    <row r="95" spans="1:32" x14ac:dyDescent="0.3">
      <c r="Q95" t="e">
        <f t="shared" si="7"/>
        <v>#DIV/0!</v>
      </c>
      <c r="R95" t="e">
        <f t="shared" si="8"/>
        <v>#DIV/0!</v>
      </c>
      <c r="S95" t="e">
        <f t="shared" si="9"/>
        <v>#DIV/0!</v>
      </c>
      <c r="T95" t="e">
        <f t="shared" si="10"/>
        <v>#DIV/0!</v>
      </c>
      <c r="U95" t="e">
        <f t="shared" si="11"/>
        <v>#DIV/0!</v>
      </c>
      <c r="V95" t="e">
        <f t="shared" si="12"/>
        <v>#DIV/0!</v>
      </c>
    </row>
    <row r="96" spans="1:32" x14ac:dyDescent="0.3">
      <c r="Q96" t="e">
        <f t="shared" si="7"/>
        <v>#DIV/0!</v>
      </c>
      <c r="R96" t="e">
        <f t="shared" si="8"/>
        <v>#DIV/0!</v>
      </c>
      <c r="S96" t="e">
        <f t="shared" si="9"/>
        <v>#DIV/0!</v>
      </c>
      <c r="T96" t="e">
        <f t="shared" si="10"/>
        <v>#DIV/0!</v>
      </c>
      <c r="U96" t="e">
        <f t="shared" si="11"/>
        <v>#DIV/0!</v>
      </c>
      <c r="V96" t="e">
        <f t="shared" si="12"/>
        <v>#DIV/0!</v>
      </c>
    </row>
    <row r="97" spans="17:22" x14ac:dyDescent="0.3">
      <c r="Q97" t="e">
        <f t="shared" si="7"/>
        <v>#DIV/0!</v>
      </c>
      <c r="R97" t="e">
        <f t="shared" si="8"/>
        <v>#DIV/0!</v>
      </c>
      <c r="S97" t="e">
        <f t="shared" si="9"/>
        <v>#DIV/0!</v>
      </c>
      <c r="T97" t="e">
        <f t="shared" si="10"/>
        <v>#DIV/0!</v>
      </c>
      <c r="U97" t="e">
        <f t="shared" si="11"/>
        <v>#DIV/0!</v>
      </c>
      <c r="V97" t="e">
        <f t="shared" si="12"/>
        <v>#DIV/0!</v>
      </c>
    </row>
    <row r="98" spans="17:22" x14ac:dyDescent="0.3">
      <c r="Q98" t="e">
        <f t="shared" si="7"/>
        <v>#DIV/0!</v>
      </c>
      <c r="R98" t="e">
        <f t="shared" si="8"/>
        <v>#DIV/0!</v>
      </c>
      <c r="S98" t="e">
        <f t="shared" si="9"/>
        <v>#DIV/0!</v>
      </c>
      <c r="T98" t="e">
        <f t="shared" si="10"/>
        <v>#DIV/0!</v>
      </c>
      <c r="U98" t="e">
        <f t="shared" si="11"/>
        <v>#DIV/0!</v>
      </c>
      <c r="V98" t="e">
        <f t="shared" si="12"/>
        <v>#DIV/0!</v>
      </c>
    </row>
    <row r="99" spans="17:22" x14ac:dyDescent="0.3">
      <c r="Q99" t="e">
        <f t="shared" si="7"/>
        <v>#DIV/0!</v>
      </c>
      <c r="R99" t="e">
        <f t="shared" si="8"/>
        <v>#DIV/0!</v>
      </c>
      <c r="S99" t="e">
        <f t="shared" si="9"/>
        <v>#DIV/0!</v>
      </c>
      <c r="T99" t="e">
        <f t="shared" si="10"/>
        <v>#DIV/0!</v>
      </c>
      <c r="U99" t="e">
        <f t="shared" si="11"/>
        <v>#DIV/0!</v>
      </c>
      <c r="V99" t="e">
        <f t="shared" si="12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A647-64D8-47BC-AD52-3FB80D45AD9F}">
  <dimension ref="A1:AG11"/>
  <sheetViews>
    <sheetView topLeftCell="O1" workbookViewId="0">
      <selection activeCell="AG2" activeCellId="2" sqref="V2:AC2 AF2 AG2"/>
    </sheetView>
  </sheetViews>
  <sheetFormatPr defaultRowHeight="14.4" x14ac:dyDescent="0.3"/>
  <cols>
    <col min="30" max="30" width="13.44140625" customWidth="1"/>
  </cols>
  <sheetData>
    <row r="1" spans="1:33" x14ac:dyDescent="0.3">
      <c r="A1" t="s">
        <v>23</v>
      </c>
      <c r="F1" t="s">
        <v>24</v>
      </c>
      <c r="K1" t="s">
        <v>25</v>
      </c>
      <c r="R1" t="s">
        <v>12</v>
      </c>
      <c r="S1" t="s">
        <v>13</v>
      </c>
      <c r="T1" t="s">
        <v>14</v>
      </c>
      <c r="U1" t="s">
        <v>16</v>
      </c>
      <c r="V1" t="s">
        <v>56</v>
      </c>
      <c r="W1" t="s">
        <v>49</v>
      </c>
      <c r="X1" t="s">
        <v>57</v>
      </c>
      <c r="Y1" t="s">
        <v>50</v>
      </c>
      <c r="Z1" t="s">
        <v>58</v>
      </c>
      <c r="AA1" t="s">
        <v>51</v>
      </c>
      <c r="AB1" t="s">
        <v>1</v>
      </c>
      <c r="AC1" t="s">
        <v>17</v>
      </c>
      <c r="AD1" t="s">
        <v>18</v>
      </c>
      <c r="AE1" t="s">
        <v>15</v>
      </c>
      <c r="AF1" t="s">
        <v>19</v>
      </c>
      <c r="AG1" t="s">
        <v>20</v>
      </c>
    </row>
    <row r="2" spans="1:33" x14ac:dyDescent="0.3">
      <c r="B2">
        <v>62</v>
      </c>
      <c r="C2">
        <v>38</v>
      </c>
      <c r="D2">
        <v>25</v>
      </c>
      <c r="E2">
        <v>75</v>
      </c>
      <c r="G2">
        <v>73</v>
      </c>
      <c r="H2">
        <v>27</v>
      </c>
      <c r="I2">
        <v>36</v>
      </c>
      <c r="J2">
        <v>64</v>
      </c>
      <c r="L2">
        <v>81</v>
      </c>
      <c r="M2">
        <v>19</v>
      </c>
      <c r="N2">
        <v>11</v>
      </c>
      <c r="O2">
        <v>89</v>
      </c>
      <c r="R2">
        <f>AVERAGE(C2:D2)</f>
        <v>31.5</v>
      </c>
      <c r="S2">
        <f>AVERAGE(H2,I2)</f>
        <v>31.5</v>
      </c>
      <c r="T2">
        <f>AVERAGE(M2:N2)</f>
        <v>15</v>
      </c>
      <c r="U2">
        <f>AVERAGE(R2:T2)</f>
        <v>26</v>
      </c>
      <c r="V2">
        <f>AVERAGE(R2:R34)</f>
        <v>31.8</v>
      </c>
      <c r="W2">
        <f>_xlfn.STDEV.S(R2:R34)</f>
        <v>3.4496376621320741</v>
      </c>
      <c r="X2">
        <f>AVERAGE(S2:S34)</f>
        <v>30.25</v>
      </c>
      <c r="Y2">
        <f>_xlfn.STDEV.S(S2:S34)</f>
        <v>3.2850672240711707</v>
      </c>
      <c r="Z2">
        <f>AVERAGE(T2:T34)</f>
        <v>12.25</v>
      </c>
      <c r="AA2">
        <f>_xlfn.STDEV.S(T2:T34)</f>
        <v>1.7677669529663689</v>
      </c>
      <c r="AB2">
        <f>AVERAGE(U2:U34)</f>
        <v>24.766666666666666</v>
      </c>
      <c r="AC2">
        <f>_xlfn.STDEV.S(U2:U34)</f>
        <v>1.4890547171334187</v>
      </c>
      <c r="AD2">
        <f>MIN(R2:T2)</f>
        <v>15</v>
      </c>
      <c r="AE2">
        <f>(U2-AD2)</f>
        <v>11</v>
      </c>
      <c r="AF2">
        <f>AVERAGE(AE2:AE34)</f>
        <v>12.516666666666666</v>
      </c>
      <c r="AG2">
        <f>_xlfn.STDEV.S(AE2:AE34)</f>
        <v>1.8026900338174325</v>
      </c>
    </row>
    <row r="3" spans="1:33" x14ac:dyDescent="0.3">
      <c r="B3">
        <v>70</v>
      </c>
      <c r="C3">
        <v>30</v>
      </c>
      <c r="D3">
        <v>28</v>
      </c>
      <c r="E3">
        <v>72</v>
      </c>
      <c r="G3">
        <v>71</v>
      </c>
      <c r="H3">
        <v>29</v>
      </c>
      <c r="I3">
        <v>38</v>
      </c>
      <c r="J3">
        <v>62</v>
      </c>
      <c r="L3">
        <v>89</v>
      </c>
      <c r="M3">
        <v>11</v>
      </c>
      <c r="N3">
        <v>10</v>
      </c>
      <c r="O3">
        <v>90</v>
      </c>
      <c r="R3">
        <f t="shared" ref="R3:R11" si="0">AVERAGE(C3:D3)</f>
        <v>29</v>
      </c>
      <c r="S3">
        <f t="shared" ref="S3:S11" si="1">AVERAGE(H3,I3)</f>
        <v>33.5</v>
      </c>
      <c r="T3">
        <f t="shared" ref="T3:T11" si="2">AVERAGE(M3:N3)</f>
        <v>10.5</v>
      </c>
      <c r="U3">
        <f t="shared" ref="U3:U11" si="3">AVERAGE(R3:T3)</f>
        <v>24.333333333333332</v>
      </c>
      <c r="AD3">
        <f t="shared" ref="AD3:AD11" si="4">MIN(R3:T3)</f>
        <v>10.5</v>
      </c>
      <c r="AE3">
        <f t="shared" ref="AE3:AE11" si="5">(U3-AD3)</f>
        <v>13.833333333333332</v>
      </c>
    </row>
    <row r="4" spans="1:33" x14ac:dyDescent="0.3">
      <c r="B4">
        <v>44</v>
      </c>
      <c r="C4">
        <v>56</v>
      </c>
      <c r="D4">
        <v>13</v>
      </c>
      <c r="E4">
        <v>87</v>
      </c>
      <c r="G4">
        <v>78</v>
      </c>
      <c r="H4">
        <v>22</v>
      </c>
      <c r="I4">
        <v>37</v>
      </c>
      <c r="J4">
        <v>63</v>
      </c>
      <c r="L4">
        <v>80</v>
      </c>
      <c r="M4">
        <v>20</v>
      </c>
      <c r="N4">
        <v>10</v>
      </c>
      <c r="O4">
        <v>90</v>
      </c>
      <c r="R4">
        <f t="shared" si="0"/>
        <v>34.5</v>
      </c>
      <c r="S4">
        <f t="shared" si="1"/>
        <v>29.5</v>
      </c>
      <c r="T4">
        <f t="shared" si="2"/>
        <v>15</v>
      </c>
      <c r="U4">
        <f t="shared" si="3"/>
        <v>26.333333333333332</v>
      </c>
      <c r="AD4">
        <f t="shared" si="4"/>
        <v>15</v>
      </c>
      <c r="AE4">
        <f t="shared" si="5"/>
        <v>11.333333333333332</v>
      </c>
    </row>
    <row r="5" spans="1:33" x14ac:dyDescent="0.3">
      <c r="B5">
        <v>69</v>
      </c>
      <c r="C5">
        <v>31</v>
      </c>
      <c r="D5">
        <v>28</v>
      </c>
      <c r="E5">
        <v>72</v>
      </c>
      <c r="G5">
        <v>71</v>
      </c>
      <c r="H5">
        <v>29</v>
      </c>
      <c r="I5">
        <v>30</v>
      </c>
      <c r="J5">
        <v>70</v>
      </c>
      <c r="L5">
        <v>87</v>
      </c>
      <c r="M5">
        <v>13</v>
      </c>
      <c r="N5">
        <v>15</v>
      </c>
      <c r="O5">
        <v>85</v>
      </c>
      <c r="R5">
        <f t="shared" si="0"/>
        <v>29.5</v>
      </c>
      <c r="S5">
        <f t="shared" si="1"/>
        <v>29.5</v>
      </c>
      <c r="T5">
        <f t="shared" si="2"/>
        <v>14</v>
      </c>
      <c r="U5">
        <f t="shared" si="3"/>
        <v>24.333333333333332</v>
      </c>
      <c r="AD5">
        <f t="shared" si="4"/>
        <v>14</v>
      </c>
      <c r="AE5">
        <f t="shared" si="5"/>
        <v>10.333333333333332</v>
      </c>
    </row>
    <row r="6" spans="1:33" x14ac:dyDescent="0.3">
      <c r="B6">
        <v>63</v>
      </c>
      <c r="C6">
        <v>37</v>
      </c>
      <c r="D6">
        <v>27</v>
      </c>
      <c r="E6">
        <v>73</v>
      </c>
      <c r="G6">
        <v>72</v>
      </c>
      <c r="H6">
        <v>28</v>
      </c>
      <c r="I6">
        <v>32</v>
      </c>
      <c r="J6">
        <v>68</v>
      </c>
      <c r="L6">
        <v>85</v>
      </c>
      <c r="M6">
        <v>15</v>
      </c>
      <c r="N6">
        <v>7</v>
      </c>
      <c r="O6">
        <v>93</v>
      </c>
      <c r="R6">
        <f t="shared" si="0"/>
        <v>32</v>
      </c>
      <c r="S6">
        <f t="shared" si="1"/>
        <v>30</v>
      </c>
      <c r="T6">
        <f t="shared" si="2"/>
        <v>11</v>
      </c>
      <c r="U6">
        <f t="shared" si="3"/>
        <v>24.333333333333332</v>
      </c>
      <c r="AD6">
        <f t="shared" si="4"/>
        <v>11</v>
      </c>
      <c r="AE6">
        <f t="shared" si="5"/>
        <v>13.333333333333332</v>
      </c>
    </row>
    <row r="7" spans="1:33" x14ac:dyDescent="0.3">
      <c r="B7">
        <v>67</v>
      </c>
      <c r="C7">
        <v>33</v>
      </c>
      <c r="D7">
        <v>39</v>
      </c>
      <c r="E7">
        <v>61</v>
      </c>
      <c r="G7">
        <v>70</v>
      </c>
      <c r="H7">
        <v>30</v>
      </c>
      <c r="I7">
        <v>37</v>
      </c>
      <c r="J7">
        <v>63</v>
      </c>
      <c r="L7">
        <v>86</v>
      </c>
      <c r="M7">
        <v>14</v>
      </c>
      <c r="N7">
        <v>10</v>
      </c>
      <c r="O7">
        <v>90</v>
      </c>
      <c r="R7">
        <f t="shared" si="0"/>
        <v>36</v>
      </c>
      <c r="S7">
        <f t="shared" si="1"/>
        <v>33.5</v>
      </c>
      <c r="T7">
        <f t="shared" si="2"/>
        <v>12</v>
      </c>
      <c r="U7">
        <f t="shared" si="3"/>
        <v>27.166666666666668</v>
      </c>
      <c r="AD7">
        <f t="shared" si="4"/>
        <v>12</v>
      </c>
      <c r="AE7">
        <f t="shared" si="5"/>
        <v>15.166666666666668</v>
      </c>
    </row>
    <row r="8" spans="1:33" x14ac:dyDescent="0.3">
      <c r="B8">
        <v>67</v>
      </c>
      <c r="C8">
        <v>33</v>
      </c>
      <c r="D8">
        <v>20</v>
      </c>
      <c r="E8">
        <v>80</v>
      </c>
      <c r="G8">
        <v>74</v>
      </c>
      <c r="H8">
        <v>26</v>
      </c>
      <c r="I8">
        <v>37</v>
      </c>
      <c r="J8">
        <v>63</v>
      </c>
      <c r="L8">
        <v>84</v>
      </c>
      <c r="M8">
        <v>16</v>
      </c>
      <c r="N8">
        <v>8</v>
      </c>
      <c r="O8">
        <v>92</v>
      </c>
      <c r="R8">
        <f t="shared" si="0"/>
        <v>26.5</v>
      </c>
      <c r="S8">
        <f t="shared" si="1"/>
        <v>31.5</v>
      </c>
      <c r="T8">
        <f t="shared" si="2"/>
        <v>12</v>
      </c>
      <c r="U8">
        <f t="shared" si="3"/>
        <v>23.333333333333332</v>
      </c>
      <c r="AD8">
        <f t="shared" si="4"/>
        <v>12</v>
      </c>
      <c r="AE8">
        <f t="shared" si="5"/>
        <v>11.333333333333332</v>
      </c>
    </row>
    <row r="9" spans="1:33" x14ac:dyDescent="0.3">
      <c r="B9">
        <v>65</v>
      </c>
      <c r="C9">
        <v>35</v>
      </c>
      <c r="D9">
        <v>39</v>
      </c>
      <c r="E9">
        <v>61</v>
      </c>
      <c r="G9">
        <v>68</v>
      </c>
      <c r="H9">
        <v>32</v>
      </c>
      <c r="I9">
        <v>27</v>
      </c>
      <c r="J9">
        <v>73</v>
      </c>
      <c r="L9">
        <v>92</v>
      </c>
      <c r="M9">
        <v>8</v>
      </c>
      <c r="N9">
        <v>13</v>
      </c>
      <c r="O9">
        <v>87</v>
      </c>
      <c r="R9">
        <f t="shared" si="0"/>
        <v>37</v>
      </c>
      <c r="S9">
        <f t="shared" si="1"/>
        <v>29.5</v>
      </c>
      <c r="T9">
        <f t="shared" si="2"/>
        <v>10.5</v>
      </c>
      <c r="U9">
        <f t="shared" si="3"/>
        <v>25.666666666666668</v>
      </c>
      <c r="AD9">
        <f t="shared" si="4"/>
        <v>10.5</v>
      </c>
      <c r="AE9">
        <f t="shared" si="5"/>
        <v>15.166666666666668</v>
      </c>
    </row>
    <row r="10" spans="1:33" x14ac:dyDescent="0.3">
      <c r="B10">
        <v>55</v>
      </c>
      <c r="C10">
        <v>45</v>
      </c>
      <c r="D10">
        <v>22</v>
      </c>
      <c r="E10">
        <v>78</v>
      </c>
      <c r="G10">
        <v>81</v>
      </c>
      <c r="H10">
        <v>19</v>
      </c>
      <c r="I10">
        <v>25</v>
      </c>
      <c r="J10">
        <v>75</v>
      </c>
      <c r="L10">
        <v>86</v>
      </c>
      <c r="M10">
        <v>14</v>
      </c>
      <c r="N10">
        <v>9</v>
      </c>
      <c r="O10">
        <v>91</v>
      </c>
      <c r="R10">
        <f t="shared" si="0"/>
        <v>33.5</v>
      </c>
      <c r="S10">
        <f t="shared" si="1"/>
        <v>22</v>
      </c>
      <c r="T10">
        <f t="shared" si="2"/>
        <v>11.5</v>
      </c>
      <c r="U10">
        <f t="shared" si="3"/>
        <v>22.333333333333332</v>
      </c>
      <c r="AD10">
        <f t="shared" si="4"/>
        <v>11.5</v>
      </c>
      <c r="AE10">
        <f t="shared" si="5"/>
        <v>10.833333333333332</v>
      </c>
    </row>
    <row r="11" spans="1:33" x14ac:dyDescent="0.3">
      <c r="B11">
        <v>68</v>
      </c>
      <c r="C11">
        <v>32</v>
      </c>
      <c r="D11">
        <v>25</v>
      </c>
      <c r="E11">
        <v>75</v>
      </c>
      <c r="G11">
        <v>64</v>
      </c>
      <c r="H11">
        <v>36</v>
      </c>
      <c r="I11">
        <v>28</v>
      </c>
      <c r="J11">
        <v>72</v>
      </c>
      <c r="L11">
        <v>86</v>
      </c>
      <c r="M11">
        <v>14</v>
      </c>
      <c r="N11">
        <v>8</v>
      </c>
      <c r="O11">
        <v>92</v>
      </c>
      <c r="R11">
        <f t="shared" si="0"/>
        <v>28.5</v>
      </c>
      <c r="S11">
        <f t="shared" si="1"/>
        <v>32</v>
      </c>
      <c r="T11">
        <f t="shared" si="2"/>
        <v>11</v>
      </c>
      <c r="U11">
        <f t="shared" si="3"/>
        <v>23.833333333333332</v>
      </c>
      <c r="AD11">
        <f t="shared" si="4"/>
        <v>11</v>
      </c>
      <c r="AE11">
        <f t="shared" si="5"/>
        <v>12.833333333333332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3"/>
  <sheetViews>
    <sheetView topLeftCell="N1" workbookViewId="0">
      <selection activeCell="AF9" activeCellId="2" sqref="U9:AB9 AE9 AF9"/>
    </sheetView>
  </sheetViews>
  <sheetFormatPr defaultRowHeight="14.4" x14ac:dyDescent="0.3"/>
  <sheetData>
    <row r="2" spans="1:32" x14ac:dyDescent="0.3">
      <c r="A2" t="s">
        <v>55</v>
      </c>
      <c r="Q2" t="s">
        <v>12</v>
      </c>
      <c r="R2" t="s">
        <v>13</v>
      </c>
      <c r="S2" t="s">
        <v>14</v>
      </c>
      <c r="T2" t="s">
        <v>16</v>
      </c>
      <c r="U2" t="s">
        <v>56</v>
      </c>
      <c r="V2" t="s">
        <v>49</v>
      </c>
      <c r="W2" t="s">
        <v>57</v>
      </c>
      <c r="X2" t="s">
        <v>50</v>
      </c>
      <c r="Y2" t="s">
        <v>58</v>
      </c>
      <c r="Z2" t="s">
        <v>51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24</v>
      </c>
      <c r="K3" t="s">
        <v>25</v>
      </c>
    </row>
    <row r="4" spans="1:32" x14ac:dyDescent="0.3">
      <c r="B4">
        <v>62</v>
      </c>
      <c r="C4">
        <v>38</v>
      </c>
      <c r="D4">
        <v>20</v>
      </c>
      <c r="E4">
        <v>80</v>
      </c>
      <c r="G4">
        <v>71</v>
      </c>
      <c r="H4">
        <v>29</v>
      </c>
      <c r="I4">
        <v>29</v>
      </c>
      <c r="J4">
        <v>71</v>
      </c>
      <c r="L4">
        <v>90</v>
      </c>
      <c r="M4">
        <v>10</v>
      </c>
      <c r="N4">
        <v>15</v>
      </c>
      <c r="O4">
        <v>85</v>
      </c>
      <c r="Q4">
        <f>AVERAGE(C4,D4)</f>
        <v>29</v>
      </c>
      <c r="R4">
        <f>AVERAGE(H4,I4)</f>
        <v>29</v>
      </c>
      <c r="S4">
        <f>AVERAGE(M4,N4)</f>
        <v>12.5</v>
      </c>
      <c r="T4">
        <f>AVERAGE(Q4:S4)</f>
        <v>23.5</v>
      </c>
      <c r="U4">
        <f>AVERAGE(Q4:Q7)</f>
        <v>27.75</v>
      </c>
      <c r="V4">
        <f>_xlfn.STDEV.S(Q4:Q7)</f>
        <v>3.5237290853109955</v>
      </c>
      <c r="W4">
        <f>AVERAGE(R4:R7)</f>
        <v>28.25</v>
      </c>
      <c r="X4">
        <f>_xlfn.STDEV.S(R4:R7)</f>
        <v>2.7233557730613653</v>
      </c>
      <c r="Y4">
        <f>AVERAGE(S4:S7)</f>
        <v>11.5</v>
      </c>
      <c r="Z4">
        <f>_xlfn.STDEV.S(S4:S8)</f>
        <v>2.70801280154532</v>
      </c>
      <c r="AA4">
        <f>AVERAGE(T4:T7)</f>
        <v>22.5</v>
      </c>
      <c r="AB4">
        <f>_xlfn.STDEV.S(T4:T7)</f>
        <v>2.918650119236383</v>
      </c>
      <c r="AC4">
        <f>MIN(Q4:S4)</f>
        <v>12.5</v>
      </c>
      <c r="AD4">
        <f>(T4-AC4)</f>
        <v>11</v>
      </c>
      <c r="AE4">
        <f>AVERAGE(AD4:AD7)</f>
        <v>11</v>
      </c>
      <c r="AF4">
        <f>_xlfn.STDEV.S(AD4:AD7)</f>
        <v>0.72008229982309568</v>
      </c>
    </row>
    <row r="5" spans="1:32" x14ac:dyDescent="0.3">
      <c r="B5">
        <v>71</v>
      </c>
      <c r="C5">
        <v>29</v>
      </c>
      <c r="D5">
        <v>30</v>
      </c>
      <c r="E5">
        <v>70</v>
      </c>
      <c r="G5">
        <v>86</v>
      </c>
      <c r="H5">
        <v>14</v>
      </c>
      <c r="I5">
        <v>43</v>
      </c>
      <c r="J5">
        <v>57</v>
      </c>
      <c r="L5">
        <v>94</v>
      </c>
      <c r="M5">
        <v>6</v>
      </c>
      <c r="N5">
        <v>21</v>
      </c>
      <c r="O5">
        <v>79</v>
      </c>
      <c r="Q5">
        <f t="shared" ref="Q5:Q7" si="0">AVERAGE(C5,D5)</f>
        <v>29.5</v>
      </c>
      <c r="R5">
        <f t="shared" ref="R5:R7" si="1">AVERAGE(H5,I5)</f>
        <v>28.5</v>
      </c>
      <c r="S5">
        <f t="shared" ref="S5:S7" si="2">AVERAGE(M5,N5)</f>
        <v>13.5</v>
      </c>
      <c r="T5">
        <f t="shared" ref="T5:T7" si="3">AVERAGE(Q5:S5)</f>
        <v>23.833333333333332</v>
      </c>
      <c r="AC5">
        <f t="shared" ref="AC5:AC7" si="4">MIN(Q5:S5)</f>
        <v>13.5</v>
      </c>
      <c r="AD5">
        <f t="shared" ref="AD5:AD7" si="5">(T5-AC5)</f>
        <v>10.333333333333332</v>
      </c>
    </row>
    <row r="6" spans="1:32" x14ac:dyDescent="0.3">
      <c r="B6">
        <v>77</v>
      </c>
      <c r="C6">
        <v>23</v>
      </c>
      <c r="D6">
        <v>37</v>
      </c>
      <c r="E6">
        <v>63</v>
      </c>
      <c r="G6">
        <v>75</v>
      </c>
      <c r="H6">
        <v>25</v>
      </c>
      <c r="I6">
        <v>37</v>
      </c>
      <c r="J6">
        <v>63</v>
      </c>
      <c r="L6">
        <v>89</v>
      </c>
      <c r="M6">
        <v>11</v>
      </c>
      <c r="N6">
        <v>14</v>
      </c>
      <c r="O6">
        <v>86</v>
      </c>
      <c r="Q6">
        <f t="shared" si="0"/>
        <v>30</v>
      </c>
      <c r="R6">
        <f t="shared" si="1"/>
        <v>31</v>
      </c>
      <c r="S6">
        <f t="shared" si="2"/>
        <v>12.5</v>
      </c>
      <c r="T6">
        <f t="shared" si="3"/>
        <v>24.5</v>
      </c>
      <c r="AC6">
        <f t="shared" si="4"/>
        <v>12.5</v>
      </c>
      <c r="AD6">
        <f t="shared" si="5"/>
        <v>12</v>
      </c>
    </row>
    <row r="7" spans="1:32" x14ac:dyDescent="0.3">
      <c r="B7">
        <v>79</v>
      </c>
      <c r="C7">
        <v>21</v>
      </c>
      <c r="D7">
        <v>24</v>
      </c>
      <c r="E7">
        <v>76</v>
      </c>
      <c r="G7">
        <v>79</v>
      </c>
      <c r="H7">
        <v>21</v>
      </c>
      <c r="I7">
        <v>28</v>
      </c>
      <c r="J7">
        <v>72</v>
      </c>
      <c r="L7">
        <v>94</v>
      </c>
      <c r="M7">
        <v>6</v>
      </c>
      <c r="N7">
        <v>9</v>
      </c>
      <c r="O7">
        <v>91</v>
      </c>
      <c r="Q7">
        <f t="shared" si="0"/>
        <v>22.5</v>
      </c>
      <c r="R7">
        <f t="shared" si="1"/>
        <v>24.5</v>
      </c>
      <c r="S7">
        <f t="shared" si="2"/>
        <v>7.5</v>
      </c>
      <c r="T7">
        <f t="shared" si="3"/>
        <v>18.166666666666668</v>
      </c>
      <c r="AC7">
        <f t="shared" si="4"/>
        <v>7.5</v>
      </c>
      <c r="AD7">
        <f t="shared" si="5"/>
        <v>10.666666666666668</v>
      </c>
    </row>
    <row r="8" spans="1:32" x14ac:dyDescent="0.3">
      <c r="A8" t="s">
        <v>76</v>
      </c>
    </row>
    <row r="9" spans="1:32" x14ac:dyDescent="0.3">
      <c r="B9">
        <v>72</v>
      </c>
      <c r="C9">
        <v>28</v>
      </c>
      <c r="D9">
        <v>20</v>
      </c>
      <c r="E9">
        <v>80</v>
      </c>
      <c r="G9">
        <v>85</v>
      </c>
      <c r="H9">
        <v>15</v>
      </c>
      <c r="I9">
        <v>32</v>
      </c>
      <c r="J9">
        <v>68</v>
      </c>
      <c r="L9">
        <v>86</v>
      </c>
      <c r="M9">
        <v>14</v>
      </c>
      <c r="N9">
        <v>7</v>
      </c>
      <c r="O9">
        <v>93</v>
      </c>
      <c r="Q9">
        <f t="shared" ref="Q9:Q13" si="6">AVERAGE(C9,D9)</f>
        <v>24</v>
      </c>
      <c r="R9">
        <f t="shared" ref="R9:R13" si="7">AVERAGE(H9,I9)</f>
        <v>23.5</v>
      </c>
      <c r="S9">
        <f t="shared" ref="S9:S13" si="8">AVERAGE(M9,N9)</f>
        <v>10.5</v>
      </c>
      <c r="T9">
        <f t="shared" ref="T9:T13" si="9">AVERAGE(Q9:S9)</f>
        <v>19.333333333333332</v>
      </c>
      <c r="U9">
        <f>AVERAGE(Q9:Q12)</f>
        <v>27</v>
      </c>
      <c r="V9">
        <f>_xlfn.STDEV.S(Q9:Q12)</f>
        <v>2.6770630673681683</v>
      </c>
      <c r="W9">
        <f>AVERAGE(R9:R12)</f>
        <v>24.25</v>
      </c>
      <c r="X9">
        <f>_xlfn.STDEV.S(R9:R12)</f>
        <v>1.1902380714238083</v>
      </c>
      <c r="Y9">
        <f>AVERAGE(S9:S12)</f>
        <v>8.625</v>
      </c>
      <c r="Z9">
        <f>_xlfn.STDEV.S(S9:S13)</f>
        <v>1.7888543819998326</v>
      </c>
      <c r="AA9">
        <f>AVERAGE(T9:T12)</f>
        <v>19.958333333333332</v>
      </c>
      <c r="AB9">
        <f>_xlfn.STDEV.S(T9:T12)</f>
        <v>0.55067298893330685</v>
      </c>
      <c r="AC9">
        <f t="shared" ref="AC9:AC13" si="10">MIN(Q9:S9)</f>
        <v>10.5</v>
      </c>
      <c r="AD9">
        <f t="shared" ref="AD9:AD13" si="11">(T9-AC9)</f>
        <v>8.8333333333333321</v>
      </c>
      <c r="AE9">
        <f>AVERAGE(AD9:AD12)</f>
        <v>11.333333333333332</v>
      </c>
      <c r="AF9">
        <f>_xlfn.STDEV.S(AD9:AD12)</f>
        <v>1.9340994650588066</v>
      </c>
    </row>
    <row r="10" spans="1:32" x14ac:dyDescent="0.3">
      <c r="B10">
        <v>70</v>
      </c>
      <c r="C10">
        <v>30</v>
      </c>
      <c r="D10">
        <v>23</v>
      </c>
      <c r="E10">
        <v>77</v>
      </c>
      <c r="G10">
        <v>72</v>
      </c>
      <c r="H10">
        <v>28</v>
      </c>
      <c r="I10">
        <v>24</v>
      </c>
      <c r="J10">
        <v>76</v>
      </c>
      <c r="L10">
        <v>93</v>
      </c>
      <c r="M10">
        <v>7</v>
      </c>
      <c r="N10">
        <v>8</v>
      </c>
      <c r="O10">
        <v>92</v>
      </c>
      <c r="Q10">
        <f t="shared" si="6"/>
        <v>26.5</v>
      </c>
      <c r="R10">
        <f t="shared" si="7"/>
        <v>26</v>
      </c>
      <c r="S10">
        <f t="shared" si="8"/>
        <v>7.5</v>
      </c>
      <c r="T10">
        <f t="shared" si="9"/>
        <v>20</v>
      </c>
      <c r="AC10">
        <f t="shared" si="10"/>
        <v>7.5</v>
      </c>
      <c r="AD10">
        <f t="shared" si="11"/>
        <v>12.5</v>
      </c>
    </row>
    <row r="11" spans="1:32" x14ac:dyDescent="0.3">
      <c r="B11">
        <v>73</v>
      </c>
      <c r="C11">
        <v>27</v>
      </c>
      <c r="D11">
        <v>34</v>
      </c>
      <c r="E11">
        <v>66</v>
      </c>
      <c r="G11">
        <v>89</v>
      </c>
      <c r="H11">
        <v>11</v>
      </c>
      <c r="I11">
        <v>37</v>
      </c>
      <c r="J11">
        <v>63</v>
      </c>
      <c r="L11">
        <v>93</v>
      </c>
      <c r="M11">
        <v>7</v>
      </c>
      <c r="N11">
        <v>8</v>
      </c>
      <c r="O11">
        <v>92</v>
      </c>
      <c r="Q11">
        <f t="shared" si="6"/>
        <v>30.5</v>
      </c>
      <c r="R11">
        <f t="shared" si="7"/>
        <v>24</v>
      </c>
      <c r="S11">
        <f t="shared" si="8"/>
        <v>7.5</v>
      </c>
      <c r="T11">
        <f t="shared" si="9"/>
        <v>20.666666666666668</v>
      </c>
      <c r="AC11">
        <f t="shared" si="10"/>
        <v>7.5</v>
      </c>
      <c r="AD11">
        <f t="shared" si="11"/>
        <v>13.166666666666668</v>
      </c>
    </row>
    <row r="12" spans="1:32" x14ac:dyDescent="0.3">
      <c r="B12">
        <v>80</v>
      </c>
      <c r="C12">
        <v>20</v>
      </c>
      <c r="D12">
        <v>34</v>
      </c>
      <c r="E12">
        <v>66</v>
      </c>
      <c r="G12">
        <v>88</v>
      </c>
      <c r="H12">
        <v>12</v>
      </c>
      <c r="I12">
        <v>35</v>
      </c>
      <c r="J12">
        <v>65</v>
      </c>
      <c r="L12">
        <v>94</v>
      </c>
      <c r="M12">
        <v>6</v>
      </c>
      <c r="N12">
        <v>12</v>
      </c>
      <c r="O12">
        <v>88</v>
      </c>
      <c r="Q12">
        <f t="shared" si="6"/>
        <v>27</v>
      </c>
      <c r="R12">
        <f t="shared" si="7"/>
        <v>23.5</v>
      </c>
      <c r="S12">
        <f t="shared" si="8"/>
        <v>9</v>
      </c>
      <c r="T12">
        <f t="shared" si="9"/>
        <v>19.833333333333332</v>
      </c>
      <c r="AC12">
        <f t="shared" si="10"/>
        <v>9</v>
      </c>
      <c r="AD12">
        <f t="shared" si="11"/>
        <v>10.833333333333332</v>
      </c>
    </row>
    <row r="13" spans="1:32" x14ac:dyDescent="0.3">
      <c r="B13">
        <v>68</v>
      </c>
      <c r="C13">
        <v>32</v>
      </c>
      <c r="D13">
        <v>29</v>
      </c>
      <c r="E13">
        <v>71</v>
      </c>
      <c r="G13">
        <v>74</v>
      </c>
      <c r="H13">
        <v>26</v>
      </c>
      <c r="I13">
        <v>44</v>
      </c>
      <c r="J13">
        <v>56</v>
      </c>
      <c r="L13">
        <v>94</v>
      </c>
      <c r="M13">
        <v>6</v>
      </c>
      <c r="N13">
        <v>17</v>
      </c>
      <c r="O13">
        <v>83</v>
      </c>
      <c r="Q13">
        <f t="shared" si="6"/>
        <v>30.5</v>
      </c>
      <c r="R13">
        <f t="shared" si="7"/>
        <v>35</v>
      </c>
      <c r="S13">
        <f t="shared" si="8"/>
        <v>11.5</v>
      </c>
      <c r="T13">
        <f t="shared" si="9"/>
        <v>25.666666666666668</v>
      </c>
      <c r="AC13">
        <f t="shared" si="10"/>
        <v>11.5</v>
      </c>
      <c r="AD13">
        <f t="shared" si="11"/>
        <v>14.166666666666668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15"/>
  <sheetViews>
    <sheetView topLeftCell="J1" workbookViewId="0">
      <selection activeCell="W3" sqref="W3:AF3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72</v>
      </c>
    </row>
    <row r="2" spans="1:44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</v>
      </c>
      <c r="X2" t="s">
        <v>75</v>
      </c>
      <c r="Y2" t="s">
        <v>7</v>
      </c>
      <c r="Z2" t="s">
        <v>50</v>
      </c>
      <c r="AA2" t="s">
        <v>9</v>
      </c>
      <c r="AB2" t="s">
        <v>51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4" x14ac:dyDescent="0.3">
      <c r="B3">
        <v>63</v>
      </c>
      <c r="C3">
        <v>37</v>
      </c>
      <c r="D3">
        <v>31</v>
      </c>
      <c r="E3">
        <v>69</v>
      </c>
      <c r="G3">
        <v>71</v>
      </c>
      <c r="H3">
        <v>29</v>
      </c>
      <c r="I3">
        <v>35</v>
      </c>
      <c r="J3">
        <v>65</v>
      </c>
      <c r="L3">
        <v>84</v>
      </c>
      <c r="M3">
        <v>16</v>
      </c>
      <c r="N3">
        <v>9</v>
      </c>
      <c r="O3">
        <v>91</v>
      </c>
      <c r="Q3">
        <f>AVERAGE(C3,D3)</f>
        <v>34</v>
      </c>
      <c r="R3">
        <f>AVERAGE(H3,I3)</f>
        <v>32</v>
      </c>
      <c r="S3">
        <f>AVERAGE(M3,N3)</f>
        <v>12.5</v>
      </c>
      <c r="T3">
        <f>AVERAGE(Q3:S3)</f>
        <v>26.166666666666668</v>
      </c>
      <c r="U3">
        <f>MIN(Q3:S3)</f>
        <v>12.5</v>
      </c>
      <c r="V3">
        <f>((T3-U3))</f>
        <v>13.666666666666668</v>
      </c>
      <c r="W3">
        <f>AVERAGE(Q3:Q4)</f>
        <v>34.5</v>
      </c>
      <c r="X3">
        <f>_xlfn.STDEV.S(Q3:Q4)</f>
        <v>0.70710678118654757</v>
      </c>
      <c r="Y3">
        <f>AVERAGE(R3:R4)</f>
        <v>31.25</v>
      </c>
      <c r="Z3">
        <f>_xlfn.STDEV.S(R3:R4)</f>
        <v>1.0606601717798212</v>
      </c>
      <c r="AA3">
        <f>AVERAGE(S3:S4)</f>
        <v>11</v>
      </c>
      <c r="AB3">
        <f>_xlfn.STDEV.S(S3:S4)</f>
        <v>2.1213203435596424</v>
      </c>
      <c r="AC3">
        <f>AVERAGE(T3:T4)</f>
        <v>25.583333333333336</v>
      </c>
      <c r="AD3">
        <f>_xlfn.STDEV.S(T3:T4)</f>
        <v>0.8249579113843063</v>
      </c>
      <c r="AE3">
        <f>AVERAGE(V3:V4)</f>
        <v>14.583333333333334</v>
      </c>
      <c r="AF3">
        <f>_xlfn.STDEV.S(V3:V4)</f>
        <v>1.2963624321753362</v>
      </c>
      <c r="AH3" t="s">
        <v>45</v>
      </c>
      <c r="AL3" t="s">
        <v>46</v>
      </c>
    </row>
    <row r="4" spans="1:44" x14ac:dyDescent="0.3">
      <c r="B4">
        <v>56</v>
      </c>
      <c r="C4">
        <v>44</v>
      </c>
      <c r="D4">
        <v>26</v>
      </c>
      <c r="E4">
        <v>74</v>
      </c>
      <c r="G4">
        <v>76</v>
      </c>
      <c r="H4">
        <v>24</v>
      </c>
      <c r="I4">
        <v>37</v>
      </c>
      <c r="J4">
        <v>63</v>
      </c>
      <c r="L4">
        <v>90</v>
      </c>
      <c r="M4">
        <v>10</v>
      </c>
      <c r="N4">
        <v>9</v>
      </c>
      <c r="O4">
        <v>91</v>
      </c>
      <c r="Q4">
        <f t="shared" ref="Q4:Q9" si="0">AVERAGE(C4,D4)</f>
        <v>35</v>
      </c>
      <c r="R4">
        <f t="shared" ref="R4:R9" si="1">AVERAGE(H4,I4)</f>
        <v>30.5</v>
      </c>
      <c r="S4">
        <f t="shared" ref="S4:S9" si="2">AVERAGE(M4,N4)</f>
        <v>9.5</v>
      </c>
      <c r="T4">
        <f t="shared" ref="T4:T9" si="3">AVERAGE(Q4:S4)</f>
        <v>25</v>
      </c>
      <c r="U4">
        <f t="shared" ref="U4:U9" si="4">MIN(Q4:S4)</f>
        <v>9.5</v>
      </c>
      <c r="V4">
        <f t="shared" ref="V4:V9" si="5">((T4-U4))</f>
        <v>15.5</v>
      </c>
      <c r="AH4" t="s">
        <v>47</v>
      </c>
      <c r="AI4">
        <v>28.041666666666668</v>
      </c>
      <c r="AJ4">
        <v>2.5972222222222219</v>
      </c>
      <c r="AL4" t="s">
        <v>47</v>
      </c>
      <c r="AM4">
        <v>28.041666666666668</v>
      </c>
      <c r="AN4">
        <v>2.5972222222222219</v>
      </c>
    </row>
    <row r="7" spans="1:44" x14ac:dyDescent="0.3">
      <c r="A7" t="s">
        <v>73</v>
      </c>
    </row>
    <row r="8" spans="1:44" x14ac:dyDescent="0.3">
      <c r="B8">
        <v>65</v>
      </c>
      <c r="C8">
        <v>35</v>
      </c>
      <c r="D8">
        <v>25</v>
      </c>
      <c r="E8">
        <v>75</v>
      </c>
      <c r="G8">
        <v>74</v>
      </c>
      <c r="H8">
        <v>26</v>
      </c>
      <c r="I8">
        <v>25</v>
      </c>
      <c r="J8">
        <v>75</v>
      </c>
      <c r="L8">
        <v>85</v>
      </c>
      <c r="M8">
        <v>15</v>
      </c>
      <c r="N8">
        <v>11</v>
      </c>
      <c r="O8">
        <v>89</v>
      </c>
      <c r="Q8">
        <f t="shared" si="0"/>
        <v>30</v>
      </c>
      <c r="R8">
        <f t="shared" si="1"/>
        <v>25.5</v>
      </c>
      <c r="S8">
        <f t="shared" si="2"/>
        <v>13</v>
      </c>
      <c r="T8">
        <f t="shared" si="3"/>
        <v>22.833333333333332</v>
      </c>
      <c r="U8">
        <f t="shared" si="4"/>
        <v>13</v>
      </c>
      <c r="V8">
        <f t="shared" si="5"/>
        <v>9.8333333333333321</v>
      </c>
      <c r="W8">
        <f>AVERAGE(Q8:Q11)</f>
        <v>35.25</v>
      </c>
      <c r="X8">
        <f>_xlfn.STDEV.S(Q8:Q11)</f>
        <v>4.9916597106239795</v>
      </c>
      <c r="Y8">
        <f>AVERAGE(R8:R11)</f>
        <v>32.75</v>
      </c>
      <c r="Z8">
        <f>_xlfn.STDEV.S(R8:R11)</f>
        <v>5.3619026473818039</v>
      </c>
      <c r="AA8">
        <f>AVERAGE(S8:S11)</f>
        <v>11.625</v>
      </c>
      <c r="AB8">
        <f>_xlfn.STDEV.S(S8:S11)</f>
        <v>1.6007810593582121</v>
      </c>
      <c r="AC8">
        <f>AVERAGE(T8:T11)</f>
        <v>26.541666666666664</v>
      </c>
      <c r="AD8">
        <f>_xlfn.STDEV.S(T8:T11)</f>
        <v>2.7967408280459711</v>
      </c>
      <c r="AE8">
        <f>AVERAGE(V8:V11)</f>
        <v>14.916666666666664</v>
      </c>
      <c r="AF8">
        <f>_xlfn.STDEV.S(V8:V11)</f>
        <v>4.1510819651605919</v>
      </c>
      <c r="AI8" t="s">
        <v>5</v>
      </c>
      <c r="AJ8" t="s">
        <v>49</v>
      </c>
      <c r="AK8" t="s">
        <v>7</v>
      </c>
      <c r="AL8" t="s">
        <v>50</v>
      </c>
      <c r="AM8" t="s">
        <v>9</v>
      </c>
      <c r="AN8" t="s">
        <v>51</v>
      </c>
      <c r="AO8" t="s">
        <v>1</v>
      </c>
      <c r="AP8" t="s">
        <v>17</v>
      </c>
      <c r="AQ8" t="s">
        <v>19</v>
      </c>
      <c r="AR8" t="s">
        <v>20</v>
      </c>
    </row>
    <row r="9" spans="1:44" x14ac:dyDescent="0.3">
      <c r="B9">
        <v>58</v>
      </c>
      <c r="C9">
        <v>42</v>
      </c>
      <c r="D9">
        <v>42</v>
      </c>
      <c r="E9">
        <v>58</v>
      </c>
      <c r="G9">
        <v>71</v>
      </c>
      <c r="H9">
        <v>29</v>
      </c>
      <c r="I9">
        <v>43</v>
      </c>
      <c r="J9">
        <v>57</v>
      </c>
      <c r="L9">
        <v>90</v>
      </c>
      <c r="M9">
        <v>10</v>
      </c>
      <c r="N9">
        <v>11</v>
      </c>
      <c r="O9">
        <v>89</v>
      </c>
      <c r="Q9">
        <f t="shared" si="0"/>
        <v>42</v>
      </c>
      <c r="R9">
        <f t="shared" si="1"/>
        <v>36</v>
      </c>
      <c r="S9">
        <f t="shared" si="2"/>
        <v>10.5</v>
      </c>
      <c r="T9">
        <f t="shared" si="3"/>
        <v>29.5</v>
      </c>
      <c r="U9">
        <f t="shared" si="4"/>
        <v>10.5</v>
      </c>
      <c r="V9">
        <f t="shared" si="5"/>
        <v>19</v>
      </c>
      <c r="AH9" t="s">
        <v>47</v>
      </c>
      <c r="AI9" t="e">
        <f>AVERAGE(Q21:Q24)</f>
        <v>#DIV/0!</v>
      </c>
      <c r="AJ9" t="e">
        <f>_xlfn.STDEV.S(Q21:Q24)</f>
        <v>#DIV/0!</v>
      </c>
      <c r="AK9" t="e">
        <f>AVERAGE(R21:R24)</f>
        <v>#DIV/0!</v>
      </c>
      <c r="AL9" t="e">
        <f>_xlfn.STDEV.S(R21:R24)</f>
        <v>#DIV/0!</v>
      </c>
      <c r="AM9" t="e">
        <f>AVERAGE(S21:S24)</f>
        <v>#DIV/0!</v>
      </c>
      <c r="AN9" t="e">
        <f>_xlfn.STDEV.S(S21:S24)</f>
        <v>#DIV/0!</v>
      </c>
      <c r="AO9">
        <v>28.041666666666668</v>
      </c>
      <c r="AP9">
        <v>3.0103986446980731</v>
      </c>
      <c r="AQ9">
        <v>2.5972222222222219</v>
      </c>
      <c r="AR9">
        <v>0.62915286960589489</v>
      </c>
    </row>
    <row r="10" spans="1:44" x14ac:dyDescent="0.3">
      <c r="B10">
        <v>54</v>
      </c>
      <c r="C10">
        <v>46</v>
      </c>
      <c r="D10">
        <v>24</v>
      </c>
      <c r="E10">
        <v>76</v>
      </c>
      <c r="G10">
        <v>70</v>
      </c>
      <c r="H10">
        <v>30</v>
      </c>
      <c r="I10">
        <v>45</v>
      </c>
      <c r="J10">
        <v>55</v>
      </c>
      <c r="L10">
        <v>91</v>
      </c>
      <c r="M10">
        <v>9</v>
      </c>
      <c r="N10">
        <v>11</v>
      </c>
      <c r="O10">
        <v>89</v>
      </c>
      <c r="Q10">
        <f t="shared" ref="Q10:Q15" si="6">AVERAGE(C10,D10)</f>
        <v>35</v>
      </c>
      <c r="R10">
        <f t="shared" ref="R10:R15" si="7">AVERAGE(H10,I10)</f>
        <v>37.5</v>
      </c>
      <c r="S10">
        <f t="shared" ref="S10:S15" si="8">AVERAGE(M10,N10)</f>
        <v>10</v>
      </c>
      <c r="T10">
        <f t="shared" ref="T10:T15" si="9">AVERAGE(Q10:S10)</f>
        <v>27.5</v>
      </c>
      <c r="U10">
        <f t="shared" ref="U10:U15" si="10">MIN(Q10:S10)</f>
        <v>10</v>
      </c>
      <c r="V10">
        <f t="shared" ref="V10:V15" si="11">((T10-U10))</f>
        <v>17.5</v>
      </c>
    </row>
    <row r="11" spans="1:44" x14ac:dyDescent="0.3">
      <c r="B11">
        <v>66</v>
      </c>
      <c r="C11">
        <v>34</v>
      </c>
      <c r="D11">
        <v>34</v>
      </c>
      <c r="E11">
        <v>66</v>
      </c>
      <c r="G11">
        <v>65</v>
      </c>
      <c r="H11">
        <v>35</v>
      </c>
      <c r="I11">
        <v>29</v>
      </c>
      <c r="J11">
        <v>71</v>
      </c>
      <c r="L11">
        <v>86</v>
      </c>
      <c r="M11">
        <v>14</v>
      </c>
      <c r="N11">
        <v>12</v>
      </c>
      <c r="O11">
        <v>88</v>
      </c>
      <c r="Q11">
        <f t="shared" si="6"/>
        <v>34</v>
      </c>
      <c r="R11">
        <f t="shared" si="7"/>
        <v>32</v>
      </c>
      <c r="S11">
        <f t="shared" si="8"/>
        <v>13</v>
      </c>
      <c r="T11">
        <f t="shared" si="9"/>
        <v>26.333333333333332</v>
      </c>
      <c r="U11">
        <f t="shared" si="10"/>
        <v>13</v>
      </c>
      <c r="V11">
        <f t="shared" si="11"/>
        <v>13.333333333333332</v>
      </c>
    </row>
    <row r="12" spans="1:44" x14ac:dyDescent="0.3">
      <c r="A12" t="s">
        <v>74</v>
      </c>
    </row>
    <row r="13" spans="1:44" x14ac:dyDescent="0.3">
      <c r="B13">
        <v>48</v>
      </c>
      <c r="C13">
        <v>52</v>
      </c>
      <c r="D13">
        <v>38</v>
      </c>
      <c r="E13">
        <v>62</v>
      </c>
      <c r="G13">
        <v>68</v>
      </c>
      <c r="H13">
        <v>32</v>
      </c>
      <c r="I13">
        <v>38</v>
      </c>
      <c r="J13">
        <v>62</v>
      </c>
      <c r="L13">
        <v>89</v>
      </c>
      <c r="M13">
        <v>11</v>
      </c>
      <c r="N13">
        <v>15</v>
      </c>
      <c r="O13">
        <v>85</v>
      </c>
      <c r="Q13">
        <f t="shared" si="6"/>
        <v>45</v>
      </c>
      <c r="R13">
        <f t="shared" si="7"/>
        <v>35</v>
      </c>
      <c r="S13">
        <f t="shared" si="8"/>
        <v>13</v>
      </c>
      <c r="T13">
        <f t="shared" si="9"/>
        <v>31</v>
      </c>
      <c r="U13">
        <f t="shared" si="10"/>
        <v>13</v>
      </c>
      <c r="V13">
        <f t="shared" si="11"/>
        <v>18</v>
      </c>
      <c r="W13">
        <f>AVERAGE(Q13:Q15)</f>
        <v>34.333333333333336</v>
      </c>
      <c r="X13">
        <f>_xlfn.STDEV.S(Q13:Q15)</f>
        <v>9.2511260575852745</v>
      </c>
      <c r="Y13">
        <f>AVERAGE(R13:R15)</f>
        <v>35</v>
      </c>
      <c r="Z13">
        <f>_xlfn.STDEV.S(R13:R15)</f>
        <v>2.5</v>
      </c>
      <c r="AA13">
        <f>AVERAGE(S13:S15)</f>
        <v>11.833333333333334</v>
      </c>
      <c r="AB13">
        <f>_xlfn.STDEV.S(S13:S15)</f>
        <v>1.2583057392117918</v>
      </c>
      <c r="AC13">
        <f>AVERAGE(T13:T15)</f>
        <v>27.055555555555557</v>
      </c>
      <c r="AD13">
        <f>_xlfn.STDEV.S(T13:T15)</f>
        <v>3.441306814655209</v>
      </c>
      <c r="AE13">
        <f>AVERAGE(V13:V15)</f>
        <v>15.222222222222223</v>
      </c>
      <c r="AF13">
        <f>_xlfn.STDEV.S(V13:V15)</f>
        <v>2.6736020923368713</v>
      </c>
    </row>
    <row r="14" spans="1:44" x14ac:dyDescent="0.3">
      <c r="B14">
        <v>67</v>
      </c>
      <c r="C14">
        <v>33</v>
      </c>
      <c r="D14">
        <v>26</v>
      </c>
      <c r="E14">
        <v>74</v>
      </c>
      <c r="G14">
        <v>65</v>
      </c>
      <c r="H14">
        <v>35</v>
      </c>
      <c r="I14">
        <v>30</v>
      </c>
      <c r="J14">
        <v>70</v>
      </c>
      <c r="L14">
        <v>88</v>
      </c>
      <c r="M14">
        <v>12</v>
      </c>
      <c r="N14">
        <v>12</v>
      </c>
      <c r="O14">
        <v>88</v>
      </c>
      <c r="Q14">
        <f t="shared" si="6"/>
        <v>29.5</v>
      </c>
      <c r="R14">
        <f t="shared" si="7"/>
        <v>32.5</v>
      </c>
      <c r="S14">
        <f t="shared" si="8"/>
        <v>12</v>
      </c>
      <c r="T14">
        <f t="shared" si="9"/>
        <v>24.666666666666668</v>
      </c>
      <c r="U14">
        <f t="shared" si="10"/>
        <v>12</v>
      </c>
      <c r="V14">
        <f t="shared" si="11"/>
        <v>12.666666666666668</v>
      </c>
    </row>
    <row r="15" spans="1:44" x14ac:dyDescent="0.3">
      <c r="B15">
        <v>61</v>
      </c>
      <c r="C15">
        <v>39</v>
      </c>
      <c r="D15">
        <v>18</v>
      </c>
      <c r="E15">
        <v>82</v>
      </c>
      <c r="G15">
        <v>53</v>
      </c>
      <c r="H15">
        <v>47</v>
      </c>
      <c r="I15">
        <v>28</v>
      </c>
      <c r="J15">
        <v>72</v>
      </c>
      <c r="L15">
        <v>85</v>
      </c>
      <c r="M15">
        <v>15</v>
      </c>
      <c r="N15">
        <v>6</v>
      </c>
      <c r="O15">
        <v>94</v>
      </c>
      <c r="Q15">
        <f t="shared" si="6"/>
        <v>28.5</v>
      </c>
      <c r="R15">
        <f t="shared" si="7"/>
        <v>37.5</v>
      </c>
      <c r="S15">
        <f t="shared" si="8"/>
        <v>10.5</v>
      </c>
      <c r="T15">
        <f t="shared" si="9"/>
        <v>25.5</v>
      </c>
      <c r="U15">
        <f t="shared" si="10"/>
        <v>10.5</v>
      </c>
      <c r="V15">
        <f t="shared" si="11"/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10"/>
  <sheetViews>
    <sheetView topLeftCell="M1" workbookViewId="0">
      <selection activeCell="U19" sqref="A1:XFD1048576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72</v>
      </c>
    </row>
    <row r="2" spans="1:44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</v>
      </c>
      <c r="X2" t="s">
        <v>75</v>
      </c>
      <c r="Y2" t="s">
        <v>7</v>
      </c>
      <c r="Z2" t="s">
        <v>50</v>
      </c>
      <c r="AA2" t="s">
        <v>9</v>
      </c>
      <c r="AB2" t="s">
        <v>51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4" x14ac:dyDescent="0.3">
      <c r="B3">
        <v>61</v>
      </c>
      <c r="C3">
        <v>39</v>
      </c>
      <c r="D3">
        <v>30</v>
      </c>
      <c r="E3">
        <v>70</v>
      </c>
      <c r="G3">
        <v>77</v>
      </c>
      <c r="H3">
        <v>23</v>
      </c>
      <c r="I3">
        <v>28</v>
      </c>
      <c r="J3">
        <v>72</v>
      </c>
      <c r="L3">
        <v>93</v>
      </c>
      <c r="M3">
        <v>7</v>
      </c>
      <c r="N3">
        <v>19</v>
      </c>
      <c r="O3">
        <v>81</v>
      </c>
      <c r="Q3">
        <f>AVERAGE(C3,D3)</f>
        <v>34.5</v>
      </c>
      <c r="R3">
        <f>AVERAGE(H3,I3)</f>
        <v>25.5</v>
      </c>
      <c r="S3">
        <f>AVERAGE(M3,N3)</f>
        <v>13</v>
      </c>
      <c r="T3">
        <f>AVERAGE(Q3:S3)</f>
        <v>24.333333333333332</v>
      </c>
      <c r="U3">
        <f>MIN(Q3:S3)</f>
        <v>13</v>
      </c>
      <c r="V3">
        <f>((T3-U3))</f>
        <v>11.333333333333332</v>
      </c>
      <c r="W3">
        <f>AVERAGE(Q3:Q4)</f>
        <v>39.25</v>
      </c>
      <c r="X3">
        <f>_xlfn.STDEV.S(Q3:Q4)</f>
        <v>6.7175144212722016</v>
      </c>
      <c r="Y3">
        <f>AVERAGE(R3:R4)</f>
        <v>30.5</v>
      </c>
      <c r="Z3">
        <f>_xlfn.STDEV.S(R3:R4)</f>
        <v>7.0710678118654755</v>
      </c>
      <c r="AA3">
        <f>AVERAGE(S3:S4)</f>
        <v>11.75</v>
      </c>
      <c r="AB3">
        <f>_xlfn.STDEV.S(S3:S4)</f>
        <v>1.7677669529663689</v>
      </c>
      <c r="AC3">
        <f>AVERAGE(T3:T4)</f>
        <v>27.166666666666664</v>
      </c>
      <c r="AD3">
        <f>_xlfn.STDEV.S(T3:T4)</f>
        <v>4.00693842672381</v>
      </c>
      <c r="AE3">
        <f>AVERAGE(V3:V4)</f>
        <v>15.416666666666666</v>
      </c>
      <c r="AF3">
        <f>_xlfn.STDEV.S(V3:V4)</f>
        <v>5.7747053796901433</v>
      </c>
      <c r="AH3" t="s">
        <v>45</v>
      </c>
      <c r="AL3" t="s">
        <v>46</v>
      </c>
    </row>
    <row r="4" spans="1:44" x14ac:dyDescent="0.3">
      <c r="B4">
        <v>42</v>
      </c>
      <c r="C4">
        <v>58</v>
      </c>
      <c r="D4">
        <v>30</v>
      </c>
      <c r="E4">
        <v>70</v>
      </c>
      <c r="G4">
        <v>61</v>
      </c>
      <c r="H4">
        <v>39</v>
      </c>
      <c r="I4">
        <v>32</v>
      </c>
      <c r="J4">
        <v>68</v>
      </c>
      <c r="L4">
        <v>85</v>
      </c>
      <c r="M4">
        <v>15</v>
      </c>
      <c r="N4">
        <v>6</v>
      </c>
      <c r="O4">
        <v>94</v>
      </c>
      <c r="Q4">
        <f t="shared" ref="Q4:Q10" si="0">AVERAGE(C4,D4)</f>
        <v>44</v>
      </c>
      <c r="R4">
        <f t="shared" ref="R4:R10" si="1">AVERAGE(H4,I4)</f>
        <v>35.5</v>
      </c>
      <c r="S4">
        <f t="shared" ref="S4:S10" si="2">AVERAGE(M4,N4)</f>
        <v>10.5</v>
      </c>
      <c r="T4">
        <f t="shared" ref="T4:T10" si="3">AVERAGE(Q4:S4)</f>
        <v>30</v>
      </c>
      <c r="U4">
        <f t="shared" ref="U4:U10" si="4">MIN(Q4:S4)</f>
        <v>10.5</v>
      </c>
      <c r="V4">
        <f t="shared" ref="V4:V10" si="5">((T4-U4))</f>
        <v>19.5</v>
      </c>
      <c r="AH4" t="s">
        <v>47</v>
      </c>
      <c r="AI4">
        <v>28.041666666666668</v>
      </c>
      <c r="AJ4">
        <v>2.5972222222222219</v>
      </c>
      <c r="AL4" t="s">
        <v>47</v>
      </c>
      <c r="AM4">
        <v>28.041666666666668</v>
      </c>
      <c r="AN4">
        <v>2.5972222222222219</v>
      </c>
    </row>
    <row r="5" spans="1:44" x14ac:dyDescent="0.3">
      <c r="A5" t="s">
        <v>73</v>
      </c>
    </row>
    <row r="6" spans="1:44" x14ac:dyDescent="0.3">
      <c r="B6">
        <v>63</v>
      </c>
      <c r="C6">
        <v>37</v>
      </c>
      <c r="D6">
        <v>31</v>
      </c>
      <c r="E6">
        <v>69</v>
      </c>
      <c r="G6">
        <v>61</v>
      </c>
      <c r="H6">
        <v>39</v>
      </c>
      <c r="I6">
        <v>33</v>
      </c>
      <c r="J6">
        <v>67</v>
      </c>
      <c r="L6">
        <v>84</v>
      </c>
      <c r="M6">
        <v>16</v>
      </c>
      <c r="N6">
        <v>10</v>
      </c>
      <c r="O6">
        <v>90</v>
      </c>
      <c r="Q6">
        <f t="shared" si="0"/>
        <v>34</v>
      </c>
      <c r="R6">
        <f t="shared" si="1"/>
        <v>36</v>
      </c>
      <c r="S6">
        <f t="shared" si="2"/>
        <v>13</v>
      </c>
      <c r="T6">
        <f t="shared" si="3"/>
        <v>27.666666666666668</v>
      </c>
      <c r="U6">
        <f t="shared" si="4"/>
        <v>13</v>
      </c>
      <c r="V6">
        <f t="shared" si="5"/>
        <v>14.666666666666668</v>
      </c>
      <c r="W6">
        <f>AVERAGE(Q6:Q7)</f>
        <v>34.25</v>
      </c>
      <c r="X6">
        <f>_xlfn.STDEV.S(Q6:Q7)</f>
        <v>0.35355339059327379</v>
      </c>
      <c r="Y6">
        <f>AVERAGE(R6:R7)</f>
        <v>34.5</v>
      </c>
      <c r="Z6">
        <f>_xlfn.STDEV.S(R6:R7)</f>
        <v>2.1213203435596424</v>
      </c>
      <c r="AA6">
        <f>AVERAGE(S6:S7)</f>
        <v>14</v>
      </c>
      <c r="AB6">
        <f>_xlfn.STDEV.S(S6:S7)</f>
        <v>1.4142135623730951</v>
      </c>
      <c r="AC6">
        <f>AVERAGE(T6:T7)</f>
        <v>27.583333333333336</v>
      </c>
      <c r="AD6">
        <f>_xlfn.STDEV.S(T6:T7)</f>
        <v>0.11785113019775875</v>
      </c>
      <c r="AE6">
        <f>AVERAGE(V6:V7)</f>
        <v>13.583333333333334</v>
      </c>
      <c r="AF6">
        <f>_xlfn.STDEV.S(V6:V7)</f>
        <v>1.5320646925708539</v>
      </c>
      <c r="AI6" t="s">
        <v>5</v>
      </c>
      <c r="AJ6" t="s">
        <v>49</v>
      </c>
      <c r="AK6" t="s">
        <v>7</v>
      </c>
      <c r="AL6" t="s">
        <v>50</v>
      </c>
      <c r="AM6" t="s">
        <v>9</v>
      </c>
      <c r="AN6" t="s">
        <v>51</v>
      </c>
      <c r="AO6" t="s">
        <v>1</v>
      </c>
      <c r="AP6" t="s">
        <v>17</v>
      </c>
      <c r="AQ6" t="s">
        <v>19</v>
      </c>
      <c r="AR6" t="s">
        <v>20</v>
      </c>
    </row>
    <row r="7" spans="1:44" x14ac:dyDescent="0.3">
      <c r="B7">
        <v>53</v>
      </c>
      <c r="C7">
        <v>47</v>
      </c>
      <c r="D7">
        <v>22</v>
      </c>
      <c r="E7">
        <v>78</v>
      </c>
      <c r="G7">
        <v>67</v>
      </c>
      <c r="H7">
        <v>33</v>
      </c>
      <c r="I7">
        <v>33</v>
      </c>
      <c r="J7">
        <v>67</v>
      </c>
      <c r="L7">
        <v>82</v>
      </c>
      <c r="M7">
        <v>18</v>
      </c>
      <c r="N7">
        <v>12</v>
      </c>
      <c r="O7">
        <v>88</v>
      </c>
      <c r="Q7">
        <f t="shared" si="0"/>
        <v>34.5</v>
      </c>
      <c r="R7">
        <f t="shared" si="1"/>
        <v>33</v>
      </c>
      <c r="S7">
        <f t="shared" si="2"/>
        <v>15</v>
      </c>
      <c r="T7">
        <f t="shared" si="3"/>
        <v>27.5</v>
      </c>
      <c r="U7">
        <f t="shared" si="4"/>
        <v>15</v>
      </c>
      <c r="V7">
        <f t="shared" si="5"/>
        <v>12.5</v>
      </c>
      <c r="AH7" t="s">
        <v>47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A8" t="s">
        <v>74</v>
      </c>
    </row>
    <row r="9" spans="1:44" x14ac:dyDescent="0.3">
      <c r="B9">
        <v>66</v>
      </c>
      <c r="C9">
        <v>34</v>
      </c>
      <c r="D9">
        <v>29</v>
      </c>
      <c r="E9">
        <v>71</v>
      </c>
      <c r="G9">
        <v>77</v>
      </c>
      <c r="H9">
        <v>23</v>
      </c>
      <c r="I9">
        <v>32</v>
      </c>
      <c r="J9">
        <v>68</v>
      </c>
      <c r="L9">
        <v>85</v>
      </c>
      <c r="M9">
        <v>15</v>
      </c>
      <c r="N9">
        <v>10</v>
      </c>
      <c r="O9">
        <v>90</v>
      </c>
      <c r="Q9">
        <f t="shared" si="0"/>
        <v>31.5</v>
      </c>
      <c r="R9">
        <f t="shared" si="1"/>
        <v>27.5</v>
      </c>
      <c r="S9">
        <f t="shared" si="2"/>
        <v>12.5</v>
      </c>
      <c r="T9">
        <f t="shared" si="3"/>
        <v>23.833333333333332</v>
      </c>
      <c r="U9">
        <f t="shared" si="4"/>
        <v>12.5</v>
      </c>
      <c r="V9">
        <f t="shared" si="5"/>
        <v>11.333333333333332</v>
      </c>
      <c r="W9">
        <f>AVERAGE(Q9:Q10)</f>
        <v>27</v>
      </c>
      <c r="X9">
        <f>_xlfn.STDEV.S(Q9:Q10)</f>
        <v>6.3639610306789276</v>
      </c>
      <c r="Y9">
        <f>AVERAGE(R9:R10)</f>
        <v>23</v>
      </c>
      <c r="Z9">
        <f>_xlfn.STDEV.S(R9:R10)</f>
        <v>6.3639610306789276</v>
      </c>
      <c r="AA9">
        <f>AVERAGE(S9:S10)</f>
        <v>11</v>
      </c>
      <c r="AB9">
        <f>_xlfn.STDEV.S(S9:S10)</f>
        <v>2.1213203435596424</v>
      </c>
      <c r="AC9">
        <f>AVERAGE(T9:T10)</f>
        <v>20.333333333333332</v>
      </c>
      <c r="AD9">
        <f>_xlfn.STDEV.S(T9:T10)</f>
        <v>4.9497474683058327</v>
      </c>
      <c r="AE9">
        <f>AVERAGE(V9:V10)</f>
        <v>9.3333333333333321</v>
      </c>
      <c r="AF9">
        <f>_xlfn.STDEV.S(V9:V10)</f>
        <v>2.8284271247461903</v>
      </c>
    </row>
    <row r="10" spans="1:44" x14ac:dyDescent="0.3">
      <c r="B10">
        <v>68</v>
      </c>
      <c r="C10">
        <v>32</v>
      </c>
      <c r="D10">
        <v>13</v>
      </c>
      <c r="E10">
        <v>87</v>
      </c>
      <c r="G10">
        <v>89</v>
      </c>
      <c r="H10">
        <v>11</v>
      </c>
      <c r="I10">
        <v>26</v>
      </c>
      <c r="J10">
        <v>74</v>
      </c>
      <c r="L10">
        <v>90</v>
      </c>
      <c r="M10">
        <v>10</v>
      </c>
      <c r="N10">
        <v>9</v>
      </c>
      <c r="O10">
        <v>91</v>
      </c>
      <c r="Q10">
        <f t="shared" si="0"/>
        <v>22.5</v>
      </c>
      <c r="R10">
        <f t="shared" si="1"/>
        <v>18.5</v>
      </c>
      <c r="S10">
        <f t="shared" si="2"/>
        <v>9.5</v>
      </c>
      <c r="T10">
        <f t="shared" si="3"/>
        <v>16.833333333333332</v>
      </c>
      <c r="U10">
        <f t="shared" si="4"/>
        <v>9.5</v>
      </c>
      <c r="V10">
        <f t="shared" si="5"/>
        <v>7.3333333333333321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M5" workbookViewId="0">
      <selection activeCell="W21" sqref="W21:AF21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22</v>
      </c>
    </row>
    <row r="2" spans="1:44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71</v>
      </c>
      <c r="X2" t="s">
        <v>49</v>
      </c>
      <c r="Y2" t="s">
        <v>7</v>
      </c>
      <c r="Z2" t="s">
        <v>50</v>
      </c>
      <c r="AA2" t="s">
        <v>9</v>
      </c>
      <c r="AB2" t="s">
        <v>51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39</v>
      </c>
      <c r="AL3" t="s">
        <v>42</v>
      </c>
    </row>
    <row r="4" spans="1:44" x14ac:dyDescent="0.3">
      <c r="Q4" t="e">
        <f t="shared" ref="Q4:Q67" si="0">AVERAGE(C4,D4)</f>
        <v>#DIV/0!</v>
      </c>
      <c r="R4" t="e">
        <f t="shared" ref="R4:R67" si="1">AVERAGE(H4:I4)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33</v>
      </c>
      <c r="AI4">
        <v>19.472222222222225</v>
      </c>
      <c r="AJ4">
        <v>1.3518518518518519</v>
      </c>
      <c r="AL4" t="s">
        <v>33</v>
      </c>
      <c r="AM4">
        <v>19.472222222222225</v>
      </c>
      <c r="AN4">
        <v>1.3518518518518519</v>
      </c>
    </row>
    <row r="5" spans="1:44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34</v>
      </c>
      <c r="AI5">
        <v>19.925925925925927</v>
      </c>
      <c r="AJ5">
        <v>1.7530864197530864</v>
      </c>
      <c r="AL5" t="s">
        <v>34</v>
      </c>
      <c r="AM5">
        <v>19.925925925925927</v>
      </c>
      <c r="AN5">
        <v>1.7530864197530864</v>
      </c>
    </row>
    <row r="6" spans="1:44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31</v>
      </c>
      <c r="AM6">
        <v>20.333333333333332</v>
      </c>
      <c r="AN6">
        <v>1.7777777777777779</v>
      </c>
    </row>
    <row r="7" spans="1:44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  <c r="AH7" t="s">
        <v>40</v>
      </c>
      <c r="AL7" t="s">
        <v>40</v>
      </c>
    </row>
    <row r="8" spans="1:44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  <c r="AH8" t="s">
        <v>33</v>
      </c>
      <c r="AI8">
        <v>19.472222222222225</v>
      </c>
      <c r="AJ8">
        <v>1.3518518518518519</v>
      </c>
      <c r="AL8" t="s">
        <v>33</v>
      </c>
      <c r="AM8">
        <v>19.472222222222225</v>
      </c>
      <c r="AN8">
        <v>1.3518518518518519</v>
      </c>
    </row>
    <row r="9" spans="1:44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4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4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  <c r="AI11" t="s">
        <v>5</v>
      </c>
      <c r="AJ11" t="s">
        <v>49</v>
      </c>
      <c r="AK11" t="s">
        <v>7</v>
      </c>
      <c r="AL11" t="s">
        <v>50</v>
      </c>
      <c r="AM11" t="s">
        <v>9</v>
      </c>
      <c r="AN11" t="s">
        <v>51</v>
      </c>
      <c r="AO11" t="s">
        <v>1</v>
      </c>
      <c r="AP11" t="s">
        <v>17</v>
      </c>
      <c r="AQ11" t="s">
        <v>19</v>
      </c>
      <c r="AR11" t="s">
        <v>20</v>
      </c>
    </row>
    <row r="12" spans="1:44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  <c r="AH12" t="s">
        <v>21</v>
      </c>
      <c r="AI12">
        <f>AVERAGE(Q16:Q24)</f>
        <v>28.9</v>
      </c>
      <c r="AJ12">
        <f>_xlfn.STDEV.S(Q16:Q24)</f>
        <v>4.1140004861448372</v>
      </c>
      <c r="AK12">
        <f>AVERAGE(R16:R24)</f>
        <v>29</v>
      </c>
      <c r="AL12">
        <f>_xlfn.STDEV.S(R16:R24)</f>
        <v>3.9528470752104741</v>
      </c>
      <c r="AM12">
        <f>AVERAGE(S16:S24)</f>
        <v>9.8000000000000007</v>
      </c>
      <c r="AN12">
        <f>_xlfn.STDEV.S(S16:S24)</f>
        <v>2.8853076092507024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33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21</v>
      </c>
    </row>
    <row r="15" spans="1:44" x14ac:dyDescent="0.3">
      <c r="A15" t="s">
        <v>23</v>
      </c>
    </row>
    <row r="16" spans="1:44" x14ac:dyDescent="0.3">
      <c r="B16">
        <v>81</v>
      </c>
      <c r="C16">
        <v>19</v>
      </c>
      <c r="D16">
        <v>30</v>
      </c>
      <c r="E16">
        <v>70</v>
      </c>
      <c r="G16">
        <v>72</v>
      </c>
      <c r="H16">
        <v>28</v>
      </c>
      <c r="I16">
        <v>36</v>
      </c>
      <c r="J16">
        <v>64</v>
      </c>
      <c r="L16">
        <v>93</v>
      </c>
      <c r="M16">
        <v>7</v>
      </c>
      <c r="N16">
        <v>15</v>
      </c>
      <c r="O16">
        <v>85</v>
      </c>
      <c r="Q16">
        <f t="shared" si="0"/>
        <v>24.5</v>
      </c>
      <c r="R16">
        <f t="shared" si="1"/>
        <v>32</v>
      </c>
      <c r="S16">
        <f t="shared" si="2"/>
        <v>11</v>
      </c>
      <c r="T16">
        <f t="shared" si="3"/>
        <v>22.5</v>
      </c>
      <c r="U16">
        <f t="shared" si="4"/>
        <v>11</v>
      </c>
      <c r="V16">
        <f>(T16-U16)</f>
        <v>11.5</v>
      </c>
      <c r="W16">
        <f>AVERAGE(Q16:Q18)</f>
        <v>28.5</v>
      </c>
      <c r="X16">
        <f>_xlfn.STDEV.S(Q16:Q18)</f>
        <v>4.5825756949558398</v>
      </c>
      <c r="Y16">
        <f>AVERAGE(R16:R18)</f>
        <v>29.5</v>
      </c>
      <c r="Z16">
        <f>_xlfn.STDEV.S(R16:R18)</f>
        <v>3.5</v>
      </c>
      <c r="AA16">
        <f>AVERAGE(S16:S18)</f>
        <v>10.166666666666666</v>
      </c>
      <c r="AB16">
        <f>_xlfn.STDEV.S(S16:S18)</f>
        <v>1.4433756729740677</v>
      </c>
      <c r="AC16">
        <f>AVERAGE(T16:T18)</f>
        <v>22.722222222222225</v>
      </c>
      <c r="AD16">
        <f>_xlfn.STDEV.S(T16:T18)</f>
        <v>2.3412563895228313</v>
      </c>
      <c r="AE16">
        <f>AVERAGE(V16:V18)</f>
        <v>12.555555555555557</v>
      </c>
      <c r="AF16">
        <f>_xlfn.STDEV.S(V16:V18)</f>
        <v>1.4174834246858978</v>
      </c>
    </row>
    <row r="17" spans="1:32" x14ac:dyDescent="0.3">
      <c r="B17">
        <v>65</v>
      </c>
      <c r="C17">
        <v>35</v>
      </c>
      <c r="D17">
        <v>32</v>
      </c>
      <c r="E17">
        <v>68</v>
      </c>
      <c r="G17">
        <v>73</v>
      </c>
      <c r="H17">
        <v>27</v>
      </c>
      <c r="I17">
        <v>35</v>
      </c>
      <c r="J17">
        <v>65</v>
      </c>
      <c r="L17">
        <v>92</v>
      </c>
      <c r="M17">
        <v>8</v>
      </c>
      <c r="N17">
        <v>14</v>
      </c>
      <c r="O17">
        <v>86</v>
      </c>
      <c r="Q17">
        <f t="shared" si="0"/>
        <v>33.5</v>
      </c>
      <c r="R17">
        <f t="shared" si="1"/>
        <v>31</v>
      </c>
      <c r="S17">
        <f t="shared" si="2"/>
        <v>11</v>
      </c>
      <c r="T17">
        <f t="shared" si="3"/>
        <v>25.166666666666668</v>
      </c>
      <c r="U17">
        <f t="shared" si="4"/>
        <v>11</v>
      </c>
      <c r="V17">
        <f>(T17-U17)</f>
        <v>14.166666666666668</v>
      </c>
    </row>
    <row r="18" spans="1:32" x14ac:dyDescent="0.3">
      <c r="B18">
        <v>69</v>
      </c>
      <c r="C18">
        <v>31</v>
      </c>
      <c r="D18">
        <v>24</v>
      </c>
      <c r="E18">
        <v>76</v>
      </c>
      <c r="G18">
        <v>87</v>
      </c>
      <c r="H18">
        <v>13</v>
      </c>
      <c r="I18">
        <v>38</v>
      </c>
      <c r="J18">
        <v>62</v>
      </c>
      <c r="L18">
        <v>93</v>
      </c>
      <c r="M18">
        <v>7</v>
      </c>
      <c r="N18">
        <v>10</v>
      </c>
      <c r="O18">
        <v>90</v>
      </c>
      <c r="Q18">
        <f t="shared" si="0"/>
        <v>27.5</v>
      </c>
      <c r="R18">
        <f t="shared" si="1"/>
        <v>25.5</v>
      </c>
      <c r="S18">
        <f t="shared" si="2"/>
        <v>8.5</v>
      </c>
      <c r="T18">
        <f t="shared" si="3"/>
        <v>20.5</v>
      </c>
      <c r="U18">
        <f t="shared" si="4"/>
        <v>8.5</v>
      </c>
      <c r="V18">
        <f>(T18-U18)</f>
        <v>12</v>
      </c>
    </row>
    <row r="20" spans="1:32" x14ac:dyDescent="0.3">
      <c r="A20" t="s">
        <v>76</v>
      </c>
    </row>
    <row r="21" spans="1:32" x14ac:dyDescent="0.3">
      <c r="B21">
        <v>76</v>
      </c>
      <c r="C21">
        <v>24</v>
      </c>
      <c r="D21">
        <v>28</v>
      </c>
      <c r="E21">
        <v>72</v>
      </c>
      <c r="G21">
        <v>91</v>
      </c>
      <c r="H21">
        <v>9</v>
      </c>
      <c r="I21">
        <v>39</v>
      </c>
      <c r="J21">
        <v>61</v>
      </c>
      <c r="L21">
        <v>97</v>
      </c>
      <c r="M21">
        <v>3</v>
      </c>
      <c r="N21">
        <v>8</v>
      </c>
      <c r="O21">
        <v>92</v>
      </c>
      <c r="Q21">
        <f t="shared" ref="Q19:Q22" si="6">AVERAGE(C21,D21)</f>
        <v>26</v>
      </c>
      <c r="R21">
        <f t="shared" ref="R19:R22" si="7">AVERAGE(H21:I21)</f>
        <v>24</v>
      </c>
      <c r="S21">
        <f t="shared" ref="S19:S22" si="8">AVERAGE(M21,N21)</f>
        <v>5.5</v>
      </c>
      <c r="T21">
        <f t="shared" ref="T19:T22" si="9">AVERAGE(Q21:S21)</f>
        <v>18.5</v>
      </c>
      <c r="U21">
        <f t="shared" ref="U19:U22" si="10">MIN(Q21:S21)</f>
        <v>5.5</v>
      </c>
      <c r="V21">
        <f t="shared" ref="V19:V22" si="11">(T21-U21)</f>
        <v>13</v>
      </c>
      <c r="W21">
        <f>AVERAGE(Q21:Q23)</f>
        <v>29.5</v>
      </c>
      <c r="X21">
        <f>_xlfn.STDEV.S(Q21:Q23)</f>
        <v>4.9497474683058327</v>
      </c>
      <c r="Y21">
        <f>AVERAGE(R21:R23)</f>
        <v>28.25</v>
      </c>
      <c r="Z21">
        <f>_xlfn.STDEV.S(R21:R23)</f>
        <v>6.0104076400856536</v>
      </c>
      <c r="AA21">
        <f>AVERAGE(S21:S23)</f>
        <v>9.25</v>
      </c>
      <c r="AB21">
        <f>_xlfn.STDEV.S(S21:S23)</f>
        <v>5.3033008588991066</v>
      </c>
      <c r="AC21">
        <f>AVERAGE(T21:T23)</f>
        <v>22.333333333333336</v>
      </c>
      <c r="AD21">
        <f>_xlfn.STDEV.S(T21:T23)</f>
        <v>5.4211519890968356</v>
      </c>
      <c r="AE21">
        <f>AVERAGE(V21:V23)</f>
        <v>13.083333333333334</v>
      </c>
      <c r="AF21">
        <f>_xlfn.STDEV.S(V21:V23)</f>
        <v>0.11785113019775875</v>
      </c>
    </row>
    <row r="22" spans="1:32" x14ac:dyDescent="0.3">
      <c r="B22">
        <v>73</v>
      </c>
      <c r="C22">
        <v>27</v>
      </c>
      <c r="D22">
        <v>39</v>
      </c>
      <c r="E22">
        <v>61</v>
      </c>
      <c r="G22">
        <v>76</v>
      </c>
      <c r="H22">
        <v>24</v>
      </c>
      <c r="I22">
        <v>41</v>
      </c>
      <c r="J22">
        <v>59</v>
      </c>
      <c r="L22">
        <v>92</v>
      </c>
      <c r="M22">
        <v>8</v>
      </c>
      <c r="N22">
        <v>18</v>
      </c>
      <c r="O22">
        <v>82</v>
      </c>
      <c r="Q22">
        <f t="shared" si="6"/>
        <v>33</v>
      </c>
      <c r="R22">
        <f t="shared" si="7"/>
        <v>32.5</v>
      </c>
      <c r="S22">
        <f t="shared" si="8"/>
        <v>13</v>
      </c>
      <c r="T22">
        <f t="shared" si="9"/>
        <v>26.166666666666668</v>
      </c>
      <c r="U22">
        <f t="shared" si="10"/>
        <v>13</v>
      </c>
      <c r="V22">
        <f t="shared" si="11"/>
        <v>13.166666666666668</v>
      </c>
    </row>
    <row r="26" spans="1:32" x14ac:dyDescent="0.3">
      <c r="A26" t="s">
        <v>26</v>
      </c>
    </row>
    <row r="27" spans="1:32" x14ac:dyDescent="0.3">
      <c r="A27" t="s">
        <v>23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0"/>
        <v>#DIV/0!</v>
      </c>
      <c r="R29" t="e">
        <f t="shared" si="1"/>
        <v>#DIV/0!</v>
      </c>
      <c r="S29" t="e">
        <f t="shared" si="2"/>
        <v>#DIV/0!</v>
      </c>
      <c r="T29" t="e">
        <f t="shared" si="3"/>
        <v>#DIV/0!</v>
      </c>
      <c r="U29" t="e">
        <f t="shared" si="4"/>
        <v>#DIV/0!</v>
      </c>
      <c r="V29" t="e">
        <f t="shared" si="5"/>
        <v>#DIV/0!</v>
      </c>
    </row>
    <row r="30" spans="1:32" x14ac:dyDescent="0.3">
      <c r="Q30" t="e">
        <f t="shared" si="0"/>
        <v>#DIV/0!</v>
      </c>
      <c r="R30" t="e">
        <f t="shared" si="1"/>
        <v>#DIV/0!</v>
      </c>
      <c r="S30" t="e">
        <f t="shared" si="2"/>
        <v>#DIV/0!</v>
      </c>
      <c r="T30" t="e">
        <f t="shared" si="3"/>
        <v>#DIV/0!</v>
      </c>
      <c r="U30" t="e">
        <f t="shared" si="4"/>
        <v>#DIV/0!</v>
      </c>
      <c r="V30" t="e">
        <f t="shared" si="5"/>
        <v>#DIV/0!</v>
      </c>
    </row>
    <row r="32" spans="1:32" x14ac:dyDescent="0.3">
      <c r="A32" t="s">
        <v>27</v>
      </c>
    </row>
    <row r="33" spans="1:32" x14ac:dyDescent="0.3">
      <c r="A33" t="s">
        <v>23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0" spans="1:32" x14ac:dyDescent="0.3">
      <c r="Q40" t="e">
        <f t="shared" si="0"/>
        <v>#DIV/0!</v>
      </c>
      <c r="R40" t="e">
        <f t="shared" si="1"/>
        <v>#DIV/0!</v>
      </c>
      <c r="S40" t="e">
        <f t="shared" si="2"/>
        <v>#DIV/0!</v>
      </c>
      <c r="T40" t="e">
        <f t="shared" si="3"/>
        <v>#DIV/0!</v>
      </c>
      <c r="U40" t="e">
        <f t="shared" si="4"/>
        <v>#DIV/0!</v>
      </c>
      <c r="V40" t="e">
        <f t="shared" si="5"/>
        <v>#DIV/0!</v>
      </c>
    </row>
    <row r="41" spans="1:32" x14ac:dyDescent="0.3">
      <c r="Q41" t="e">
        <f t="shared" si="0"/>
        <v>#DIV/0!</v>
      </c>
      <c r="R41" t="e">
        <f t="shared" si="1"/>
        <v>#DIV/0!</v>
      </c>
      <c r="S41" t="e">
        <f t="shared" si="2"/>
        <v>#DIV/0!</v>
      </c>
      <c r="T41" t="e">
        <f t="shared" si="3"/>
        <v>#DIV/0!</v>
      </c>
      <c r="U41" t="e">
        <f t="shared" si="4"/>
        <v>#DIV/0!</v>
      </c>
      <c r="V41" t="e">
        <f t="shared" si="5"/>
        <v>#DIV/0!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</row>
    <row r="44" spans="1:32" x14ac:dyDescent="0.3">
      <c r="A44" t="s">
        <v>28</v>
      </c>
    </row>
    <row r="45" spans="1:32" x14ac:dyDescent="0.3">
      <c r="A45" t="s">
        <v>23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1" spans="1:32" x14ac:dyDescent="0.3">
      <c r="Q51" t="e">
        <f t="shared" si="0"/>
        <v>#DIV/0!</v>
      </c>
      <c r="R51" t="e">
        <f t="shared" si="1"/>
        <v>#DIV/0!</v>
      </c>
      <c r="S51" t="e">
        <f t="shared" si="2"/>
        <v>#DIV/0!</v>
      </c>
      <c r="T51" t="e">
        <f t="shared" si="3"/>
        <v>#DIV/0!</v>
      </c>
      <c r="U51" t="e">
        <f t="shared" si="4"/>
        <v>#DIV/0!</v>
      </c>
      <c r="V51" t="e">
        <f t="shared" si="5"/>
        <v>#DIV/0!</v>
      </c>
    </row>
    <row r="52" spans="1:32" x14ac:dyDescent="0.3">
      <c r="Q52" t="e">
        <f t="shared" si="0"/>
        <v>#DIV/0!</v>
      </c>
      <c r="R52" t="e">
        <f t="shared" si="1"/>
        <v>#DIV/0!</v>
      </c>
      <c r="S52" t="e">
        <f t="shared" si="2"/>
        <v>#DIV/0!</v>
      </c>
      <c r="T52" t="e">
        <f t="shared" si="3"/>
        <v>#DIV/0!</v>
      </c>
      <c r="U52" t="e">
        <f t="shared" si="4"/>
        <v>#DIV/0!</v>
      </c>
      <c r="V52" t="e">
        <f t="shared" si="5"/>
        <v>#DIV/0!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29</v>
      </c>
    </row>
    <row r="57" spans="1:32" x14ac:dyDescent="0.3">
      <c r="A57" t="s">
        <v>23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1" spans="1:32" x14ac:dyDescent="0.3">
      <c r="A61" t="s">
        <v>30</v>
      </c>
    </row>
    <row r="62" spans="1:32" x14ac:dyDescent="0.3">
      <c r="A62" t="s">
        <v>23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0"/>
        <v>#DIV/0!</v>
      </c>
      <c r="R64" t="e">
        <f t="shared" si="1"/>
        <v>#DIV/0!</v>
      </c>
      <c r="S64" t="e">
        <f t="shared" si="2"/>
        <v>#DIV/0!</v>
      </c>
      <c r="T64" t="e">
        <f t="shared" si="3"/>
        <v>#DIV/0!</v>
      </c>
      <c r="U64" t="e">
        <f t="shared" si="4"/>
        <v>#DIV/0!</v>
      </c>
      <c r="V64" t="e">
        <f t="shared" si="5"/>
        <v>#DIV/0!</v>
      </c>
    </row>
    <row r="65" spans="1:32" x14ac:dyDescent="0.3">
      <c r="Q65" t="e">
        <f t="shared" si="0"/>
        <v>#DIV/0!</v>
      </c>
      <c r="R65" t="e">
        <f t="shared" si="1"/>
        <v>#DIV/0!</v>
      </c>
      <c r="S65" t="e">
        <f t="shared" si="2"/>
        <v>#DIV/0!</v>
      </c>
      <c r="T65" t="e">
        <f t="shared" si="3"/>
        <v>#DIV/0!</v>
      </c>
      <c r="U65" t="e">
        <f t="shared" si="4"/>
        <v>#DIV/0!</v>
      </c>
      <c r="V65" t="e">
        <f t="shared" si="5"/>
        <v>#DIV/0!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109" si="12">AVERAGE(C68,D68)</f>
        <v>#DIV/0!</v>
      </c>
      <c r="R68" t="e">
        <f t="shared" ref="R68:R109" si="13">AVERAGE(H68:I68)</f>
        <v>#DIV/0!</v>
      </c>
      <c r="S68" t="e">
        <f t="shared" ref="S68:S109" si="14">AVERAGE(M68,N68)</f>
        <v>#DIV/0!</v>
      </c>
      <c r="T68" t="e">
        <f t="shared" ref="T68:T109" si="15">AVERAGE(Q68:S68)</f>
        <v>#DIV/0!</v>
      </c>
      <c r="U68" t="e">
        <f t="shared" ref="U68:U109" si="16">MIN(Q68:S68)</f>
        <v>#DIV/0!</v>
      </c>
      <c r="V68" t="e">
        <f t="shared" ref="V68:V109" si="17">(1/3)*(T68-U68)</f>
        <v>#DIV/0!</v>
      </c>
    </row>
    <row r="69" spans="1:32" x14ac:dyDescent="0.3">
      <c r="Q69" t="e">
        <f t="shared" si="12"/>
        <v>#DIV/0!</v>
      </c>
      <c r="R69" t="e">
        <f t="shared" si="13"/>
        <v>#DIV/0!</v>
      </c>
      <c r="S69" t="e">
        <f t="shared" si="14"/>
        <v>#DIV/0!</v>
      </c>
      <c r="T69" t="e">
        <f t="shared" si="15"/>
        <v>#DIV/0!</v>
      </c>
      <c r="U69" t="e">
        <f t="shared" si="16"/>
        <v>#DIV/0!</v>
      </c>
      <c r="V69" t="e">
        <f t="shared" si="17"/>
        <v>#DIV/0!</v>
      </c>
    </row>
    <row r="71" spans="1:32" x14ac:dyDescent="0.3">
      <c r="A71" t="s">
        <v>31</v>
      </c>
    </row>
    <row r="72" spans="1:32" x14ac:dyDescent="0.3">
      <c r="A72" t="s">
        <v>23</v>
      </c>
    </row>
    <row r="73" spans="1:32" x14ac:dyDescent="0.3">
      <c r="Q73" t="e">
        <f t="shared" si="12"/>
        <v>#DIV/0!</v>
      </c>
      <c r="R73" t="e">
        <f t="shared" si="13"/>
        <v>#DIV/0!</v>
      </c>
      <c r="S73" t="e">
        <f t="shared" si="14"/>
        <v>#DIV/0!</v>
      </c>
      <c r="T73" t="e">
        <f t="shared" si="15"/>
        <v>#DIV/0!</v>
      </c>
      <c r="U73" t="e">
        <f t="shared" si="16"/>
        <v>#DIV/0!</v>
      </c>
      <c r="V73" t="e">
        <f t="shared" si="17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12"/>
        <v>#DIV/0!</v>
      </c>
      <c r="R74" t="e">
        <f t="shared" si="13"/>
        <v>#DIV/0!</v>
      </c>
      <c r="S74" t="e">
        <f t="shared" si="14"/>
        <v>#DIV/0!</v>
      </c>
      <c r="T74" t="e">
        <f t="shared" si="15"/>
        <v>#DIV/0!</v>
      </c>
      <c r="U74" t="e">
        <f t="shared" si="16"/>
        <v>#DIV/0!</v>
      </c>
      <c r="V74" t="e">
        <f t="shared" si="17"/>
        <v>#DIV/0!</v>
      </c>
    </row>
    <row r="75" spans="1:32" x14ac:dyDescent="0.3">
      <c r="Q75" t="e">
        <f t="shared" si="12"/>
        <v>#DIV/0!</v>
      </c>
      <c r="R75" t="e">
        <f t="shared" si="13"/>
        <v>#DIV/0!</v>
      </c>
      <c r="S75" t="e">
        <f t="shared" si="14"/>
        <v>#DIV/0!</v>
      </c>
      <c r="T75" t="e">
        <f t="shared" si="15"/>
        <v>#DIV/0!</v>
      </c>
      <c r="U75" t="e">
        <f t="shared" si="16"/>
        <v>#DIV/0!</v>
      </c>
      <c r="V75" t="e">
        <f t="shared" si="17"/>
        <v>#DIV/0!</v>
      </c>
    </row>
    <row r="77" spans="1:32" x14ac:dyDescent="0.3">
      <c r="A77" t="s">
        <v>32</v>
      </c>
    </row>
    <row r="78" spans="1:32" x14ac:dyDescent="0.3">
      <c r="A78" t="s">
        <v>23</v>
      </c>
    </row>
    <row r="79" spans="1:32" x14ac:dyDescent="0.3">
      <c r="Q79" t="e">
        <f t="shared" si="12"/>
        <v>#DIV/0!</v>
      </c>
      <c r="R79" t="e">
        <f t="shared" si="13"/>
        <v>#DIV/0!</v>
      </c>
      <c r="S79" t="e">
        <f t="shared" si="14"/>
        <v>#DIV/0!</v>
      </c>
      <c r="T79" t="e">
        <f t="shared" si="15"/>
        <v>#DIV/0!</v>
      </c>
      <c r="U79" t="e">
        <f t="shared" si="16"/>
        <v>#DIV/0!</v>
      </c>
      <c r="V79" t="e">
        <f t="shared" si="17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12"/>
        <v>#DIV/0!</v>
      </c>
      <c r="R80" t="e">
        <f t="shared" si="13"/>
        <v>#DIV/0!</v>
      </c>
      <c r="S80" t="e">
        <f t="shared" si="14"/>
        <v>#DIV/0!</v>
      </c>
      <c r="T80" t="e">
        <f t="shared" si="15"/>
        <v>#DIV/0!</v>
      </c>
      <c r="U80" t="e">
        <f t="shared" si="16"/>
        <v>#DIV/0!</v>
      </c>
      <c r="V80" t="e">
        <f t="shared" si="17"/>
        <v>#DIV/0!</v>
      </c>
    </row>
    <row r="81" spans="1:32" x14ac:dyDescent="0.3">
      <c r="Q81" t="e">
        <f t="shared" si="12"/>
        <v>#DIV/0!</v>
      </c>
      <c r="R81" t="e">
        <f t="shared" si="13"/>
        <v>#DIV/0!</v>
      </c>
      <c r="S81" t="e">
        <f t="shared" si="14"/>
        <v>#DIV/0!</v>
      </c>
      <c r="T81" t="e">
        <f t="shared" si="15"/>
        <v>#DIV/0!</v>
      </c>
      <c r="U81" t="e">
        <f t="shared" si="16"/>
        <v>#DIV/0!</v>
      </c>
      <c r="V81" t="e">
        <f t="shared" si="17"/>
        <v>#DIV/0!</v>
      </c>
    </row>
    <row r="82" spans="1:32" x14ac:dyDescent="0.3">
      <c r="Q82" t="e">
        <f t="shared" si="12"/>
        <v>#DIV/0!</v>
      </c>
      <c r="R82" t="e">
        <f t="shared" si="13"/>
        <v>#DIV/0!</v>
      </c>
      <c r="S82" t="e">
        <f t="shared" si="14"/>
        <v>#DIV/0!</v>
      </c>
      <c r="T82" t="e">
        <f t="shared" si="15"/>
        <v>#DIV/0!</v>
      </c>
      <c r="U82" t="e">
        <f t="shared" si="16"/>
        <v>#DIV/0!</v>
      </c>
      <c r="V82" t="e">
        <f t="shared" si="17"/>
        <v>#DIV/0!</v>
      </c>
    </row>
    <row r="83" spans="1:32" x14ac:dyDescent="0.3">
      <c r="Q83" t="e">
        <f t="shared" si="12"/>
        <v>#DIV/0!</v>
      </c>
      <c r="R83" t="e">
        <f t="shared" si="13"/>
        <v>#DIV/0!</v>
      </c>
      <c r="S83" t="e">
        <f t="shared" si="14"/>
        <v>#DIV/0!</v>
      </c>
      <c r="T83" t="e">
        <f t="shared" si="15"/>
        <v>#DIV/0!</v>
      </c>
      <c r="U83" t="e">
        <f t="shared" si="16"/>
        <v>#DIV/0!</v>
      </c>
      <c r="V83" t="e">
        <f t="shared" si="17"/>
        <v>#DIV/0!</v>
      </c>
    </row>
    <row r="84" spans="1:32" x14ac:dyDescent="0.3">
      <c r="Q84" t="e">
        <f t="shared" si="12"/>
        <v>#DIV/0!</v>
      </c>
      <c r="R84" t="e">
        <f t="shared" si="13"/>
        <v>#DIV/0!</v>
      </c>
      <c r="S84" t="e">
        <f t="shared" si="14"/>
        <v>#DIV/0!</v>
      </c>
      <c r="T84" t="e">
        <f t="shared" si="15"/>
        <v>#DIV/0!</v>
      </c>
      <c r="U84" t="e">
        <f t="shared" si="16"/>
        <v>#DIV/0!</v>
      </c>
      <c r="V84" t="e">
        <f t="shared" si="17"/>
        <v>#DIV/0!</v>
      </c>
    </row>
    <row r="85" spans="1:32" x14ac:dyDescent="0.3">
      <c r="Q85" t="e">
        <f t="shared" si="12"/>
        <v>#DIV/0!</v>
      </c>
      <c r="R85" t="e">
        <f t="shared" si="13"/>
        <v>#DIV/0!</v>
      </c>
      <c r="S85" t="e">
        <f t="shared" si="14"/>
        <v>#DIV/0!</v>
      </c>
      <c r="T85" t="e">
        <f t="shared" si="15"/>
        <v>#DIV/0!</v>
      </c>
      <c r="U85" t="e">
        <f t="shared" si="16"/>
        <v>#DIV/0!</v>
      </c>
      <c r="V85" t="e">
        <f t="shared" si="17"/>
        <v>#DIV/0!</v>
      </c>
    </row>
    <row r="86" spans="1:32" x14ac:dyDescent="0.3">
      <c r="Q86" t="e">
        <f t="shared" si="12"/>
        <v>#DIV/0!</v>
      </c>
      <c r="R86" t="e">
        <f t="shared" si="13"/>
        <v>#DIV/0!</v>
      </c>
      <c r="S86" t="e">
        <f t="shared" si="14"/>
        <v>#DIV/0!</v>
      </c>
      <c r="T86" t="e">
        <f t="shared" si="15"/>
        <v>#DIV/0!</v>
      </c>
      <c r="U86" t="e">
        <f t="shared" si="16"/>
        <v>#DIV/0!</v>
      </c>
      <c r="V86" t="e">
        <f t="shared" si="17"/>
        <v>#DIV/0!</v>
      </c>
    </row>
    <row r="87" spans="1:32" x14ac:dyDescent="0.3">
      <c r="Q87" t="e">
        <f t="shared" si="12"/>
        <v>#DIV/0!</v>
      </c>
      <c r="R87" t="e">
        <f t="shared" si="13"/>
        <v>#DIV/0!</v>
      </c>
      <c r="S87" t="e">
        <f t="shared" si="14"/>
        <v>#DIV/0!</v>
      </c>
      <c r="T87" t="e">
        <f t="shared" si="15"/>
        <v>#DIV/0!</v>
      </c>
      <c r="U87" t="e">
        <f t="shared" si="16"/>
        <v>#DIV/0!</v>
      </c>
      <c r="V87" t="e">
        <f t="shared" si="17"/>
        <v>#DIV/0!</v>
      </c>
    </row>
    <row r="88" spans="1:32" x14ac:dyDescent="0.3">
      <c r="Q88" t="e">
        <f t="shared" si="12"/>
        <v>#DIV/0!</v>
      </c>
      <c r="R88" t="e">
        <f t="shared" si="13"/>
        <v>#DIV/0!</v>
      </c>
      <c r="S88" t="e">
        <f t="shared" si="14"/>
        <v>#DIV/0!</v>
      </c>
      <c r="T88" t="e">
        <f t="shared" si="15"/>
        <v>#DIV/0!</v>
      </c>
      <c r="U88" t="e">
        <f t="shared" si="16"/>
        <v>#DIV/0!</v>
      </c>
      <c r="V88" t="e">
        <f t="shared" si="17"/>
        <v>#DIV/0!</v>
      </c>
    </row>
    <row r="90" spans="1:32" x14ac:dyDescent="0.3">
      <c r="A90" t="s">
        <v>33</v>
      </c>
    </row>
    <row r="91" spans="1:32" x14ac:dyDescent="0.3">
      <c r="A91" t="s">
        <v>23</v>
      </c>
    </row>
    <row r="92" spans="1:32" x14ac:dyDescent="0.3">
      <c r="Q92" t="e">
        <f t="shared" si="12"/>
        <v>#DIV/0!</v>
      </c>
      <c r="R92" t="e">
        <f t="shared" si="13"/>
        <v>#DIV/0!</v>
      </c>
      <c r="S92" t="e">
        <f t="shared" si="14"/>
        <v>#DIV/0!</v>
      </c>
      <c r="T92" t="e">
        <f t="shared" si="15"/>
        <v>#DIV/0!</v>
      </c>
      <c r="U92" t="e">
        <f t="shared" si="16"/>
        <v>#DIV/0!</v>
      </c>
      <c r="V92" t="e">
        <f t="shared" si="17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12"/>
        <v>#DIV/0!</v>
      </c>
      <c r="R93" t="e">
        <f t="shared" si="13"/>
        <v>#DIV/0!</v>
      </c>
      <c r="S93" t="e">
        <f t="shared" si="14"/>
        <v>#DIV/0!</v>
      </c>
      <c r="T93" t="e">
        <f t="shared" si="15"/>
        <v>#DIV/0!</v>
      </c>
      <c r="U93" t="e">
        <f t="shared" si="16"/>
        <v>#DIV/0!</v>
      </c>
      <c r="V93" t="e">
        <f t="shared" si="17"/>
        <v>#DIV/0!</v>
      </c>
    </row>
    <row r="94" spans="1:32" x14ac:dyDescent="0.3">
      <c r="Q94" t="e">
        <f t="shared" si="12"/>
        <v>#DIV/0!</v>
      </c>
      <c r="R94" t="e">
        <f t="shared" si="13"/>
        <v>#DIV/0!</v>
      </c>
      <c r="S94" t="e">
        <f t="shared" si="14"/>
        <v>#DIV/0!</v>
      </c>
      <c r="T94" t="e">
        <f t="shared" si="15"/>
        <v>#DIV/0!</v>
      </c>
      <c r="U94" t="e">
        <f t="shared" si="16"/>
        <v>#DIV/0!</v>
      </c>
      <c r="V94" t="e">
        <f t="shared" si="17"/>
        <v>#DIV/0!</v>
      </c>
    </row>
    <row r="95" spans="1:32" x14ac:dyDescent="0.3">
      <c r="Q95" t="e">
        <f t="shared" si="12"/>
        <v>#DIV/0!</v>
      </c>
      <c r="R95" t="e">
        <f t="shared" si="13"/>
        <v>#DIV/0!</v>
      </c>
      <c r="S95" t="e">
        <f t="shared" si="14"/>
        <v>#DIV/0!</v>
      </c>
      <c r="T95" t="e">
        <f t="shared" si="15"/>
        <v>#DIV/0!</v>
      </c>
      <c r="U95" t="e">
        <f t="shared" si="16"/>
        <v>#DIV/0!</v>
      </c>
      <c r="V95" t="e">
        <f t="shared" si="17"/>
        <v>#DIV/0!</v>
      </c>
    </row>
    <row r="96" spans="1:32" x14ac:dyDescent="0.3">
      <c r="Q96" t="e">
        <f t="shared" si="12"/>
        <v>#DIV/0!</v>
      </c>
      <c r="R96" t="e">
        <f t="shared" si="13"/>
        <v>#DIV/0!</v>
      </c>
      <c r="S96" t="e">
        <f t="shared" si="14"/>
        <v>#DIV/0!</v>
      </c>
      <c r="T96" t="e">
        <f t="shared" si="15"/>
        <v>#DIV/0!</v>
      </c>
      <c r="U96" t="e">
        <f t="shared" si="16"/>
        <v>#DIV/0!</v>
      </c>
      <c r="V96" t="e">
        <f t="shared" si="17"/>
        <v>#DIV/0!</v>
      </c>
    </row>
    <row r="97" spans="1:32" x14ac:dyDescent="0.3">
      <c r="Q97" t="e">
        <f t="shared" si="12"/>
        <v>#DIV/0!</v>
      </c>
      <c r="R97" t="e">
        <f t="shared" si="13"/>
        <v>#DIV/0!</v>
      </c>
      <c r="S97" t="e">
        <f t="shared" si="14"/>
        <v>#DIV/0!</v>
      </c>
      <c r="T97" t="e">
        <f t="shared" si="15"/>
        <v>#DIV/0!</v>
      </c>
      <c r="U97" t="e">
        <f t="shared" si="16"/>
        <v>#DIV/0!</v>
      </c>
      <c r="V97" t="e">
        <f t="shared" si="17"/>
        <v>#DIV/0!</v>
      </c>
    </row>
    <row r="99" spans="1:32" x14ac:dyDescent="0.3">
      <c r="A99" t="s">
        <v>34</v>
      </c>
    </row>
    <row r="100" spans="1:32" x14ac:dyDescent="0.3">
      <c r="A100" t="s">
        <v>23</v>
      </c>
    </row>
    <row r="101" spans="1:32" x14ac:dyDescent="0.3">
      <c r="Q101" t="e">
        <f t="shared" si="12"/>
        <v>#DIV/0!</v>
      </c>
      <c r="R101" t="e">
        <f t="shared" si="13"/>
        <v>#DIV/0!</v>
      </c>
      <c r="S101" t="e">
        <f t="shared" si="14"/>
        <v>#DIV/0!</v>
      </c>
      <c r="T101" t="e">
        <f t="shared" si="15"/>
        <v>#DIV/0!</v>
      </c>
      <c r="U101" t="e">
        <f t="shared" si="16"/>
        <v>#DIV/0!</v>
      </c>
      <c r="V101" t="e">
        <f t="shared" si="17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12"/>
        <v>#DIV/0!</v>
      </c>
      <c r="R102" t="e">
        <f t="shared" si="13"/>
        <v>#DIV/0!</v>
      </c>
      <c r="S102" t="e">
        <f t="shared" si="14"/>
        <v>#DIV/0!</v>
      </c>
      <c r="T102" t="e">
        <f t="shared" si="15"/>
        <v>#DIV/0!</v>
      </c>
      <c r="U102" t="e">
        <f t="shared" si="16"/>
        <v>#DIV/0!</v>
      </c>
      <c r="V102" t="e">
        <f t="shared" si="17"/>
        <v>#DIV/0!</v>
      </c>
    </row>
    <row r="103" spans="1:32" x14ac:dyDescent="0.3">
      <c r="Q103" t="e">
        <f t="shared" si="12"/>
        <v>#DIV/0!</v>
      </c>
      <c r="R103" t="e">
        <f t="shared" si="13"/>
        <v>#DIV/0!</v>
      </c>
      <c r="S103" t="e">
        <f t="shared" si="14"/>
        <v>#DIV/0!</v>
      </c>
      <c r="T103" t="e">
        <f t="shared" si="15"/>
        <v>#DIV/0!</v>
      </c>
      <c r="U103" t="e">
        <f t="shared" si="16"/>
        <v>#DIV/0!</v>
      </c>
      <c r="V103" t="e">
        <f t="shared" si="17"/>
        <v>#DIV/0!</v>
      </c>
    </row>
    <row r="104" spans="1:32" x14ac:dyDescent="0.3">
      <c r="Q104" t="e">
        <f t="shared" si="12"/>
        <v>#DIV/0!</v>
      </c>
      <c r="R104" t="e">
        <f t="shared" si="13"/>
        <v>#DIV/0!</v>
      </c>
      <c r="S104" t="e">
        <f t="shared" si="14"/>
        <v>#DIV/0!</v>
      </c>
      <c r="T104" t="e">
        <f t="shared" si="15"/>
        <v>#DIV/0!</v>
      </c>
      <c r="U104" t="e">
        <f t="shared" si="16"/>
        <v>#DIV/0!</v>
      </c>
      <c r="V104" t="e">
        <f t="shared" si="17"/>
        <v>#DIV/0!</v>
      </c>
    </row>
    <row r="105" spans="1:32" x14ac:dyDescent="0.3">
      <c r="Q105" t="e">
        <f t="shared" si="12"/>
        <v>#DIV/0!</v>
      </c>
      <c r="R105" t="e">
        <f t="shared" si="13"/>
        <v>#DIV/0!</v>
      </c>
      <c r="S105" t="e">
        <f t="shared" si="14"/>
        <v>#DIV/0!</v>
      </c>
      <c r="T105" t="e">
        <f t="shared" si="15"/>
        <v>#DIV/0!</v>
      </c>
      <c r="U105" t="e">
        <f t="shared" si="16"/>
        <v>#DIV/0!</v>
      </c>
      <c r="V105" t="e">
        <f t="shared" si="17"/>
        <v>#DIV/0!</v>
      </c>
    </row>
    <row r="106" spans="1:32" x14ac:dyDescent="0.3">
      <c r="Q106" t="e">
        <f t="shared" si="12"/>
        <v>#DIV/0!</v>
      </c>
      <c r="R106" t="e">
        <f t="shared" si="13"/>
        <v>#DIV/0!</v>
      </c>
      <c r="S106" t="e">
        <f t="shared" si="14"/>
        <v>#DIV/0!</v>
      </c>
      <c r="T106" t="e">
        <f t="shared" si="15"/>
        <v>#DIV/0!</v>
      </c>
      <c r="U106" t="e">
        <f t="shared" si="16"/>
        <v>#DIV/0!</v>
      </c>
      <c r="V106" t="e">
        <f t="shared" si="17"/>
        <v>#DIV/0!</v>
      </c>
    </row>
    <row r="107" spans="1:32" x14ac:dyDescent="0.3">
      <c r="Q107" t="e">
        <f t="shared" si="12"/>
        <v>#DIV/0!</v>
      </c>
      <c r="R107" t="e">
        <f t="shared" si="13"/>
        <v>#DIV/0!</v>
      </c>
      <c r="S107" t="e">
        <f t="shared" si="14"/>
        <v>#DIV/0!</v>
      </c>
      <c r="T107" t="e">
        <f t="shared" si="15"/>
        <v>#DIV/0!</v>
      </c>
      <c r="U107" t="e">
        <f t="shared" si="16"/>
        <v>#DIV/0!</v>
      </c>
      <c r="V107" t="e">
        <f t="shared" si="17"/>
        <v>#DIV/0!</v>
      </c>
    </row>
    <row r="108" spans="1:32" x14ac:dyDescent="0.3">
      <c r="Q108" t="e">
        <f t="shared" si="12"/>
        <v>#DIV/0!</v>
      </c>
      <c r="R108" t="e">
        <f t="shared" si="13"/>
        <v>#DIV/0!</v>
      </c>
      <c r="S108" t="e">
        <f t="shared" si="14"/>
        <v>#DIV/0!</v>
      </c>
      <c r="T108" t="e">
        <f t="shared" si="15"/>
        <v>#DIV/0!</v>
      </c>
      <c r="U108" t="e">
        <f t="shared" si="16"/>
        <v>#DIV/0!</v>
      </c>
      <c r="V108" t="e">
        <f t="shared" si="17"/>
        <v>#DIV/0!</v>
      </c>
    </row>
    <row r="109" spans="1:32" x14ac:dyDescent="0.3">
      <c r="Q109" t="e">
        <f t="shared" si="12"/>
        <v>#DIV/0!</v>
      </c>
      <c r="R109" t="e">
        <f t="shared" si="13"/>
        <v>#DIV/0!</v>
      </c>
      <c r="S109" t="e">
        <f t="shared" si="14"/>
        <v>#DIV/0!</v>
      </c>
      <c r="T109" t="e">
        <f t="shared" si="15"/>
        <v>#DIV/0!</v>
      </c>
      <c r="U109" t="e">
        <f t="shared" si="16"/>
        <v>#DIV/0!</v>
      </c>
      <c r="V109" t="e">
        <f t="shared" si="17"/>
        <v>#DIV/0!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5"/>
  <sheetViews>
    <sheetView topLeftCell="O1" workbookViewId="0">
      <selection activeCell="W3" sqref="W3:AF3"/>
    </sheetView>
  </sheetViews>
  <sheetFormatPr defaultRowHeight="14.4" x14ac:dyDescent="0.3"/>
  <cols>
    <col min="23" max="23" width="13.109375" customWidth="1"/>
  </cols>
  <sheetData>
    <row r="1" spans="1:32" x14ac:dyDescent="0.3">
      <c r="A1" t="s">
        <v>0</v>
      </c>
      <c r="Q1" t="s">
        <v>11</v>
      </c>
    </row>
    <row r="2" spans="1:32" x14ac:dyDescent="0.3">
      <c r="A2" t="s">
        <v>23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71</v>
      </c>
      <c r="X2" t="s">
        <v>49</v>
      </c>
      <c r="Y2" t="s">
        <v>7</v>
      </c>
      <c r="Z2" t="s">
        <v>50</v>
      </c>
      <c r="AA2" t="s">
        <v>9</v>
      </c>
      <c r="AB2" t="s">
        <v>51</v>
      </c>
      <c r="AC2" t="s">
        <v>1</v>
      </c>
      <c r="AD2" t="s">
        <v>17</v>
      </c>
      <c r="AE2" t="s">
        <v>19</v>
      </c>
      <c r="AF2" t="s">
        <v>20</v>
      </c>
    </row>
    <row r="3" spans="1:32" x14ac:dyDescent="0.3">
      <c r="B3">
        <v>56</v>
      </c>
      <c r="C3">
        <v>44</v>
      </c>
      <c r="D3">
        <v>19</v>
      </c>
      <c r="E3">
        <v>81</v>
      </c>
      <c r="G3">
        <v>52</v>
      </c>
      <c r="H3">
        <v>48</v>
      </c>
      <c r="I3">
        <v>30</v>
      </c>
      <c r="J3">
        <v>70</v>
      </c>
      <c r="L3">
        <v>87</v>
      </c>
      <c r="M3">
        <v>13</v>
      </c>
      <c r="N3">
        <v>10</v>
      </c>
      <c r="O3">
        <v>90</v>
      </c>
      <c r="Q3">
        <f>AVERAGE(C3:D3)</f>
        <v>31.5</v>
      </c>
      <c r="R3">
        <f>AVERAGE(H3:I3)</f>
        <v>39</v>
      </c>
      <c r="S3">
        <f>AVERAGE(M3:N3)</f>
        <v>11.5</v>
      </c>
      <c r="T3">
        <f>AVERAGE(Q3:S3)</f>
        <v>27.333333333333332</v>
      </c>
      <c r="U3">
        <f>MIN(Q3:S3)</f>
        <v>11.5</v>
      </c>
      <c r="V3">
        <f>T3-U3</f>
        <v>15.833333333333332</v>
      </c>
      <c r="W3">
        <f>AVERAGE(Q3:Q5)</f>
        <v>36</v>
      </c>
      <c r="X3">
        <f>_xlfn.STDEV.S(Q3:Q5)</f>
        <v>4.0926763859362252</v>
      </c>
      <c r="Y3">
        <f>AVERAGE(R3:R5)</f>
        <v>37.333333333333336</v>
      </c>
      <c r="Z3">
        <f>_xlfn.STDEV.S(R3:R5)</f>
        <v>2.0816659994661326</v>
      </c>
      <c r="AA3">
        <f>AVERAGE(S3:S5)</f>
        <v>13.833333333333334</v>
      </c>
      <c r="AB3">
        <f>_xlfn.STDEV.S(S3:S5)</f>
        <v>2.0207259421636854</v>
      </c>
      <c r="AC3">
        <f>AVERAGE(T3:T5)</f>
        <v>29.055555555555554</v>
      </c>
      <c r="AD3">
        <f>_xlfn.STDEV.S(T3:T5)</f>
        <v>1.4938144066387506</v>
      </c>
      <c r="AE3">
        <f>AVERAGE(V3:V5)</f>
        <v>15.222222222222221</v>
      </c>
      <c r="AF3">
        <f>_xlfn.STDEV.S(V3:V5)</f>
        <v>0.53575837561071948</v>
      </c>
    </row>
    <row r="4" spans="1:32" x14ac:dyDescent="0.3">
      <c r="B4">
        <v>57</v>
      </c>
      <c r="C4">
        <v>43</v>
      </c>
      <c r="D4">
        <v>31</v>
      </c>
      <c r="E4">
        <v>69</v>
      </c>
      <c r="G4">
        <v>74</v>
      </c>
      <c r="H4">
        <v>26</v>
      </c>
      <c r="I4">
        <v>50</v>
      </c>
      <c r="J4">
        <v>50</v>
      </c>
      <c r="L4">
        <v>87</v>
      </c>
      <c r="M4">
        <v>13</v>
      </c>
      <c r="N4">
        <v>17</v>
      </c>
      <c r="O4">
        <v>83</v>
      </c>
      <c r="Q4">
        <f t="shared" ref="Q4:Q5" si="0">AVERAGE(C4:D4)</f>
        <v>37</v>
      </c>
      <c r="R4">
        <f t="shared" ref="R4:R5" si="1">AVERAGE(H4:I4)</f>
        <v>38</v>
      </c>
      <c r="S4">
        <f t="shared" ref="S4:S5" si="2">AVERAGE(M4:N4)</f>
        <v>15</v>
      </c>
      <c r="T4">
        <f t="shared" ref="T4:T5" si="3">AVERAGE(Q4:S4)</f>
        <v>30</v>
      </c>
      <c r="U4">
        <f t="shared" ref="U4:U5" si="4">MIN(Q4:S4)</f>
        <v>15</v>
      </c>
      <c r="V4">
        <f t="shared" ref="V4:V5" si="5">T4-U4</f>
        <v>15</v>
      </c>
    </row>
    <row r="5" spans="1:32" x14ac:dyDescent="0.3">
      <c r="B5">
        <v>51</v>
      </c>
      <c r="C5">
        <v>49</v>
      </c>
      <c r="D5">
        <v>30</v>
      </c>
      <c r="E5">
        <v>70</v>
      </c>
      <c r="G5">
        <v>71</v>
      </c>
      <c r="H5">
        <v>29</v>
      </c>
      <c r="I5">
        <v>41</v>
      </c>
      <c r="J5">
        <v>59</v>
      </c>
      <c r="L5">
        <v>87</v>
      </c>
      <c r="M5">
        <v>13</v>
      </c>
      <c r="N5">
        <v>17</v>
      </c>
      <c r="O5">
        <v>83</v>
      </c>
      <c r="Q5">
        <f t="shared" si="0"/>
        <v>39.5</v>
      </c>
      <c r="R5">
        <f t="shared" si="1"/>
        <v>35</v>
      </c>
      <c r="S5">
        <f t="shared" si="2"/>
        <v>15</v>
      </c>
      <c r="T5">
        <f t="shared" si="3"/>
        <v>29.833333333333332</v>
      </c>
      <c r="U5">
        <f t="shared" si="4"/>
        <v>15</v>
      </c>
      <c r="V5">
        <f t="shared" si="5"/>
        <v>14.833333333333332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18</vt:i4>
      </vt:variant>
    </vt:vector>
  </HeadingPairs>
  <TitlesOfParts>
    <vt:vector size="18" baseType="lpstr">
      <vt:lpstr>Foglio1</vt:lpstr>
      <vt:lpstr>DIFF_ONLYMIN</vt:lpstr>
      <vt:lpstr>MIT_DIFF_ONLYMIN_STDAUG</vt:lpstr>
      <vt:lpstr>PARBS_STDAUG</vt:lpstr>
      <vt:lpstr>MIT_PARBS_DIFF_ONLYMIN_STDAUG</vt:lpstr>
      <vt:lpstr>MIT_DIFF_STDAUG</vt:lpstr>
      <vt:lpstr>MIT_DIFF_NOAUG</vt:lpstr>
      <vt:lpstr>MIT_PARBS_STDAUG</vt:lpstr>
      <vt:lpstr>MIT_PARBS_NOAUG</vt:lpstr>
      <vt:lpstr>MIT_STDAUG</vt:lpstr>
      <vt:lpstr>MIT_NOAUG</vt:lpstr>
      <vt:lpstr>STD_IMB_AUG</vt:lpstr>
      <vt:lpstr>STD_IMB_NOAUG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2026-02-03T22:22:51Z</dcterms:modified>
</cp:coreProperties>
</file>