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T\0.05\"/>
    </mc:Choice>
  </mc:AlternateContent>
  <xr:revisionPtr revIDLastSave="0" documentId="13_ncr:1_{7DA1DBF0-1383-42B9-A182-122B8D34C8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PARBS_STD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STDAUG" sheetId="12" r:id="rId9"/>
    <sheet name="MIT_NOAUG" sheetId="11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17" l="1"/>
  <c r="AE12" i="17"/>
  <c r="AB12" i="17"/>
  <c r="AA12" i="17"/>
  <c r="Z12" i="17"/>
  <c r="Y12" i="17"/>
  <c r="X12" i="17"/>
  <c r="W12" i="17"/>
  <c r="V12" i="17"/>
  <c r="U12" i="17"/>
  <c r="Q12" i="17"/>
  <c r="AC12" i="17" s="1"/>
  <c r="R12" i="17"/>
  <c r="S12" i="17"/>
  <c r="T12" i="17"/>
  <c r="AD12" i="17" s="1"/>
  <c r="Q13" i="17"/>
  <c r="AC13" i="17" s="1"/>
  <c r="R13" i="17"/>
  <c r="S13" i="17"/>
  <c r="T13" i="17"/>
  <c r="AD13" i="17" s="1"/>
  <c r="Q14" i="17"/>
  <c r="R14" i="17"/>
  <c r="S14" i="17"/>
  <c r="T14" i="17"/>
  <c r="AC14" i="17"/>
  <c r="AD14" i="17"/>
  <c r="AF4" i="18"/>
  <c r="AE4" i="18"/>
  <c r="AB4" i="18"/>
  <c r="AA4" i="18"/>
  <c r="Z4" i="18"/>
  <c r="Y4" i="18"/>
  <c r="X4" i="18"/>
  <c r="W4" i="18"/>
  <c r="V4" i="18"/>
  <c r="U4" i="18"/>
  <c r="Q6" i="18"/>
  <c r="AC6" i="18" s="1"/>
  <c r="R6" i="18"/>
  <c r="S6" i="18"/>
  <c r="T6" i="18"/>
  <c r="AF12" i="19"/>
  <c r="AE12" i="19"/>
  <c r="AB12" i="19"/>
  <c r="AA12" i="19"/>
  <c r="Z12" i="19"/>
  <c r="Y12" i="19"/>
  <c r="X12" i="19"/>
  <c r="W12" i="19"/>
  <c r="V12" i="19"/>
  <c r="U12" i="19"/>
  <c r="Q12" i="19"/>
  <c r="R12" i="19"/>
  <c r="S12" i="19"/>
  <c r="T12" i="19"/>
  <c r="AC12" i="19"/>
  <c r="AD12" i="19"/>
  <c r="Q13" i="19"/>
  <c r="AC13" i="19" s="1"/>
  <c r="R13" i="19"/>
  <c r="S13" i="19"/>
  <c r="T13" i="19"/>
  <c r="AD13" i="19" s="1"/>
  <c r="Q14" i="19"/>
  <c r="R14" i="19"/>
  <c r="S14" i="19"/>
  <c r="T14" i="19"/>
  <c r="AC14" i="19"/>
  <c r="AD14" i="19"/>
  <c r="Q15" i="19"/>
  <c r="R15" i="19"/>
  <c r="S15" i="19"/>
  <c r="T15" i="19"/>
  <c r="AC15" i="19"/>
  <c r="AD15" i="19"/>
  <c r="U4" i="19"/>
  <c r="AF21" i="16"/>
  <c r="AE21" i="16"/>
  <c r="AB21" i="16"/>
  <c r="AA21" i="16"/>
  <c r="Z21" i="16"/>
  <c r="Y21" i="16"/>
  <c r="X21" i="16"/>
  <c r="W21" i="16"/>
  <c r="V21" i="16"/>
  <c r="U21" i="16"/>
  <c r="U12" i="16"/>
  <c r="Q21" i="16"/>
  <c r="R21" i="16"/>
  <c r="S21" i="16"/>
  <c r="T21" i="16"/>
  <c r="AC21" i="16"/>
  <c r="AD21" i="16"/>
  <c r="Q22" i="16"/>
  <c r="R22" i="16"/>
  <c r="S22" i="16"/>
  <c r="T22" i="16"/>
  <c r="AC22" i="16"/>
  <c r="AD22" i="16"/>
  <c r="Q23" i="16"/>
  <c r="T23" i="16" s="1"/>
  <c r="R23" i="16"/>
  <c r="S23" i="16"/>
  <c r="Q24" i="16"/>
  <c r="R24" i="16"/>
  <c r="S24" i="16"/>
  <c r="T24" i="16"/>
  <c r="AC24" i="16"/>
  <c r="AD24" i="16"/>
  <c r="Q25" i="16"/>
  <c r="R25" i="16"/>
  <c r="S25" i="16"/>
  <c r="T25" i="16"/>
  <c r="AD25" i="16" s="1"/>
  <c r="AC25" i="16"/>
  <c r="Q26" i="16"/>
  <c r="R26" i="16"/>
  <c r="S26" i="16"/>
  <c r="T26" i="16"/>
  <c r="AC26" i="16"/>
  <c r="AD26" i="16"/>
  <c r="AF9" i="8"/>
  <c r="AE9" i="8"/>
  <c r="AB9" i="8"/>
  <c r="AA9" i="8"/>
  <c r="Z9" i="8"/>
  <c r="Y9" i="8"/>
  <c r="X9" i="8"/>
  <c r="W9" i="8"/>
  <c r="V9" i="8"/>
  <c r="U9" i="8"/>
  <c r="Z4" i="8"/>
  <c r="U4" i="8"/>
  <c r="Q9" i="8"/>
  <c r="R9" i="8"/>
  <c r="S9" i="8"/>
  <c r="T9" i="8"/>
  <c r="AD9" i="8" s="1"/>
  <c r="AC9" i="8"/>
  <c r="Q10" i="8"/>
  <c r="R10" i="8"/>
  <c r="S10" i="8"/>
  <c r="T10" i="8"/>
  <c r="AC10" i="8"/>
  <c r="AD10" i="8"/>
  <c r="Q11" i="8"/>
  <c r="T11" i="8" s="1"/>
  <c r="R11" i="8"/>
  <c r="S11" i="8"/>
  <c r="Q12" i="8"/>
  <c r="T12" i="8" s="1"/>
  <c r="R12" i="8"/>
  <c r="S12" i="8"/>
  <c r="Q13" i="8"/>
  <c r="R13" i="8"/>
  <c r="S13" i="8"/>
  <c r="T13" i="8"/>
  <c r="AD13" i="8" s="1"/>
  <c r="AC13" i="8"/>
  <c r="Z12" i="16"/>
  <c r="Y12" i="16"/>
  <c r="X12" i="16"/>
  <c r="W12" i="16"/>
  <c r="U4" i="16"/>
  <c r="Q12" i="16"/>
  <c r="T12" i="16" s="1"/>
  <c r="R12" i="16"/>
  <c r="S12" i="16"/>
  <c r="Q13" i="16"/>
  <c r="R13" i="16"/>
  <c r="S13" i="16"/>
  <c r="T13" i="16"/>
  <c r="AD13" i="16" s="1"/>
  <c r="AC13" i="16"/>
  <c r="Q14" i="16"/>
  <c r="R14" i="16"/>
  <c r="S14" i="16"/>
  <c r="T14" i="16"/>
  <c r="AC14" i="16"/>
  <c r="AD14" i="16"/>
  <c r="AF4" i="17"/>
  <c r="AB4" i="17"/>
  <c r="Z4" i="17"/>
  <c r="X4" i="17"/>
  <c r="V4" i="17"/>
  <c r="AE4" i="17"/>
  <c r="AA4" i="17"/>
  <c r="Y4" i="17"/>
  <c r="W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B4" i="19"/>
  <c r="Z4" i="19"/>
  <c r="X4" i="19"/>
  <c r="V4" i="19"/>
  <c r="AE4" i="19"/>
  <c r="AA4" i="19"/>
  <c r="Y4" i="19"/>
  <c r="W4" i="19"/>
  <c r="Q5" i="19"/>
  <c r="R5" i="19"/>
  <c r="S5" i="19"/>
  <c r="T5" i="19"/>
  <c r="AC5" i="19"/>
  <c r="AD5" i="19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F4" i="16"/>
  <c r="AE4" i="16"/>
  <c r="AB4" i="16"/>
  <c r="AA4" i="16"/>
  <c r="Z4" i="16"/>
  <c r="Y4" i="16"/>
  <c r="X4" i="16"/>
  <c r="W4" i="16"/>
  <c r="V4" i="16"/>
  <c r="Q5" i="16"/>
  <c r="T5" i="16" s="1"/>
  <c r="R5" i="16"/>
  <c r="S5" i="16"/>
  <c r="Q6" i="16"/>
  <c r="R6" i="16"/>
  <c r="S6" i="16"/>
  <c r="T6" i="16"/>
  <c r="AC6" i="16"/>
  <c r="AD6" i="16"/>
  <c r="Q7" i="16"/>
  <c r="R7" i="16"/>
  <c r="S7" i="16"/>
  <c r="T7" i="16"/>
  <c r="AC7" i="16"/>
  <c r="AD7" i="16"/>
  <c r="Q8" i="16"/>
  <c r="R8" i="16"/>
  <c r="T8" i="16" s="1"/>
  <c r="S8" i="16"/>
  <c r="Q9" i="16"/>
  <c r="R9" i="16"/>
  <c r="S9" i="16"/>
  <c r="T9" i="16"/>
  <c r="AC9" i="16"/>
  <c r="AD9" i="16"/>
  <c r="Q10" i="16"/>
  <c r="AC10" i="16" s="1"/>
  <c r="R10" i="16"/>
  <c r="S10" i="16"/>
  <c r="T10" i="16"/>
  <c r="AD4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AF4" i="8"/>
  <c r="AE4" i="8"/>
  <c r="AB4" i="8"/>
  <c r="AA4" i="8"/>
  <c r="Y4" i="8"/>
  <c r="X4" i="8"/>
  <c r="W4" i="8"/>
  <c r="V4" i="8"/>
  <c r="Q5" i="8"/>
  <c r="T5" i="8" s="1"/>
  <c r="R5" i="8"/>
  <c r="S5" i="8"/>
  <c r="Q6" i="8"/>
  <c r="T6" i="8" s="1"/>
  <c r="R6" i="8"/>
  <c r="S6" i="8"/>
  <c r="Q7" i="8"/>
  <c r="R7" i="8"/>
  <c r="S7" i="8"/>
  <c r="T7" i="8"/>
  <c r="AD7" i="8" s="1"/>
  <c r="AC7" i="8"/>
  <c r="AD4" i="8"/>
  <c r="T4" i="8"/>
  <c r="S4" i="8"/>
  <c r="R4" i="8"/>
  <c r="Q4" i="8"/>
  <c r="AF13" i="7"/>
  <c r="AE13" i="7"/>
  <c r="AD13" i="7"/>
  <c r="AC13" i="7"/>
  <c r="AB13" i="7"/>
  <c r="AA13" i="7"/>
  <c r="Z13" i="7"/>
  <c r="Y13" i="7"/>
  <c r="X13" i="7"/>
  <c r="W13" i="7"/>
  <c r="AF8" i="7"/>
  <c r="AE8" i="7"/>
  <c r="AD8" i="7"/>
  <c r="AC8" i="7"/>
  <c r="AB8" i="7"/>
  <c r="AA8" i="7"/>
  <c r="Z8" i="7"/>
  <c r="Y8" i="7"/>
  <c r="X8" i="7"/>
  <c r="W8" i="7"/>
  <c r="Q10" i="7"/>
  <c r="R10" i="7"/>
  <c r="S10" i="7"/>
  <c r="T10" i="7"/>
  <c r="U10" i="7"/>
  <c r="V10" i="7"/>
  <c r="Q11" i="7"/>
  <c r="R11" i="7"/>
  <c r="S11" i="7"/>
  <c r="T11" i="7"/>
  <c r="U11" i="7"/>
  <c r="V11" i="7"/>
  <c r="Q13" i="7"/>
  <c r="R13" i="7"/>
  <c r="S13" i="7"/>
  <c r="T13" i="7"/>
  <c r="U13" i="7"/>
  <c r="V13" i="7"/>
  <c r="Q14" i="7"/>
  <c r="R14" i="7"/>
  <c r="S14" i="7"/>
  <c r="T14" i="7"/>
  <c r="U14" i="7"/>
  <c r="V14" i="7"/>
  <c r="Q15" i="7"/>
  <c r="T15" i="7" s="1"/>
  <c r="R15" i="7"/>
  <c r="S15" i="7"/>
  <c r="AN9" i="7"/>
  <c r="AM9" i="7"/>
  <c r="AL9" i="7"/>
  <c r="AK9" i="7"/>
  <c r="AJ9" i="7"/>
  <c r="AI9" i="7"/>
  <c r="S9" i="7"/>
  <c r="R9" i="7"/>
  <c r="Q9" i="7"/>
  <c r="S8" i="7"/>
  <c r="R8" i="7"/>
  <c r="Q8" i="7"/>
  <c r="S4" i="7"/>
  <c r="R4" i="7"/>
  <c r="Q4" i="7"/>
  <c r="S3" i="7"/>
  <c r="R3" i="7"/>
  <c r="Q3" i="7"/>
  <c r="AF9" i="6"/>
  <c r="AE9" i="6"/>
  <c r="AD9" i="6"/>
  <c r="AC9" i="6"/>
  <c r="AB9" i="6"/>
  <c r="AA9" i="6"/>
  <c r="Z9" i="6"/>
  <c r="Y9" i="6"/>
  <c r="X9" i="6"/>
  <c r="W9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U4" i="6" s="1"/>
  <c r="S4" i="6"/>
  <c r="T4" i="6" s="1"/>
  <c r="V4" i="6" s="1"/>
  <c r="Q6" i="6"/>
  <c r="U6" i="6" s="1"/>
  <c r="R6" i="6"/>
  <c r="S6" i="6"/>
  <c r="T6" i="6"/>
  <c r="V6" i="6" s="1"/>
  <c r="Q7" i="6"/>
  <c r="U7" i="6" s="1"/>
  <c r="R7" i="6"/>
  <c r="T7" i="6" s="1"/>
  <c r="V7" i="6" s="1"/>
  <c r="S7" i="6"/>
  <c r="Q9" i="6"/>
  <c r="T9" i="6" s="1"/>
  <c r="R9" i="6"/>
  <c r="S9" i="6"/>
  <c r="Q10" i="6"/>
  <c r="R10" i="6"/>
  <c r="T10" i="6" s="1"/>
  <c r="V10" i="6" s="1"/>
  <c r="S10" i="6"/>
  <c r="U10" i="6"/>
  <c r="V3" i="6"/>
  <c r="V4" i="14"/>
  <c r="Q5" i="14"/>
  <c r="R5" i="14"/>
  <c r="S5" i="14"/>
  <c r="Q6" i="14"/>
  <c r="R6" i="14"/>
  <c r="S6" i="14"/>
  <c r="AC4" i="14"/>
  <c r="S4" i="14"/>
  <c r="R4" i="14"/>
  <c r="Q4" i="14"/>
  <c r="U4" i="14" s="1"/>
  <c r="Q5" i="13"/>
  <c r="R5" i="13"/>
  <c r="S5" i="13"/>
  <c r="T5" i="13"/>
  <c r="Q6" i="13"/>
  <c r="R6" i="13"/>
  <c r="X4" i="13" s="1"/>
  <c r="S6" i="13"/>
  <c r="AC6" i="13"/>
  <c r="Q7" i="13"/>
  <c r="R7" i="13"/>
  <c r="S7" i="13"/>
  <c r="Q8" i="13"/>
  <c r="R8" i="13"/>
  <c r="S8" i="13"/>
  <c r="Q9" i="13"/>
  <c r="R9" i="13"/>
  <c r="S9" i="13"/>
  <c r="AC9" i="13"/>
  <c r="Q5" i="12"/>
  <c r="R5" i="12"/>
  <c r="S5" i="12"/>
  <c r="Q6" i="12"/>
  <c r="R6" i="12"/>
  <c r="T6" i="12" s="1"/>
  <c r="S6" i="12"/>
  <c r="Q7" i="12"/>
  <c r="R7" i="12"/>
  <c r="S7" i="12"/>
  <c r="Q8" i="12"/>
  <c r="R8" i="12"/>
  <c r="S8" i="12"/>
  <c r="AC8" i="12"/>
  <c r="Q9" i="12"/>
  <c r="R9" i="12"/>
  <c r="S9" i="12"/>
  <c r="U4" i="11"/>
  <c r="Q5" i="11"/>
  <c r="R5" i="11"/>
  <c r="S5" i="11"/>
  <c r="Q6" i="11"/>
  <c r="R6" i="11"/>
  <c r="S6" i="11"/>
  <c r="T6" i="11"/>
  <c r="Q7" i="11"/>
  <c r="R7" i="11"/>
  <c r="S7" i="11"/>
  <c r="T7" i="11"/>
  <c r="AC7" i="11"/>
  <c r="AD7" i="11"/>
  <c r="Q8" i="11"/>
  <c r="R8" i="11"/>
  <c r="S8" i="11"/>
  <c r="Q9" i="11"/>
  <c r="R9" i="11"/>
  <c r="S9" i="11"/>
  <c r="Q10" i="11"/>
  <c r="R10" i="11"/>
  <c r="S10" i="11"/>
  <c r="T10" i="11"/>
  <c r="AC10" i="11"/>
  <c r="AD10" i="11"/>
  <c r="Q4" i="2"/>
  <c r="R4" i="2"/>
  <c r="S4" i="2"/>
  <c r="Q5" i="2"/>
  <c r="R5" i="2"/>
  <c r="T5" i="2" s="1"/>
  <c r="S5" i="2"/>
  <c r="S3" i="2"/>
  <c r="R3" i="2"/>
  <c r="Q3" i="2"/>
  <c r="S4" i="19"/>
  <c r="R4" i="19"/>
  <c r="Q4" i="19"/>
  <c r="Q5" i="18"/>
  <c r="R5" i="18"/>
  <c r="S5" i="18"/>
  <c r="S4" i="18"/>
  <c r="R4" i="18"/>
  <c r="Q4" i="18"/>
  <c r="AC4" i="18" s="1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Z4" i="13" s="1"/>
  <c r="R4" i="13"/>
  <c r="W4" i="13" s="1"/>
  <c r="Q4" i="13"/>
  <c r="S4" i="12"/>
  <c r="R4" i="12"/>
  <c r="Q4" i="12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AD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AD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U63" i="10"/>
  <c r="Q66" i="10"/>
  <c r="U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AD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AC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U87" i="10" s="1"/>
  <c r="R87" i="10"/>
  <c r="S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AD5" i="9"/>
  <c r="AD10" i="9"/>
  <c r="R3" i="9"/>
  <c r="S3" i="9"/>
  <c r="T3" i="9"/>
  <c r="R4" i="9"/>
  <c r="S4" i="9"/>
  <c r="T4" i="9"/>
  <c r="AD4" i="9" s="1"/>
  <c r="R5" i="9"/>
  <c r="S5" i="9"/>
  <c r="T5" i="9"/>
  <c r="U5" i="9" s="1"/>
  <c r="R6" i="9"/>
  <c r="S6" i="9"/>
  <c r="T6" i="9"/>
  <c r="R7" i="9"/>
  <c r="S7" i="9"/>
  <c r="T7" i="9"/>
  <c r="R8" i="9"/>
  <c r="S8" i="9"/>
  <c r="T8" i="9"/>
  <c r="R9" i="9"/>
  <c r="S9" i="9"/>
  <c r="T9" i="9"/>
  <c r="AD9" i="9" s="1"/>
  <c r="U9" i="9"/>
  <c r="R10" i="9"/>
  <c r="S10" i="9"/>
  <c r="T10" i="9"/>
  <c r="U10" i="9" s="1"/>
  <c r="R11" i="9"/>
  <c r="S11" i="9"/>
  <c r="T11" i="9"/>
  <c r="T2" i="9"/>
  <c r="S2" i="9"/>
  <c r="Y2" i="9" s="1"/>
  <c r="R2" i="9"/>
  <c r="AD2" i="9" s="1"/>
  <c r="AI7" i="6"/>
  <c r="AL7" i="6"/>
  <c r="AN7" i="6"/>
  <c r="S3" i="6"/>
  <c r="R3" i="6"/>
  <c r="Q3" i="6"/>
  <c r="U86" i="5"/>
  <c r="S4" i="5"/>
  <c r="S5" i="5"/>
  <c r="S6" i="5"/>
  <c r="S7" i="5"/>
  <c r="S8" i="5"/>
  <c r="S9" i="5"/>
  <c r="S10" i="5"/>
  <c r="S11" i="5"/>
  <c r="S12" i="5"/>
  <c r="S16" i="5"/>
  <c r="AB16" i="5" s="1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Z16" i="5" s="1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AD6" i="18" l="1"/>
  <c r="T5" i="18"/>
  <c r="AB12" i="16"/>
  <c r="AA12" i="16"/>
  <c r="AC23" i="16"/>
  <c r="AD23" i="16" s="1"/>
  <c r="V12" i="16"/>
  <c r="AD12" i="8"/>
  <c r="AC12" i="8"/>
  <c r="AC11" i="8"/>
  <c r="AD11" i="8" s="1"/>
  <c r="AC12" i="16"/>
  <c r="AD12" i="16" s="1"/>
  <c r="AC4" i="19"/>
  <c r="T4" i="19"/>
  <c r="AD10" i="16"/>
  <c r="AC8" i="16"/>
  <c r="AD8" i="16" s="1"/>
  <c r="AC5" i="16"/>
  <c r="AD5" i="16" s="1"/>
  <c r="T87" i="10"/>
  <c r="V11" i="10"/>
  <c r="T16" i="10"/>
  <c r="U71" i="10"/>
  <c r="T88" i="10"/>
  <c r="U42" i="10"/>
  <c r="U5" i="10"/>
  <c r="V5" i="10" s="1"/>
  <c r="T78" i="10"/>
  <c r="V78" i="10" s="1"/>
  <c r="V42" i="10"/>
  <c r="AE42" i="10" s="1"/>
  <c r="U83" i="10"/>
  <c r="V83" i="10" s="1"/>
  <c r="U77" i="10"/>
  <c r="V77" i="10" s="1"/>
  <c r="U59" i="10"/>
  <c r="V59" i="10" s="1"/>
  <c r="U34" i="10"/>
  <c r="V34" i="10" s="1"/>
  <c r="U53" i="10"/>
  <c r="V53" i="10" s="1"/>
  <c r="AF53" i="10" s="1"/>
  <c r="V87" i="10"/>
  <c r="V71" i="10"/>
  <c r="AE71" i="10" s="1"/>
  <c r="AC31" i="10"/>
  <c r="AD31" i="10"/>
  <c r="U92" i="10"/>
  <c r="V92" i="10" s="1"/>
  <c r="U60" i="10"/>
  <c r="U48" i="10"/>
  <c r="V48" i="10" s="1"/>
  <c r="U28" i="10"/>
  <c r="V28" i="10" s="1"/>
  <c r="T66" i="10"/>
  <c r="AC66" i="10" s="1"/>
  <c r="U37" i="10"/>
  <c r="V37" i="10" s="1"/>
  <c r="AC42" i="10"/>
  <c r="AC53" i="10"/>
  <c r="U84" i="10"/>
  <c r="V84" i="10" s="1"/>
  <c r="U74" i="10"/>
  <c r="V74" i="10" s="1"/>
  <c r="T39" i="10"/>
  <c r="V39" i="10" s="1"/>
  <c r="U35" i="10"/>
  <c r="V35" i="10" s="1"/>
  <c r="U98" i="10"/>
  <c r="V98" i="10" s="1"/>
  <c r="U31" i="10"/>
  <c r="V31" i="10" s="1"/>
  <c r="AL15" i="10"/>
  <c r="V63" i="10"/>
  <c r="U95" i="10"/>
  <c r="V95" i="10" s="1"/>
  <c r="U61" i="10"/>
  <c r="V61" i="10" s="1"/>
  <c r="U36" i="10"/>
  <c r="V36" i="10" s="1"/>
  <c r="U27" i="10"/>
  <c r="V27" i="10" s="1"/>
  <c r="AM15" i="10"/>
  <c r="T85" i="10"/>
  <c r="V85" i="10" s="1"/>
  <c r="U80" i="10"/>
  <c r="V80" i="10" s="1"/>
  <c r="U45" i="10"/>
  <c r="V45" i="10" s="1"/>
  <c r="U8" i="10"/>
  <c r="V8" i="10" s="1"/>
  <c r="V60" i="10"/>
  <c r="T3" i="10"/>
  <c r="AD3" i="10" s="1"/>
  <c r="U16" i="10"/>
  <c r="U22" i="10"/>
  <c r="T19" i="10"/>
  <c r="T21" i="10"/>
  <c r="T17" i="10"/>
  <c r="T20" i="10"/>
  <c r="U19" i="10"/>
  <c r="AK15" i="10"/>
  <c r="T18" i="10"/>
  <c r="AI15" i="10"/>
  <c r="T22" i="10"/>
  <c r="U4" i="9"/>
  <c r="AA2" i="9"/>
  <c r="AD11" i="9"/>
  <c r="U11" i="9"/>
  <c r="U8" i="9"/>
  <c r="U3" i="9"/>
  <c r="X2" i="9"/>
  <c r="U7" i="9"/>
  <c r="AD6" i="9"/>
  <c r="V2" i="9"/>
  <c r="U2" i="9"/>
  <c r="W2" i="9"/>
  <c r="AD8" i="9"/>
  <c r="AC6" i="8"/>
  <c r="AD6" i="8" s="1"/>
  <c r="AC5" i="8"/>
  <c r="AD5" i="8" s="1"/>
  <c r="U15" i="7"/>
  <c r="V15" i="7" s="1"/>
  <c r="U4" i="7"/>
  <c r="Z3" i="7"/>
  <c r="AA3" i="7"/>
  <c r="Y3" i="7"/>
  <c r="AB3" i="7"/>
  <c r="U8" i="7"/>
  <c r="U9" i="7"/>
  <c r="X3" i="7"/>
  <c r="T9" i="7"/>
  <c r="T3" i="7"/>
  <c r="T4" i="7"/>
  <c r="V4" i="7" s="1"/>
  <c r="U3" i="7"/>
  <c r="T8" i="7"/>
  <c r="W3" i="7"/>
  <c r="U9" i="6"/>
  <c r="V9" i="6" s="1"/>
  <c r="U3" i="6"/>
  <c r="T3" i="6"/>
  <c r="Z4" i="14"/>
  <c r="T6" i="14"/>
  <c r="X4" i="14"/>
  <c r="T5" i="14"/>
  <c r="T4" i="14"/>
  <c r="AB4" i="14" s="1"/>
  <c r="AD4" i="14"/>
  <c r="W4" i="14"/>
  <c r="Y4" i="14"/>
  <c r="AA4" i="14"/>
  <c r="AC6" i="14"/>
  <c r="Y4" i="13"/>
  <c r="T9" i="13"/>
  <c r="T4" i="13"/>
  <c r="AC7" i="13"/>
  <c r="T6" i="13"/>
  <c r="AC5" i="13"/>
  <c r="AD5" i="13" s="1"/>
  <c r="AC8" i="13"/>
  <c r="AD6" i="13"/>
  <c r="U4" i="13"/>
  <c r="AD9" i="13"/>
  <c r="T8" i="13"/>
  <c r="AD8" i="13" s="1"/>
  <c r="V4" i="13"/>
  <c r="T7" i="13"/>
  <c r="AD7" i="13" s="1"/>
  <c r="AC4" i="12"/>
  <c r="Z4" i="12"/>
  <c r="T8" i="12"/>
  <c r="AD8" i="12" s="1"/>
  <c r="AC7" i="12"/>
  <c r="X4" i="12"/>
  <c r="T9" i="12"/>
  <c r="T7" i="12"/>
  <c r="AC6" i="12"/>
  <c r="AD6" i="12" s="1"/>
  <c r="T5" i="12"/>
  <c r="AD7" i="12"/>
  <c r="Z4" i="11"/>
  <c r="X4" i="11"/>
  <c r="T9" i="11"/>
  <c r="T5" i="11"/>
  <c r="T8" i="11"/>
  <c r="AC4" i="11"/>
  <c r="AC6" i="11"/>
  <c r="AD6" i="11" s="1"/>
  <c r="V4" i="11"/>
  <c r="AA16" i="5"/>
  <c r="X16" i="5"/>
  <c r="U3" i="2"/>
  <c r="AB3" i="2"/>
  <c r="T4" i="2"/>
  <c r="Z3" i="2"/>
  <c r="U5" i="2"/>
  <c r="V5" i="2" s="1"/>
  <c r="W3" i="2"/>
  <c r="X3" i="2"/>
  <c r="Y3" i="2"/>
  <c r="T3" i="2"/>
  <c r="AA3" i="2"/>
  <c r="V17" i="5"/>
  <c r="Y16" i="5"/>
  <c r="W16" i="5"/>
  <c r="W4" i="11"/>
  <c r="Y4" i="11"/>
  <c r="AC8" i="11"/>
  <c r="AD8" i="11" s="1"/>
  <c r="AC5" i="11"/>
  <c r="AD5" i="11" s="1"/>
  <c r="W4" i="12"/>
  <c r="T4" i="12"/>
  <c r="U4" i="12"/>
  <c r="V4" i="12"/>
  <c r="Y4" i="12"/>
  <c r="AC9" i="12"/>
  <c r="AD9" i="12" s="1"/>
  <c r="AC5" i="14"/>
  <c r="AD5" i="14" s="1"/>
  <c r="AC4" i="13"/>
  <c r="AD4" i="13" s="1"/>
  <c r="AC5" i="12"/>
  <c r="AD5" i="12" s="1"/>
  <c r="AC9" i="11"/>
  <c r="AD9" i="11" s="1"/>
  <c r="AN12" i="5"/>
  <c r="AL12" i="5"/>
  <c r="AJ12" i="5"/>
  <c r="U4" i="2"/>
  <c r="AK12" i="5"/>
  <c r="T87" i="5"/>
  <c r="V87" i="5" s="1"/>
  <c r="T84" i="5"/>
  <c r="V84" i="5" s="1"/>
  <c r="T59" i="5"/>
  <c r="V59" i="5" s="1"/>
  <c r="T16" i="5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V18" i="5" s="1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AF2" i="9" s="1"/>
  <c r="U6" i="9"/>
  <c r="AD91" i="10"/>
  <c r="AC91" i="10"/>
  <c r="V88" i="10"/>
  <c r="AD26" i="10"/>
  <c r="AC26" i="10"/>
  <c r="V12" i="10"/>
  <c r="V68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AC4" i="8"/>
  <c r="AF12" i="16" l="1"/>
  <c r="AE12" i="16"/>
  <c r="AF42" i="10"/>
  <c r="AF83" i="10"/>
  <c r="AE83" i="10"/>
  <c r="AF71" i="10"/>
  <c r="AE31" i="10"/>
  <c r="AF31" i="10"/>
  <c r="AE53" i="10"/>
  <c r="AC3" i="10"/>
  <c r="V66" i="10"/>
  <c r="AD66" i="10"/>
  <c r="AE66" i="10"/>
  <c r="AF66" i="10"/>
  <c r="V3" i="10"/>
  <c r="AG2" i="9"/>
  <c r="AC2" i="9"/>
  <c r="AB2" i="9"/>
  <c r="V9" i="7"/>
  <c r="V8" i="7"/>
  <c r="V3" i="7"/>
  <c r="AC3" i="7"/>
  <c r="AD3" i="7"/>
  <c r="AD6" i="14"/>
  <c r="AF4" i="14"/>
  <c r="AE4" i="14"/>
  <c r="AA4" i="13"/>
  <c r="AB4" i="13"/>
  <c r="V4" i="2"/>
  <c r="AD3" i="2"/>
  <c r="V3" i="2"/>
  <c r="AC3" i="2"/>
  <c r="AC16" i="5"/>
  <c r="V16" i="5"/>
  <c r="AE16" i="5" s="1"/>
  <c r="AB4" i="11"/>
  <c r="AA4" i="11"/>
  <c r="AD4" i="11"/>
  <c r="AA4" i="12"/>
  <c r="AD4" i="12"/>
  <c r="AB4" i="12"/>
  <c r="AF4" i="13"/>
  <c r="AE4" i="13"/>
  <c r="AC92" i="5"/>
  <c r="V92" i="5"/>
  <c r="AD63" i="5"/>
  <c r="AC63" i="5"/>
  <c r="AD16" i="5"/>
  <c r="AD46" i="5"/>
  <c r="AF46" i="5"/>
  <c r="AC46" i="5"/>
  <c r="AF34" i="5"/>
  <c r="V29" i="5"/>
  <c r="V8" i="5"/>
  <c r="V50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E3" i="10" l="1"/>
  <c r="AF3" i="10"/>
  <c r="AE3" i="7"/>
  <c r="AF3" i="7"/>
  <c r="AF3" i="2"/>
  <c r="AE3" i="2"/>
  <c r="AF4" i="11"/>
  <c r="AE4" i="11"/>
  <c r="AE4" i="12"/>
  <c r="AF4" i="12"/>
  <c r="AF79" i="5"/>
  <c r="AE79" i="5"/>
  <c r="AE101" i="5"/>
  <c r="AF101" i="5"/>
  <c r="AE28" i="5"/>
  <c r="AF28" i="5"/>
  <c r="AE15" i="10"/>
  <c r="AF15" i="10"/>
</calcChain>
</file>

<file path=xl/sharedStrings.xml><?xml version="1.0" encoding="utf-8"?>
<sst xmlns="http://schemas.openxmlformats.org/spreadsheetml/2006/main" count="499" uniqueCount="77">
  <si>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</si>
  <si>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</si>
  <si>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</si>
  <si>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</si>
  <si>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</si>
  <si>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</si>
  <si>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</si>
  <si>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</si>
  <si>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</si>
  <si>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</si>
  <si>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</si>
  <si>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</si>
  <si>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</si>
  <si>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</si>
  <si>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</si>
  <si>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</si>
  <si>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</si>
  <si>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</si>
  <si>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</si>
  <si>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</si>
  <si>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</si>
  <si>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</si>
  <si>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</si>
  <si>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</si>
  <si>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</si>
  <si>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</si>
  <si>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</si>
  <si>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</si>
  <si>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</si>
  <si>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</si>
  <si>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</si>
  <si>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</si>
  <si>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</si>
  <si>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</si>
  <si>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</si>
  <si>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</si>
  <si>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</si>
  <si>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</si>
  <si>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</si>
  <si>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</si>
  <si>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</si>
  <si>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</si>
  <si>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</si>
  <si>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</si>
  <si>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</si>
  <si>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</si>
  <si>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</si>
  <si>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</si>
  <si>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</si>
  <si>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</si>
  <si>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</si>
  <si>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</si>
  <si>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</si>
  <si>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</si>
  <si>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</si>
  <si>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</si>
  <si>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</si>
  <si>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</si>
  <si>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</si>
  <si>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</si>
  <si>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</si>
  <si>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</si>
  <si>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</si>
  <si>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</si>
  <si>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</si>
  <si>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</si>
  <si>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</si>
  <si>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</si>
  <si>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</si>
  <si>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</si>
  <si>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</si>
  <si>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</si>
  <si>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ep=0.001</t>
  </si>
  <si>
    <t>ep=0.01</t>
  </si>
  <si>
    <t>ep=0.1</t>
  </si>
  <si>
    <t>EER0_STD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</si>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</sst>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"/>
  <sheetViews>
    <sheetView tabSelected="1" workbookViewId="0">
      <selection activeCell="P33" sqref="P33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36</v>
      </c>
      <c r="H3">
        <v>4.0926763859362252</v>
      </c>
      <c r="I3">
        <v>37.333333333333336</v>
      </c>
      <c r="J3">
        <v>2.0816659994661326</v>
      </c>
      <c r="K3">
        <v>13.833333333333334</v>
      </c>
      <c r="L3">
        <v>2.0207259421636854</v>
      </c>
      <c r="M3">
        <v>29.055555555555554</v>
      </c>
      <c r="N3">
        <v>1.4938144066387506</v>
      </c>
      <c r="O3">
        <v>15.222222222222221</v>
      </c>
      <c r="P3">
        <v>0.53575837561071948</v>
      </c>
    </row>
    <row r="4" spans="1:16" x14ac:dyDescent="0.3">
      <c r="C4" t="s">
        <v>2</v>
      </c>
      <c r="F4" t="s">
        <v>21</v>
      </c>
      <c r="G4">
        <v>28.5</v>
      </c>
      <c r="H4">
        <v>4.5825756949558398</v>
      </c>
      <c r="I4">
        <v>29.5</v>
      </c>
      <c r="J4">
        <v>3.5</v>
      </c>
      <c r="K4">
        <v>10.166666666666666</v>
      </c>
      <c r="L4">
        <v>1.4433756729740677</v>
      </c>
      <c r="M4">
        <v>22.722222222222225</v>
      </c>
      <c r="N4">
        <v>2.3412563895228313</v>
      </c>
      <c r="O4">
        <v>12.555555555555557</v>
      </c>
      <c r="P4">
        <v>1.4174834246858978</v>
      </c>
    </row>
    <row r="5" spans="1:16" x14ac:dyDescent="0.3">
      <c r="C5" t="s">
        <v>48</v>
      </c>
    </row>
    <row r="6" spans="1:16" x14ac:dyDescent="0.3">
      <c r="D6" t="s">
        <v>53</v>
      </c>
    </row>
    <row r="7" spans="1:16" x14ac:dyDescent="0.3">
      <c r="E7" t="s">
        <v>43</v>
      </c>
      <c r="F7" t="s">
        <v>47</v>
      </c>
      <c r="G7">
        <v>27</v>
      </c>
      <c r="H7">
        <v>6.3639610306789276</v>
      </c>
      <c r="I7">
        <v>23</v>
      </c>
      <c r="J7">
        <v>6.3639610306789276</v>
      </c>
      <c r="K7">
        <v>11</v>
      </c>
      <c r="L7">
        <v>2.1213203435596424</v>
      </c>
      <c r="M7">
        <v>20.333333333333332</v>
      </c>
      <c r="N7">
        <v>4.9497474683058327</v>
      </c>
      <c r="O7">
        <v>9.3333333333333321</v>
      </c>
      <c r="P7">
        <v>2.8284271247461903</v>
      </c>
    </row>
    <row r="8" spans="1:16" x14ac:dyDescent="0.3">
      <c r="D8" t="s">
        <v>54</v>
      </c>
    </row>
    <row r="9" spans="1:16" x14ac:dyDescent="0.3">
      <c r="E9" t="s">
        <v>43</v>
      </c>
      <c r="F9" t="s">
        <v>44</v>
      </c>
      <c r="G9">
        <v>34.5</v>
      </c>
      <c r="H9">
        <v>0.70710678118654757</v>
      </c>
      <c r="I9">
        <v>31.25</v>
      </c>
      <c r="J9">
        <v>1.0606601717798212</v>
      </c>
      <c r="K9">
        <v>11</v>
      </c>
      <c r="L9">
        <v>2.1213203435596424</v>
      </c>
      <c r="M9">
        <v>25.583333333333336</v>
      </c>
      <c r="N9">
        <v>0.8249579113843063</v>
      </c>
      <c r="O9">
        <v>14.583333333333334</v>
      </c>
      <c r="P9">
        <v>1.2963624321753362</v>
      </c>
    </row>
    <row r="10" spans="1:16" x14ac:dyDescent="0.3">
      <c r="C10" t="s">
        <v>52</v>
      </c>
      <c r="G10">
        <v>27.75</v>
      </c>
      <c r="H10">
        <v>3.5237290853109955</v>
      </c>
      <c r="I10">
        <v>28.25</v>
      </c>
      <c r="J10">
        <v>2.7233557730613653</v>
      </c>
      <c r="K10">
        <v>11.5</v>
      </c>
      <c r="L10">
        <v>2.70801280154532</v>
      </c>
      <c r="M10">
        <v>22.5</v>
      </c>
      <c r="N10">
        <v>2.918650119236383</v>
      </c>
      <c r="O10">
        <v>11</v>
      </c>
      <c r="P10">
        <v>0.72008229982309568</v>
      </c>
    </row>
    <row r="11" spans="1:16" x14ac:dyDescent="0.3">
      <c r="C11" t="s">
        <v>76</v>
      </c>
      <c r="G11">
        <v>27</v>
      </c>
      <c r="H11">
        <v>2.6770630673681683</v>
      </c>
      <c r="I11">
        <v>24.25</v>
      </c>
      <c r="J11">
        <v>1.1902380714238083</v>
      </c>
      <c r="K11">
        <v>8.625</v>
      </c>
      <c r="L11">
        <v>1.7888543819998326</v>
      </c>
      <c r="M11">
        <v>19.958333333333332</v>
      </c>
      <c r="N11">
        <v>0.55067298893330685</v>
      </c>
      <c r="O11">
        <v>11.333333333333332</v>
      </c>
      <c r="P11">
        <v>1.9340994650588066</v>
      </c>
    </row>
    <row r="12" spans="1:16" x14ac:dyDescent="0.3">
      <c r="B12" t="s">
        <v>59</v>
      </c>
    </row>
    <row r="13" spans="1:16" x14ac:dyDescent="0.3">
      <c r="C13" t="s">
        <v>4</v>
      </c>
      <c r="G13">
        <v>31.8</v>
      </c>
      <c r="H13">
        <v>3.4496376621320741</v>
      </c>
      <c r="I13">
        <v>30.25</v>
      </c>
      <c r="J13">
        <v>3.2850672240711707</v>
      </c>
      <c r="K13">
        <v>12.25</v>
      </c>
      <c r="L13">
        <v>1.7677669529663689</v>
      </c>
      <c r="M13">
        <v>24.766666666666666</v>
      </c>
      <c r="N13">
        <v>1.4890547171334187</v>
      </c>
      <c r="O13">
        <v>12.516666666666666</v>
      </c>
      <c r="P13">
        <v>1.8026900338174325</v>
      </c>
    </row>
    <row r="14" spans="1:16" x14ac:dyDescent="0.3">
      <c r="C14" t="s">
        <v>2</v>
      </c>
      <c r="F14" t="s">
        <v>21</v>
      </c>
      <c r="G14">
        <v>29.5625</v>
      </c>
      <c r="H14">
        <v>4.8361547594284922</v>
      </c>
      <c r="I14">
        <v>26</v>
      </c>
      <c r="J14">
        <v>4.5747755604588329</v>
      </c>
      <c r="K14">
        <v>11.1875</v>
      </c>
      <c r="L14">
        <v>2.2509918448795601</v>
      </c>
      <c r="M14">
        <v>22.25</v>
      </c>
      <c r="N14">
        <v>2.8702082220799161</v>
      </c>
      <c r="O14">
        <v>11.062499999999998</v>
      </c>
      <c r="P14">
        <v>3.1896876246518548</v>
      </c>
    </row>
    <row r="15" spans="1:16" x14ac:dyDescent="0.3">
      <c r="A15" t="s">
        <v>66</v>
      </c>
    </row>
    <row r="16" spans="1:16" x14ac:dyDescent="0.3">
      <c r="B16" t="s">
        <v>3</v>
      </c>
    </row>
    <row r="17" spans="2:16" x14ac:dyDescent="0.3">
      <c r="C17" t="s">
        <v>4</v>
      </c>
      <c r="G17">
        <v>36.642857142857146</v>
      </c>
      <c r="H17">
        <v>4.9135381491199581</v>
      </c>
      <c r="I17">
        <v>32.5</v>
      </c>
      <c r="J17">
        <v>4.9413223601245315</v>
      </c>
      <c r="K17">
        <v>11</v>
      </c>
      <c r="L17">
        <v>1.9148542155126762</v>
      </c>
      <c r="M17">
        <v>26.714285714285712</v>
      </c>
      <c r="N17">
        <v>3.0470299529856346</v>
      </c>
      <c r="O17">
        <v>15.714285714285714</v>
      </c>
      <c r="P17">
        <v>3.5207247329921398</v>
      </c>
    </row>
    <row r="18" spans="2:16" x14ac:dyDescent="0.3">
      <c r="C18" t="s">
        <v>68</v>
      </c>
      <c r="F18" t="s">
        <v>21</v>
      </c>
      <c r="G18">
        <v>27.25</v>
      </c>
      <c r="H18">
        <v>4.6124830622995248</v>
      </c>
      <c r="I18">
        <v>27.833333333333332</v>
      </c>
      <c r="J18">
        <v>2.9944392908634274</v>
      </c>
      <c r="K18">
        <v>10.416666666666666</v>
      </c>
      <c r="L18">
        <v>2.8533605917701106</v>
      </c>
      <c r="M18">
        <v>21.833333333333332</v>
      </c>
      <c r="N18">
        <v>2.3452078799117149</v>
      </c>
      <c r="O18">
        <v>11.416666666666664</v>
      </c>
      <c r="P18">
        <v>3.2158461820595017</v>
      </c>
    </row>
    <row r="19" spans="2:16" x14ac:dyDescent="0.3">
      <c r="C19" t="s">
        <v>52</v>
      </c>
    </row>
    <row r="20" spans="2:16" x14ac:dyDescent="0.3">
      <c r="D20" t="s">
        <v>68</v>
      </c>
      <c r="F20" t="s">
        <v>22</v>
      </c>
      <c r="G20">
        <v>25.666666666666668</v>
      </c>
      <c r="H20">
        <v>2.9297326385411577</v>
      </c>
      <c r="I20">
        <v>27.333333333333332</v>
      </c>
      <c r="J20">
        <v>5.3463383107818059</v>
      </c>
      <c r="K20">
        <v>10.666666666666666</v>
      </c>
      <c r="L20">
        <v>0.57735026918962573</v>
      </c>
      <c r="M20">
        <v>21.222222222222218</v>
      </c>
      <c r="N20">
        <v>1.1706281947614148</v>
      </c>
      <c r="O20">
        <v>10.555555555555555</v>
      </c>
      <c r="P20">
        <v>1.677740985615729</v>
      </c>
    </row>
    <row r="21" spans="2:16" x14ac:dyDescent="0.3">
      <c r="F21" t="s">
        <v>76</v>
      </c>
      <c r="G21">
        <v>27.416666666666668</v>
      </c>
      <c r="H21">
        <v>2.083666640004266</v>
      </c>
      <c r="I21">
        <v>28.583333333333332</v>
      </c>
      <c r="J21">
        <v>3.292668623877387</v>
      </c>
      <c r="K21">
        <v>8.5</v>
      </c>
      <c r="L21">
        <v>1.8973665961010275</v>
      </c>
      <c r="M21">
        <v>21.500000000000004</v>
      </c>
      <c r="N21">
        <v>1.2560962454277844</v>
      </c>
      <c r="O21">
        <v>13</v>
      </c>
      <c r="P21">
        <v>2.0357908646136602</v>
      </c>
    </row>
    <row r="22" spans="2:16" x14ac:dyDescent="0.3">
      <c r="D22" t="s">
        <v>70</v>
      </c>
    </row>
    <row r="23" spans="2:16" x14ac:dyDescent="0.3">
      <c r="E23" t="s">
        <v>68</v>
      </c>
      <c r="G23">
        <v>31.875</v>
      </c>
      <c r="H23">
        <v>2.2867371223353739</v>
      </c>
      <c r="I23">
        <v>27.5</v>
      </c>
      <c r="J23">
        <v>3.5590260840104371</v>
      </c>
      <c r="K23">
        <v>8.125</v>
      </c>
      <c r="L23">
        <v>2.056493779875511</v>
      </c>
      <c r="M23">
        <v>22.5</v>
      </c>
      <c r="N23">
        <v>1.3402597868683137</v>
      </c>
      <c r="O23">
        <v>14.375</v>
      </c>
      <c r="P23">
        <v>2.532657073480697</v>
      </c>
    </row>
    <row r="24" spans="2:16" x14ac:dyDescent="0.3">
      <c r="G24">
        <v>29.625</v>
      </c>
      <c r="H24">
        <v>2.6259918760981216</v>
      </c>
      <c r="I24">
        <v>27.375</v>
      </c>
      <c r="J24">
        <v>5.0559371040391712</v>
      </c>
      <c r="K24">
        <v>11</v>
      </c>
      <c r="L24">
        <v>0.40824829046386302</v>
      </c>
      <c r="M24">
        <v>22.666666666666668</v>
      </c>
      <c r="N24">
        <v>2.1125725935368393</v>
      </c>
      <c r="O24">
        <v>11.666666666666668</v>
      </c>
      <c r="P24">
        <v>2.4645636680909782</v>
      </c>
    </row>
    <row r="26" spans="2:16" x14ac:dyDescent="0.3">
      <c r="B26" t="s">
        <v>69</v>
      </c>
    </row>
    <row r="27" spans="2:16" x14ac:dyDescent="0.3">
      <c r="C27" t="s">
        <v>4</v>
      </c>
      <c r="G27">
        <v>23.833333333333332</v>
      </c>
      <c r="H27">
        <v>3.6968455021364766</v>
      </c>
      <c r="I27">
        <v>22</v>
      </c>
      <c r="J27">
        <v>3.03315017762062</v>
      </c>
      <c r="K27">
        <v>8.5833333333333339</v>
      </c>
      <c r="L27">
        <v>1.9853631070075477</v>
      </c>
      <c r="M27">
        <v>18.138888888888889</v>
      </c>
      <c r="N27">
        <v>2.2959303770576787</v>
      </c>
      <c r="O27">
        <v>9.5555555555555554</v>
      </c>
      <c r="P27">
        <v>1.9254629073050034</v>
      </c>
    </row>
    <row r="28" spans="2:16" x14ac:dyDescent="0.3">
      <c r="C28" t="s">
        <v>68</v>
      </c>
      <c r="F28" t="s">
        <v>21</v>
      </c>
      <c r="G28">
        <v>18.666666666666668</v>
      </c>
      <c r="H28">
        <v>5.9651767227244301</v>
      </c>
      <c r="I28">
        <v>19.333333333333332</v>
      </c>
      <c r="J28">
        <v>3.6855573979160021</v>
      </c>
      <c r="K28">
        <v>10.5</v>
      </c>
      <c r="L28">
        <v>0.5</v>
      </c>
      <c r="M28">
        <v>16.166666666666668</v>
      </c>
      <c r="N28">
        <v>3.3706247360261101</v>
      </c>
      <c r="O28">
        <v>5.666666666666667</v>
      </c>
      <c r="P28">
        <v>2.9059326290271166</v>
      </c>
    </row>
    <row r="29" spans="2:16" x14ac:dyDescent="0.3">
      <c r="C29" t="s">
        <v>52</v>
      </c>
    </row>
    <row r="30" spans="2:16" x14ac:dyDescent="0.3">
      <c r="F30" t="s">
        <v>76</v>
      </c>
      <c r="G30">
        <v>23.5</v>
      </c>
      <c r="H30">
        <v>5.634713834792322</v>
      </c>
      <c r="I30">
        <v>22.5</v>
      </c>
      <c r="J30">
        <v>5.4083269131959844</v>
      </c>
      <c r="K30">
        <v>7</v>
      </c>
      <c r="L30">
        <v>2.2912878474779199</v>
      </c>
      <c r="M30">
        <v>17.666666666666668</v>
      </c>
      <c r="N30">
        <v>4.3429380735984644</v>
      </c>
      <c r="O30">
        <v>3.5555555555555558</v>
      </c>
      <c r="P30">
        <v>0.80699105812966365</v>
      </c>
    </row>
    <row r="31" spans="2:16" x14ac:dyDescent="0.3">
      <c r="D31" t="s">
        <v>70</v>
      </c>
    </row>
    <row r="32" spans="2:16" x14ac:dyDescent="0.3">
      <c r="E32" t="s">
        <v>68</v>
      </c>
      <c r="G32">
        <v>21.5</v>
      </c>
      <c r="H32">
        <v>4.5</v>
      </c>
      <c r="I32">
        <v>22.666666666666668</v>
      </c>
      <c r="J32">
        <v>3.8188130791298716</v>
      </c>
      <c r="K32">
        <v>10.666666666666666</v>
      </c>
      <c r="L32">
        <v>0.28867513459481292</v>
      </c>
      <c r="M32">
        <v>18.277777777777775</v>
      </c>
      <c r="N32">
        <v>2.3589859717291444</v>
      </c>
      <c r="O32">
        <v>7.6111111111111107</v>
      </c>
      <c r="P32">
        <v>2.0705161281760218</v>
      </c>
    </row>
    <row r="33" spans="6:16" x14ac:dyDescent="0.3">
      <c r="F33" t="s">
        <v>76</v>
      </c>
      <c r="G33">
        <v>22.666666666666668</v>
      </c>
      <c r="H33">
        <v>3.7859388972001873</v>
      </c>
      <c r="I33">
        <v>20.833333333333332</v>
      </c>
      <c r="J33">
        <v>4.2524502740576953</v>
      </c>
      <c r="K33">
        <v>11.166666666666666</v>
      </c>
      <c r="L33">
        <v>1.0408329997330665</v>
      </c>
      <c r="M33">
        <v>18.222222222222225</v>
      </c>
      <c r="N33">
        <v>2.2750661366047948</v>
      </c>
      <c r="O33">
        <v>7.0555555555555562</v>
      </c>
      <c r="P33">
        <v>3.3096380019125498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5"/>
  <sheetViews>
    <sheetView topLeftCell="O1" workbookViewId="0">
      <selection activeCell="AF12" activeCellId="2" sqref="U12:AB12 AE12 AF12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75</v>
      </c>
      <c r="C4">
        <v>25</v>
      </c>
      <c r="D4">
        <v>33</v>
      </c>
      <c r="E4">
        <v>67</v>
      </c>
      <c r="G4">
        <v>84</v>
      </c>
      <c r="H4">
        <v>16</v>
      </c>
      <c r="I4">
        <v>33</v>
      </c>
      <c r="J4">
        <v>67</v>
      </c>
      <c r="L4">
        <v>90</v>
      </c>
      <c r="M4">
        <v>10</v>
      </c>
      <c r="N4">
        <v>9</v>
      </c>
      <c r="O4">
        <v>91</v>
      </c>
      <c r="Q4">
        <f>AVERAGE(C4,D4)</f>
        <v>29</v>
      </c>
      <c r="R4">
        <f>AVERAGE(H4,I4)</f>
        <v>24.5</v>
      </c>
      <c r="S4">
        <f>AVERAGE(M4,N4)</f>
        <v>9.5</v>
      </c>
      <c r="T4">
        <f>AVERAGE(Q4:S4)</f>
        <v>21</v>
      </c>
      <c r="U4">
        <f>AVERAGE(Q4:Q7)</f>
        <v>31.875</v>
      </c>
      <c r="V4">
        <f>_xlfn.STDEV.S(Q4:Q7)</f>
        <v>2.2867371223353739</v>
      </c>
      <c r="W4">
        <f>AVERAGE(R4:R7)</f>
        <v>27.5</v>
      </c>
      <c r="X4">
        <f>_xlfn.STDEV.S(R4:R7)</f>
        <v>3.5590260840104371</v>
      </c>
      <c r="Y4">
        <f>AVERAGE(S4:S7)</f>
        <v>8.125</v>
      </c>
      <c r="Z4">
        <f>_xlfn.STDEV.S(S4:S7)</f>
        <v>2.056493779875511</v>
      </c>
      <c r="AA4">
        <f>AVERAGE(T4:T7)</f>
        <v>22.5</v>
      </c>
      <c r="AB4">
        <f>_xlfn.STDEV.S(T4:T7)</f>
        <v>1.3402597868683137</v>
      </c>
      <c r="AC4">
        <f>MIN(Q4:S4)</f>
        <v>9.5</v>
      </c>
      <c r="AD4">
        <f>(T4-AC4)</f>
        <v>11.5</v>
      </c>
      <c r="AE4">
        <f>AVERAGE(AD4:AD7)</f>
        <v>14.375</v>
      </c>
      <c r="AF4">
        <f>_xlfn.STDEV.S(AD4:AD7)</f>
        <v>2.532657073480697</v>
      </c>
    </row>
    <row r="5" spans="1:32" x14ac:dyDescent="0.3">
      <c r="B5">
        <v>75</v>
      </c>
      <c r="C5">
        <v>25</v>
      </c>
      <c r="D5">
        <v>40</v>
      </c>
      <c r="E5">
        <v>60</v>
      </c>
      <c r="G5">
        <v>85</v>
      </c>
      <c r="H5">
        <v>15</v>
      </c>
      <c r="I5">
        <v>36</v>
      </c>
      <c r="J5">
        <v>64</v>
      </c>
      <c r="L5">
        <v>94</v>
      </c>
      <c r="M5">
        <v>6</v>
      </c>
      <c r="N5">
        <v>9</v>
      </c>
      <c r="O5">
        <v>91</v>
      </c>
      <c r="Q5">
        <f t="shared" ref="Q5:Q7" si="0">AVERAGE(C5,D5)</f>
        <v>32.5</v>
      </c>
      <c r="R5">
        <f t="shared" ref="R5:R7" si="1">AVERAGE(H5,I5)</f>
        <v>25.5</v>
      </c>
      <c r="S5">
        <f t="shared" ref="S5:S7" si="2">AVERAGE(M5,N5)</f>
        <v>7.5</v>
      </c>
      <c r="T5">
        <f t="shared" ref="T5:T7" si="3">AVERAGE(Q5:S5)</f>
        <v>21.833333333333332</v>
      </c>
      <c r="AC5">
        <f t="shared" ref="AC5:AC7" si="4">MIN(Q5:S5)</f>
        <v>7.5</v>
      </c>
      <c r="AD5">
        <f t="shared" ref="AD5:AD7" si="5">(T5-AC5)</f>
        <v>14.333333333333332</v>
      </c>
    </row>
    <row r="6" spans="1:32" x14ac:dyDescent="0.3">
      <c r="B6">
        <v>76</v>
      </c>
      <c r="C6">
        <v>24</v>
      </c>
      <c r="D6">
        <v>45</v>
      </c>
      <c r="E6">
        <v>55</v>
      </c>
      <c r="G6">
        <v>88</v>
      </c>
      <c r="H6">
        <v>12</v>
      </c>
      <c r="I6">
        <v>43</v>
      </c>
      <c r="J6">
        <v>57</v>
      </c>
      <c r="L6">
        <v>95</v>
      </c>
      <c r="M6">
        <v>5</v>
      </c>
      <c r="N6">
        <v>15</v>
      </c>
      <c r="O6">
        <v>85</v>
      </c>
      <c r="Q6">
        <f t="shared" si="0"/>
        <v>34.5</v>
      </c>
      <c r="R6">
        <f t="shared" si="1"/>
        <v>27.5</v>
      </c>
      <c r="S6">
        <f t="shared" si="2"/>
        <v>10</v>
      </c>
      <c r="T6">
        <f t="shared" si="3"/>
        <v>24</v>
      </c>
      <c r="AC6">
        <f t="shared" si="4"/>
        <v>10</v>
      </c>
      <c r="AD6">
        <f t="shared" si="5"/>
        <v>14</v>
      </c>
    </row>
    <row r="7" spans="1:32" x14ac:dyDescent="0.3">
      <c r="A7" t="s">
        <v>23</v>
      </c>
      <c r="B7">
        <v>59</v>
      </c>
      <c r="C7">
        <v>41</v>
      </c>
      <c r="D7">
        <v>22</v>
      </c>
      <c r="E7">
        <v>78</v>
      </c>
      <c r="G7">
        <v>65</v>
      </c>
      <c r="H7">
        <v>35</v>
      </c>
      <c r="I7">
        <v>30</v>
      </c>
      <c r="J7">
        <v>70</v>
      </c>
      <c r="L7">
        <v>96</v>
      </c>
      <c r="M7">
        <v>4</v>
      </c>
      <c r="N7">
        <v>7</v>
      </c>
      <c r="O7">
        <v>93</v>
      </c>
      <c r="Q7">
        <f t="shared" si="0"/>
        <v>31.5</v>
      </c>
      <c r="R7">
        <f t="shared" si="1"/>
        <v>32.5</v>
      </c>
      <c r="S7">
        <f t="shared" si="2"/>
        <v>5.5</v>
      </c>
      <c r="T7">
        <f t="shared" si="3"/>
        <v>23.166666666666668</v>
      </c>
      <c r="AC7">
        <f t="shared" si="4"/>
        <v>5.5</v>
      </c>
      <c r="AD7">
        <f t="shared" si="5"/>
        <v>17.666666666666668</v>
      </c>
    </row>
    <row r="11" spans="1:32" x14ac:dyDescent="0.3">
      <c r="A11" t="s">
        <v>76</v>
      </c>
    </row>
    <row r="12" spans="1:32" x14ac:dyDescent="0.3">
      <c r="B12">
        <v>70</v>
      </c>
      <c r="C12">
        <v>30</v>
      </c>
      <c r="D12">
        <v>37</v>
      </c>
      <c r="E12">
        <v>63</v>
      </c>
      <c r="G12">
        <v>76</v>
      </c>
      <c r="H12">
        <v>24</v>
      </c>
      <c r="I12">
        <v>39</v>
      </c>
      <c r="J12">
        <v>61</v>
      </c>
      <c r="L12">
        <v>95</v>
      </c>
      <c r="M12">
        <v>5</v>
      </c>
      <c r="N12">
        <v>16</v>
      </c>
      <c r="O12">
        <v>84</v>
      </c>
      <c r="Q12">
        <f t="shared" ref="Q8:Q15" si="6">AVERAGE(C12,D12)</f>
        <v>33.5</v>
      </c>
      <c r="R12">
        <f t="shared" ref="R8:R15" si="7">AVERAGE(H12,I12)</f>
        <v>31.5</v>
      </c>
      <c r="S12">
        <f t="shared" ref="S8:S15" si="8">AVERAGE(M12,N12)</f>
        <v>10.5</v>
      </c>
      <c r="T12">
        <f t="shared" ref="T8:T15" si="9">AVERAGE(Q12:S12)</f>
        <v>25.166666666666668</v>
      </c>
      <c r="U12">
        <f>AVERAGE(Q12:Q15)</f>
        <v>29.625</v>
      </c>
      <c r="V12">
        <f>_xlfn.STDEV.S(Q12:Q15)</f>
        <v>2.6259918760981216</v>
      </c>
      <c r="W12">
        <f>AVERAGE(R12:R15)</f>
        <v>27.375</v>
      </c>
      <c r="X12">
        <f>_xlfn.STDEV.S(R12:R15)</f>
        <v>5.0559371040391712</v>
      </c>
      <c r="Y12">
        <f>AVERAGE(S12:S15)</f>
        <v>11</v>
      </c>
      <c r="Z12">
        <f>_xlfn.STDEV.S(S12:S15)</f>
        <v>0.40824829046386302</v>
      </c>
      <c r="AA12">
        <f>AVERAGE(T12:T15)</f>
        <v>22.666666666666668</v>
      </c>
      <c r="AB12">
        <f>_xlfn.STDEV.S(T12:T15)</f>
        <v>2.1125725935368393</v>
      </c>
      <c r="AC12">
        <f t="shared" ref="AC8:AC15" si="10">MIN(Q12:S12)</f>
        <v>10.5</v>
      </c>
      <c r="AD12">
        <f t="shared" ref="AD8:AD15" si="11">(T12-AC12)</f>
        <v>14.666666666666668</v>
      </c>
      <c r="AE12">
        <f>AVERAGE(AD12:AD15)</f>
        <v>11.666666666666668</v>
      </c>
      <c r="AF12">
        <f>_xlfn.STDEV.S(AD12:AD15)</f>
        <v>2.4645636680909782</v>
      </c>
    </row>
    <row r="13" spans="1:32" x14ac:dyDescent="0.3">
      <c r="B13">
        <v>71</v>
      </c>
      <c r="C13">
        <v>29</v>
      </c>
      <c r="D13">
        <v>27</v>
      </c>
      <c r="E13">
        <v>73</v>
      </c>
      <c r="G13">
        <v>89</v>
      </c>
      <c r="H13">
        <v>11</v>
      </c>
      <c r="I13">
        <v>35</v>
      </c>
      <c r="J13">
        <v>65</v>
      </c>
      <c r="L13">
        <v>87</v>
      </c>
      <c r="M13">
        <v>13</v>
      </c>
      <c r="N13">
        <v>10</v>
      </c>
      <c r="O13">
        <v>90</v>
      </c>
      <c r="Q13">
        <f t="shared" si="6"/>
        <v>28</v>
      </c>
      <c r="R13">
        <f t="shared" si="7"/>
        <v>23</v>
      </c>
      <c r="S13">
        <f t="shared" si="8"/>
        <v>11.5</v>
      </c>
      <c r="T13">
        <f t="shared" si="9"/>
        <v>20.833333333333332</v>
      </c>
      <c r="AC13">
        <f t="shared" si="10"/>
        <v>11.5</v>
      </c>
      <c r="AD13">
        <f t="shared" si="11"/>
        <v>9.3333333333333321</v>
      </c>
    </row>
    <row r="14" spans="1:32" x14ac:dyDescent="0.3">
      <c r="B14">
        <v>65</v>
      </c>
      <c r="C14">
        <v>35</v>
      </c>
      <c r="D14">
        <v>23</v>
      </c>
      <c r="E14">
        <v>77</v>
      </c>
      <c r="G14">
        <v>85</v>
      </c>
      <c r="H14">
        <v>15</v>
      </c>
      <c r="I14">
        <v>31</v>
      </c>
      <c r="J14">
        <v>69</v>
      </c>
      <c r="L14">
        <v>87</v>
      </c>
      <c r="M14">
        <v>13</v>
      </c>
      <c r="N14">
        <v>9</v>
      </c>
      <c r="O14">
        <v>91</v>
      </c>
      <c r="Q14">
        <f t="shared" si="6"/>
        <v>29</v>
      </c>
      <c r="R14">
        <f t="shared" si="7"/>
        <v>23</v>
      </c>
      <c r="S14">
        <f t="shared" si="8"/>
        <v>11</v>
      </c>
      <c r="T14">
        <f t="shared" si="9"/>
        <v>21</v>
      </c>
      <c r="AC14">
        <f t="shared" si="10"/>
        <v>11</v>
      </c>
      <c r="AD14">
        <f t="shared" si="11"/>
        <v>10</v>
      </c>
    </row>
    <row r="15" spans="1:32" x14ac:dyDescent="0.3">
      <c r="B15">
        <v>68</v>
      </c>
      <c r="C15">
        <v>32</v>
      </c>
      <c r="D15">
        <v>24</v>
      </c>
      <c r="E15">
        <v>76</v>
      </c>
      <c r="G15">
        <v>76</v>
      </c>
      <c r="H15">
        <v>24</v>
      </c>
      <c r="I15">
        <v>40</v>
      </c>
      <c r="J15">
        <v>60</v>
      </c>
      <c r="L15">
        <v>93</v>
      </c>
      <c r="M15">
        <v>7</v>
      </c>
      <c r="N15">
        <v>15</v>
      </c>
      <c r="O15">
        <v>85</v>
      </c>
      <c r="Q15">
        <f t="shared" si="6"/>
        <v>28</v>
      </c>
      <c r="R15">
        <f t="shared" si="7"/>
        <v>32</v>
      </c>
      <c r="S15">
        <f t="shared" si="8"/>
        <v>11</v>
      </c>
      <c r="T15">
        <f t="shared" si="9"/>
        <v>23.666666666666668</v>
      </c>
      <c r="AC15">
        <f t="shared" si="10"/>
        <v>11</v>
      </c>
      <c r="AD15">
        <f t="shared" si="11"/>
        <v>12.666666666666668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6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68</v>
      </c>
      <c r="C4">
        <v>32</v>
      </c>
      <c r="D4">
        <v>28</v>
      </c>
      <c r="E4">
        <v>72</v>
      </c>
      <c r="G4">
        <v>88</v>
      </c>
      <c r="H4">
        <v>12</v>
      </c>
      <c r="I4">
        <v>45</v>
      </c>
      <c r="J4">
        <v>55</v>
      </c>
      <c r="L4">
        <v>93</v>
      </c>
      <c r="M4">
        <v>7</v>
      </c>
      <c r="N4">
        <v>12</v>
      </c>
      <c r="O4">
        <v>88</v>
      </c>
      <c r="Q4">
        <f>AVERAGE(C4,D4)</f>
        <v>30</v>
      </c>
      <c r="R4">
        <f>AVERAGE(H4,I4)</f>
        <v>28.5</v>
      </c>
      <c r="S4">
        <f>AVERAGE(M4,N4)</f>
        <v>9.5</v>
      </c>
      <c r="T4">
        <f>AVERAGE(Q4:S4)</f>
        <v>22.666666666666668</v>
      </c>
      <c r="U4">
        <f>AVERAGE(Q4,Q5:Q6)</f>
        <v>23.5</v>
      </c>
      <c r="V4">
        <f>_xlfn.STDEV.S(Q4,Q5:Q6)</f>
        <v>5.634713834792322</v>
      </c>
      <c r="W4">
        <f>AVERAGE(R4,R5:R6)</f>
        <v>22.5</v>
      </c>
      <c r="X4">
        <f>_xlfn.STDEV.S(R4,R5:R6)</f>
        <v>5.4083269131959844</v>
      </c>
      <c r="Y4">
        <f>AVERAGE(S4,S5:S6)</f>
        <v>7</v>
      </c>
      <c r="Z4">
        <f>_xlfn.STDEV.S(S4,S5:S6)</f>
        <v>2.2912878474779199</v>
      </c>
      <c r="AA4">
        <f>AVERAGE(T4,T5:T6)</f>
        <v>17.666666666666668</v>
      </c>
      <c r="AB4">
        <f>_xlfn.STDEV.S(T4,T5:T6)</f>
        <v>4.3429380735984644</v>
      </c>
      <c r="AC4">
        <f>MIN(Q4:S4)</f>
        <v>9.5</v>
      </c>
      <c r="AD4">
        <f>(1/3)*(T4-AC4)</f>
        <v>4.3888888888888893</v>
      </c>
      <c r="AE4">
        <f>AVERAGE(AD4,AD5:AD6)</f>
        <v>3.5555555555555558</v>
      </c>
      <c r="AF4">
        <f>_xlfn.STDEV.S(AD4,AD5:AD6)</f>
        <v>0.80699105812966365</v>
      </c>
    </row>
    <row r="5" spans="1:32" x14ac:dyDescent="0.3">
      <c r="B5">
        <v>82</v>
      </c>
      <c r="C5">
        <v>18</v>
      </c>
      <c r="D5">
        <v>22</v>
      </c>
      <c r="E5">
        <v>78</v>
      </c>
      <c r="G5">
        <v>90</v>
      </c>
      <c r="H5">
        <v>10</v>
      </c>
      <c r="I5">
        <v>26</v>
      </c>
      <c r="J5">
        <v>74</v>
      </c>
      <c r="L5">
        <v>97</v>
      </c>
      <c r="M5">
        <v>3</v>
      </c>
      <c r="N5">
        <v>10</v>
      </c>
      <c r="O5">
        <v>90</v>
      </c>
      <c r="Q5">
        <f>AVERAGE(C5,D5)</f>
        <v>20</v>
      </c>
      <c r="R5">
        <f>AVERAGE(H5,I5)</f>
        <v>18</v>
      </c>
      <c r="S5">
        <f>AVERAGE(M5,N5)</f>
        <v>6.5</v>
      </c>
      <c r="T5">
        <f>AVERAGE(Q5:S5)</f>
        <v>14.833333333333334</v>
      </c>
      <c r="AC5">
        <f>MIN(Q5:S5)</f>
        <v>6.5</v>
      </c>
      <c r="AD5">
        <f>(1/3)*(T5-AC5)</f>
        <v>2.7777777777777777</v>
      </c>
    </row>
    <row r="6" spans="1:32" x14ac:dyDescent="0.3">
      <c r="B6">
        <v>85</v>
      </c>
      <c r="C6">
        <v>15</v>
      </c>
      <c r="D6">
        <v>26</v>
      </c>
      <c r="E6">
        <v>74</v>
      </c>
      <c r="G6">
        <v>94</v>
      </c>
      <c r="H6">
        <v>6</v>
      </c>
      <c r="I6">
        <v>36</v>
      </c>
      <c r="J6">
        <v>64</v>
      </c>
      <c r="L6">
        <v>96</v>
      </c>
      <c r="M6">
        <v>4</v>
      </c>
      <c r="N6">
        <v>6</v>
      </c>
      <c r="O6">
        <v>94</v>
      </c>
      <c r="Q6">
        <f>AVERAGE(C6,D6)</f>
        <v>20.5</v>
      </c>
      <c r="R6">
        <f>AVERAGE(H6,I6)</f>
        <v>21</v>
      </c>
      <c r="S6">
        <f>AVERAGE(M6,N6)</f>
        <v>5</v>
      </c>
      <c r="T6">
        <f>AVERAGE(Q6:S6)</f>
        <v>15.5</v>
      </c>
      <c r="AC6">
        <f>MIN(Q6:S6)</f>
        <v>5</v>
      </c>
      <c r="AD6">
        <f>(1/3)*(T6-AC6)</f>
        <v>3.5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4"/>
  <sheetViews>
    <sheetView topLeftCell="L1" workbookViewId="0">
      <selection activeCell="AF12" activeCellId="2" sqref="U12:AB12 AE12 AF12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78</v>
      </c>
      <c r="C4">
        <v>22</v>
      </c>
      <c r="D4">
        <v>30</v>
      </c>
      <c r="E4">
        <v>70</v>
      </c>
      <c r="G4">
        <v>87</v>
      </c>
      <c r="H4">
        <v>13</v>
      </c>
      <c r="I4">
        <v>39</v>
      </c>
      <c r="J4">
        <v>61</v>
      </c>
      <c r="L4">
        <v>93</v>
      </c>
      <c r="M4">
        <v>7</v>
      </c>
      <c r="N4">
        <v>15</v>
      </c>
      <c r="O4">
        <v>85</v>
      </c>
      <c r="Q4">
        <f>AVERAGE(C4:D4)</f>
        <v>26</v>
      </c>
      <c r="R4">
        <f>AVERAGE(H4:I4)</f>
        <v>26</v>
      </c>
      <c r="S4">
        <f>AVERAGE(M4:N4)</f>
        <v>11</v>
      </c>
      <c r="T4">
        <f>AVERAGE(Q4:S4)</f>
        <v>21</v>
      </c>
      <c r="U4">
        <f>AVERAGE(Q4:Q6)</f>
        <v>21.5</v>
      </c>
      <c r="V4">
        <f>_xlfn.STDEV.S(Q4:Q6)</f>
        <v>4.5</v>
      </c>
      <c r="W4">
        <f>AVERAGE(R4:R6)</f>
        <v>22.666666666666668</v>
      </c>
      <c r="X4">
        <f>_xlfn.STDEV.S(R4:R6)</f>
        <v>3.8188130791298716</v>
      </c>
      <c r="Y4">
        <f>AVERAGE(S4:S6)</f>
        <v>10.666666666666666</v>
      </c>
      <c r="Z4">
        <f>_xlfn.STDEV.S(S4:S6)</f>
        <v>0.28867513459481292</v>
      </c>
      <c r="AA4">
        <f>AVERAGE(T4:T6)</f>
        <v>18.277777777777775</v>
      </c>
      <c r="AB4">
        <f>_xlfn.STDEV.S(T4:T6)</f>
        <v>2.3589859717291444</v>
      </c>
      <c r="AC4">
        <f>MIN(Q4:S4)</f>
        <v>11</v>
      </c>
      <c r="AD4">
        <f>T4-AC4</f>
        <v>10</v>
      </c>
      <c r="AE4">
        <f>AVERAGE(AD4:AD6)</f>
        <v>7.6111111111111107</v>
      </c>
      <c r="AF4">
        <f>_xlfn.STDEV.S(AD4:AD6)</f>
        <v>2.0705161281760218</v>
      </c>
    </row>
    <row r="5" spans="1:32" x14ac:dyDescent="0.3">
      <c r="B5">
        <v>79</v>
      </c>
      <c r="C5">
        <v>21</v>
      </c>
      <c r="D5">
        <v>13</v>
      </c>
      <c r="E5">
        <v>87</v>
      </c>
      <c r="G5">
        <v>88</v>
      </c>
      <c r="H5">
        <v>12</v>
      </c>
      <c r="I5">
        <v>35</v>
      </c>
      <c r="J5">
        <v>65</v>
      </c>
      <c r="L5">
        <v>91</v>
      </c>
      <c r="M5">
        <v>9</v>
      </c>
      <c r="N5">
        <v>12</v>
      </c>
      <c r="O5">
        <v>88</v>
      </c>
      <c r="Q5">
        <f t="shared" ref="Q5:Q6" si="0">AVERAGE(C5:D5)</f>
        <v>17</v>
      </c>
      <c r="R5">
        <f t="shared" ref="R5:R6" si="1">AVERAGE(H5:I5)</f>
        <v>23.5</v>
      </c>
      <c r="S5">
        <f t="shared" ref="S5:S6" si="2">AVERAGE(M5:N5)</f>
        <v>10.5</v>
      </c>
      <c r="T5">
        <f t="shared" ref="T5:T6" si="3">AVERAGE(Q5:S5)</f>
        <v>17</v>
      </c>
      <c r="AC5">
        <f t="shared" ref="AC5:AC6" si="4">MIN(Q5:S5)</f>
        <v>10.5</v>
      </c>
      <c r="AD5">
        <f t="shared" ref="AD5:AD6" si="5">T5-AC5</f>
        <v>6.5</v>
      </c>
    </row>
    <row r="6" spans="1:32" x14ac:dyDescent="0.3">
      <c r="B6">
        <v>77</v>
      </c>
      <c r="C6">
        <v>23</v>
      </c>
      <c r="D6">
        <v>20</v>
      </c>
      <c r="E6">
        <v>80</v>
      </c>
      <c r="G6">
        <v>91</v>
      </c>
      <c r="H6">
        <v>9</v>
      </c>
      <c r="I6">
        <v>28</v>
      </c>
      <c r="J6">
        <v>72</v>
      </c>
      <c r="L6">
        <v>94</v>
      </c>
      <c r="M6">
        <v>6</v>
      </c>
      <c r="N6">
        <v>15</v>
      </c>
      <c r="O6">
        <v>85</v>
      </c>
      <c r="Q6">
        <f t="shared" si="0"/>
        <v>21.5</v>
      </c>
      <c r="R6">
        <f t="shared" si="1"/>
        <v>18.5</v>
      </c>
      <c r="S6">
        <f t="shared" si="2"/>
        <v>10.5</v>
      </c>
      <c r="T6">
        <f t="shared" si="3"/>
        <v>16.833333333333332</v>
      </c>
      <c r="AC6">
        <f t="shared" si="4"/>
        <v>10.5</v>
      </c>
      <c r="AD6">
        <f t="shared" si="5"/>
        <v>6.3333333333333321</v>
      </c>
    </row>
    <row r="7" spans="1:32" x14ac:dyDescent="0.3">
      <c r="A7" t="s">
        <v>23</v>
      </c>
    </row>
    <row r="11" spans="1:32" x14ac:dyDescent="0.3">
      <c r="A11" t="s">
        <v>76</v>
      </c>
    </row>
    <row r="12" spans="1:32" x14ac:dyDescent="0.3">
      <c r="B12">
        <v>80</v>
      </c>
      <c r="C12">
        <v>20</v>
      </c>
      <c r="D12">
        <v>20</v>
      </c>
      <c r="E12">
        <v>80</v>
      </c>
      <c r="G12">
        <v>93</v>
      </c>
      <c r="H12">
        <v>7</v>
      </c>
      <c r="I12">
        <v>26</v>
      </c>
      <c r="J12">
        <v>74</v>
      </c>
      <c r="L12">
        <v>91</v>
      </c>
      <c r="M12">
        <v>9</v>
      </c>
      <c r="N12">
        <v>15</v>
      </c>
      <c r="O12">
        <v>85</v>
      </c>
      <c r="Q12">
        <f t="shared" ref="Q7:Q14" si="6">AVERAGE(C12:D12)</f>
        <v>20</v>
      </c>
      <c r="R12">
        <f t="shared" ref="R7:R14" si="7">AVERAGE(H12:I12)</f>
        <v>16.5</v>
      </c>
      <c r="S12">
        <f t="shared" ref="S7:S14" si="8">AVERAGE(M12:N12)</f>
        <v>12</v>
      </c>
      <c r="T12">
        <f t="shared" ref="T7:T14" si="9">AVERAGE(Q12:S12)</f>
        <v>16.166666666666668</v>
      </c>
      <c r="U12">
        <f>AVERAGE(Q12:Q14)</f>
        <v>22.666666666666668</v>
      </c>
      <c r="V12">
        <f>_xlfn.STDEV.S(Q12:Q14)</f>
        <v>3.7859388972001873</v>
      </c>
      <c r="W12">
        <f>AVERAGE(R12:R14)</f>
        <v>20.833333333333332</v>
      </c>
      <c r="X12">
        <f>_xlfn.STDEV.S(R12:R14)</f>
        <v>4.2524502740576953</v>
      </c>
      <c r="Y12">
        <f>AVERAGE(S12:S14)</f>
        <v>11.166666666666666</v>
      </c>
      <c r="Z12">
        <f>_xlfn.STDEV.S(S12:S14)</f>
        <v>1.0408329997330665</v>
      </c>
      <c r="AA12">
        <f>AVERAGE(T12:T14)</f>
        <v>18.222222222222225</v>
      </c>
      <c r="AB12">
        <f>_xlfn.STDEV.S(T12:T14)</f>
        <v>2.2750661366047948</v>
      </c>
      <c r="AC12">
        <f t="shared" ref="AC7:AC14" si="10">MIN(Q12:S12)</f>
        <v>12</v>
      </c>
      <c r="AD12">
        <f t="shared" ref="AD7:AD14" si="11">T12-AC12</f>
        <v>4.1666666666666679</v>
      </c>
      <c r="AE12">
        <f>AVERAGE(AD12:AD14)</f>
        <v>7.0555555555555562</v>
      </c>
      <c r="AF12">
        <f>_xlfn.STDEV.S(AD12:AD14)</f>
        <v>3.3096380019125498</v>
      </c>
    </row>
    <row r="13" spans="1:32" x14ac:dyDescent="0.3">
      <c r="B13">
        <v>78</v>
      </c>
      <c r="C13">
        <v>22</v>
      </c>
      <c r="D13">
        <v>20</v>
      </c>
      <c r="E13">
        <v>80</v>
      </c>
      <c r="G13">
        <v>87</v>
      </c>
      <c r="H13">
        <v>13</v>
      </c>
      <c r="I13">
        <v>29</v>
      </c>
      <c r="J13">
        <v>71</v>
      </c>
      <c r="L13">
        <v>92</v>
      </c>
      <c r="M13">
        <v>8</v>
      </c>
      <c r="N13">
        <v>15</v>
      </c>
      <c r="O13">
        <v>85</v>
      </c>
      <c r="Q13">
        <f t="shared" si="6"/>
        <v>21</v>
      </c>
      <c r="R13">
        <f t="shared" si="7"/>
        <v>21</v>
      </c>
      <c r="S13">
        <f t="shared" si="8"/>
        <v>11.5</v>
      </c>
      <c r="T13">
        <f t="shared" si="9"/>
        <v>17.833333333333332</v>
      </c>
      <c r="AC13">
        <f t="shared" si="10"/>
        <v>11.5</v>
      </c>
      <c r="AD13">
        <f t="shared" si="11"/>
        <v>6.3333333333333321</v>
      </c>
    </row>
    <row r="14" spans="1:32" x14ac:dyDescent="0.3">
      <c r="B14">
        <v>81</v>
      </c>
      <c r="C14">
        <v>19</v>
      </c>
      <c r="D14">
        <v>35</v>
      </c>
      <c r="E14">
        <v>65</v>
      </c>
      <c r="G14">
        <v>86</v>
      </c>
      <c r="H14">
        <v>14</v>
      </c>
      <c r="I14">
        <v>36</v>
      </c>
      <c r="J14">
        <v>64</v>
      </c>
      <c r="L14">
        <v>88</v>
      </c>
      <c r="M14">
        <v>12</v>
      </c>
      <c r="N14">
        <v>8</v>
      </c>
      <c r="O14">
        <v>92</v>
      </c>
      <c r="Q14">
        <f t="shared" si="6"/>
        <v>27</v>
      </c>
      <c r="R14">
        <f t="shared" si="7"/>
        <v>25</v>
      </c>
      <c r="S14">
        <f t="shared" si="8"/>
        <v>10</v>
      </c>
      <c r="T14">
        <f t="shared" si="9"/>
        <v>20.666666666666668</v>
      </c>
      <c r="AC14">
        <f t="shared" si="10"/>
        <v>10</v>
      </c>
      <c r="AD14">
        <f t="shared" si="11"/>
        <v>10.666666666666668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26"/>
  <sheetViews>
    <sheetView topLeftCell="N9" workbookViewId="0">
      <selection activeCell="AF21" activeCellId="2" sqref="U21:AB21 AE21 AF21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67</v>
      </c>
      <c r="C4">
        <v>33</v>
      </c>
      <c r="D4">
        <v>32</v>
      </c>
      <c r="E4">
        <v>68</v>
      </c>
      <c r="G4">
        <v>80</v>
      </c>
      <c r="H4">
        <v>20</v>
      </c>
      <c r="I4">
        <v>34</v>
      </c>
      <c r="J4">
        <v>66</v>
      </c>
      <c r="L4">
        <v>90</v>
      </c>
      <c r="M4">
        <v>10</v>
      </c>
      <c r="N4">
        <v>9</v>
      </c>
      <c r="O4">
        <v>91</v>
      </c>
      <c r="Q4">
        <f>AVERAGE(C4,D4)</f>
        <v>32.5</v>
      </c>
      <c r="R4">
        <f>AVERAGE(H4,I4)</f>
        <v>27</v>
      </c>
      <c r="S4">
        <f>AVERAGE(M4,N4)</f>
        <v>9.5</v>
      </c>
      <c r="T4">
        <f>AVERAGE(Q4:S4)</f>
        <v>23</v>
      </c>
      <c r="U4">
        <f>AVERAGE(Q4:Q10)</f>
        <v>29.714285714285715</v>
      </c>
      <c r="V4">
        <f>_xlfn.STDEV.S(Q4:Q10)</f>
        <v>4.2314018840996335</v>
      </c>
      <c r="W4">
        <f>AVERAGE(R4:R10)</f>
        <v>26.714285714285715</v>
      </c>
      <c r="X4">
        <f>_xlfn.STDEV.S(R4:R10)</f>
        <v>3.6384193323605869</v>
      </c>
      <c r="Y4">
        <f>AVERAGE(S4:S10)</f>
        <v>9.7857142857142865</v>
      </c>
      <c r="Z4">
        <f>_xlfn.STDEV.S(S4:S10)</f>
        <v>2.8263218567769739</v>
      </c>
      <c r="AA4">
        <f>AVERAGE(T4:T10)</f>
        <v>22.071428571428573</v>
      </c>
      <c r="AB4">
        <f>_xlfn.STDEV.S(T4:T10)</f>
        <v>2.5456155896283152</v>
      </c>
      <c r="AC4">
        <f>MIN(Q4:S4)</f>
        <v>9.5</v>
      </c>
      <c r="AD4">
        <f>(T4-AC4)</f>
        <v>13.5</v>
      </c>
      <c r="AE4">
        <f>AVERAGE(AD4:AD10)</f>
        <v>12.285714285714286</v>
      </c>
      <c r="AF4">
        <f>_xlfn.STDEV.S(AD4:AD10)</f>
        <v>3.0164890765932415</v>
      </c>
    </row>
    <row r="5" spans="1:32" x14ac:dyDescent="0.3">
      <c r="B5">
        <v>67</v>
      </c>
      <c r="C5">
        <v>33</v>
      </c>
      <c r="D5">
        <v>19</v>
      </c>
      <c r="E5">
        <v>81</v>
      </c>
      <c r="G5">
        <v>85</v>
      </c>
      <c r="H5">
        <v>15</v>
      </c>
      <c r="I5">
        <v>32</v>
      </c>
      <c r="J5">
        <v>68</v>
      </c>
      <c r="L5">
        <v>87</v>
      </c>
      <c r="M5">
        <v>13</v>
      </c>
      <c r="N5">
        <v>15</v>
      </c>
      <c r="O5">
        <v>85</v>
      </c>
      <c r="Q5">
        <f t="shared" ref="Q5:Q10" si="0">AVERAGE(C5,D5)</f>
        <v>26</v>
      </c>
      <c r="R5">
        <f t="shared" ref="R5:R10" si="1">AVERAGE(H5,I5)</f>
        <v>23.5</v>
      </c>
      <c r="S5">
        <f t="shared" ref="S5:S10" si="2">AVERAGE(M5,N5)</f>
        <v>14</v>
      </c>
      <c r="T5">
        <f t="shared" ref="T5:T10" si="3">AVERAGE(Q5:S5)</f>
        <v>21.166666666666668</v>
      </c>
      <c r="AC5">
        <f t="shared" ref="AC5:AC10" si="4">MIN(Q5:S5)</f>
        <v>14</v>
      </c>
      <c r="AD5">
        <f t="shared" ref="AD5:AD10" si="5">(T5-AC5)</f>
        <v>7.1666666666666679</v>
      </c>
    </row>
    <row r="6" spans="1:32" x14ac:dyDescent="0.3">
      <c r="B6">
        <v>77</v>
      </c>
      <c r="C6">
        <v>23</v>
      </c>
      <c r="D6">
        <v>32</v>
      </c>
      <c r="E6">
        <v>68</v>
      </c>
      <c r="G6">
        <v>81</v>
      </c>
      <c r="H6">
        <v>19</v>
      </c>
      <c r="I6">
        <v>34</v>
      </c>
      <c r="J6">
        <v>66</v>
      </c>
      <c r="L6">
        <v>99</v>
      </c>
      <c r="M6">
        <v>1</v>
      </c>
      <c r="N6">
        <v>20</v>
      </c>
      <c r="O6">
        <v>80</v>
      </c>
      <c r="Q6">
        <f t="shared" si="0"/>
        <v>27.5</v>
      </c>
      <c r="R6">
        <f t="shared" si="1"/>
        <v>26.5</v>
      </c>
      <c r="S6">
        <f t="shared" si="2"/>
        <v>10.5</v>
      </c>
      <c r="T6">
        <f t="shared" si="3"/>
        <v>21.5</v>
      </c>
      <c r="AC6">
        <f t="shared" si="4"/>
        <v>10.5</v>
      </c>
      <c r="AD6">
        <f t="shared" si="5"/>
        <v>11</v>
      </c>
    </row>
    <row r="7" spans="1:32" x14ac:dyDescent="0.3">
      <c r="B7">
        <v>74</v>
      </c>
      <c r="C7">
        <v>26</v>
      </c>
      <c r="D7">
        <v>50</v>
      </c>
      <c r="E7">
        <v>50</v>
      </c>
      <c r="G7">
        <v>80</v>
      </c>
      <c r="H7">
        <v>20</v>
      </c>
      <c r="I7">
        <v>42</v>
      </c>
      <c r="J7">
        <v>58</v>
      </c>
      <c r="L7">
        <v>95</v>
      </c>
      <c r="M7">
        <v>5</v>
      </c>
      <c r="N7">
        <v>14</v>
      </c>
      <c r="O7">
        <v>86</v>
      </c>
      <c r="Q7">
        <f t="shared" si="0"/>
        <v>38</v>
      </c>
      <c r="R7">
        <f t="shared" si="1"/>
        <v>31</v>
      </c>
      <c r="S7">
        <f t="shared" si="2"/>
        <v>9.5</v>
      </c>
      <c r="T7">
        <f t="shared" si="3"/>
        <v>26.166666666666668</v>
      </c>
      <c r="AC7">
        <f t="shared" si="4"/>
        <v>9.5</v>
      </c>
      <c r="AD7">
        <f t="shared" si="5"/>
        <v>16.666666666666668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85</v>
      </c>
      <c r="H8">
        <v>15</v>
      </c>
      <c r="I8">
        <v>34</v>
      </c>
      <c r="J8">
        <v>66</v>
      </c>
      <c r="L8">
        <v>92</v>
      </c>
      <c r="M8">
        <v>8</v>
      </c>
      <c r="N8">
        <v>11</v>
      </c>
      <c r="O8">
        <v>89</v>
      </c>
      <c r="Q8">
        <f t="shared" si="0"/>
        <v>26.5</v>
      </c>
      <c r="R8">
        <f t="shared" si="1"/>
        <v>24.5</v>
      </c>
      <c r="S8">
        <f t="shared" si="2"/>
        <v>9.5</v>
      </c>
      <c r="T8">
        <f t="shared" si="3"/>
        <v>20.166666666666668</v>
      </c>
      <c r="AC8">
        <f t="shared" si="4"/>
        <v>9.5</v>
      </c>
      <c r="AD8">
        <f t="shared" si="5"/>
        <v>10.666666666666668</v>
      </c>
    </row>
    <row r="9" spans="1:32" x14ac:dyDescent="0.3">
      <c r="B9">
        <v>74</v>
      </c>
      <c r="C9">
        <v>26</v>
      </c>
      <c r="D9">
        <v>31</v>
      </c>
      <c r="E9">
        <v>69</v>
      </c>
      <c r="G9">
        <v>87</v>
      </c>
      <c r="H9">
        <v>13</v>
      </c>
      <c r="I9">
        <v>32</v>
      </c>
      <c r="J9">
        <v>68</v>
      </c>
      <c r="L9">
        <v>95</v>
      </c>
      <c r="M9">
        <v>5</v>
      </c>
      <c r="N9">
        <v>4</v>
      </c>
      <c r="O9">
        <v>96</v>
      </c>
      <c r="Q9">
        <f t="shared" si="0"/>
        <v>28.5</v>
      </c>
      <c r="R9">
        <f t="shared" si="1"/>
        <v>22.5</v>
      </c>
      <c r="S9">
        <f t="shared" si="2"/>
        <v>4.5</v>
      </c>
      <c r="T9">
        <f t="shared" si="3"/>
        <v>18.5</v>
      </c>
      <c r="AC9">
        <f t="shared" si="4"/>
        <v>4.5</v>
      </c>
      <c r="AD9">
        <f t="shared" si="5"/>
        <v>14</v>
      </c>
    </row>
    <row r="10" spans="1:32" x14ac:dyDescent="0.3">
      <c r="B10">
        <v>81</v>
      </c>
      <c r="C10">
        <v>19</v>
      </c>
      <c r="D10">
        <v>39</v>
      </c>
      <c r="E10">
        <v>61</v>
      </c>
      <c r="G10">
        <v>79</v>
      </c>
      <c r="H10">
        <v>21</v>
      </c>
      <c r="I10">
        <v>43</v>
      </c>
      <c r="J10">
        <v>57</v>
      </c>
      <c r="L10">
        <v>95</v>
      </c>
      <c r="M10">
        <v>5</v>
      </c>
      <c r="N10">
        <v>17</v>
      </c>
      <c r="O10">
        <v>83</v>
      </c>
      <c r="Q10">
        <f t="shared" si="0"/>
        <v>29</v>
      </c>
      <c r="R10">
        <f t="shared" si="1"/>
        <v>32</v>
      </c>
      <c r="S10">
        <f t="shared" si="2"/>
        <v>11</v>
      </c>
      <c r="T10">
        <f t="shared" si="3"/>
        <v>24</v>
      </c>
      <c r="AC10">
        <f t="shared" si="4"/>
        <v>11</v>
      </c>
      <c r="AD10">
        <f t="shared" si="5"/>
        <v>13</v>
      </c>
    </row>
    <row r="11" spans="1:32" x14ac:dyDescent="0.3">
      <c r="A11" t="s">
        <v>22</v>
      </c>
    </row>
    <row r="12" spans="1:32" x14ac:dyDescent="0.3">
      <c r="B12">
        <v>70</v>
      </c>
      <c r="C12">
        <v>30</v>
      </c>
      <c r="D12">
        <v>19</v>
      </c>
      <c r="E12">
        <v>81</v>
      </c>
      <c r="G12">
        <v>80</v>
      </c>
      <c r="H12">
        <v>20</v>
      </c>
      <c r="I12">
        <v>29</v>
      </c>
      <c r="J12">
        <v>71</v>
      </c>
      <c r="L12">
        <v>87</v>
      </c>
      <c r="M12">
        <v>13</v>
      </c>
      <c r="N12">
        <v>9</v>
      </c>
      <c r="O12">
        <v>91</v>
      </c>
      <c r="Q12">
        <f t="shared" ref="Q12:Q14" si="6">AVERAGE(C12,D12)</f>
        <v>24.5</v>
      </c>
      <c r="R12">
        <f t="shared" ref="R12:R14" si="7">AVERAGE(H12,I12)</f>
        <v>24.5</v>
      </c>
      <c r="S12">
        <f t="shared" ref="S12:S14" si="8">AVERAGE(M12,N12)</f>
        <v>11</v>
      </c>
      <c r="T12">
        <f t="shared" ref="T12:T14" si="9">AVERAGE(Q12:S12)</f>
        <v>20</v>
      </c>
      <c r="U12">
        <f>AVERAGE(Q12:Q18)</f>
        <v>25.666666666666668</v>
      </c>
      <c r="V12">
        <f>_xlfn.STDEV.S(Q12:Q18)</f>
        <v>2.9297326385411577</v>
      </c>
      <c r="W12">
        <f>AVERAGE(R12:R18)</f>
        <v>27.333333333333332</v>
      </c>
      <c r="X12">
        <f>_xlfn.STDEV.S(R12:R18)</f>
        <v>5.3463383107818059</v>
      </c>
      <c r="Y12">
        <f>AVERAGE(S12:S18)</f>
        <v>10.666666666666666</v>
      </c>
      <c r="Z12">
        <f>_xlfn.STDEV.S(S12:S18)</f>
        <v>0.57735026918962573</v>
      </c>
      <c r="AA12">
        <f>AVERAGE(T12:T18)</f>
        <v>21.222222222222218</v>
      </c>
      <c r="AB12">
        <f>_xlfn.STDEV.S(T12:T18)</f>
        <v>1.1706281947614148</v>
      </c>
      <c r="AC12">
        <f t="shared" ref="AC12:AC14" si="10">MIN(Q12:S12)</f>
        <v>11</v>
      </c>
      <c r="AD12">
        <f t="shared" ref="AD12:AD14" si="11">(T12-AC12)</f>
        <v>9</v>
      </c>
      <c r="AE12">
        <f>AVERAGE(AD12:AD18)</f>
        <v>10.555555555555555</v>
      </c>
      <c r="AF12">
        <f>_xlfn.STDEV.S(AD12:AD18)</f>
        <v>1.677740985615729</v>
      </c>
    </row>
    <row r="13" spans="1:32" x14ac:dyDescent="0.3">
      <c r="B13">
        <v>77</v>
      </c>
      <c r="C13">
        <v>23</v>
      </c>
      <c r="D13">
        <v>24</v>
      </c>
      <c r="E13">
        <v>76</v>
      </c>
      <c r="G13">
        <v>78</v>
      </c>
      <c r="H13">
        <v>22</v>
      </c>
      <c r="I13">
        <v>45</v>
      </c>
      <c r="J13">
        <v>55</v>
      </c>
      <c r="L13">
        <v>93</v>
      </c>
      <c r="M13">
        <v>7</v>
      </c>
      <c r="N13">
        <v>13</v>
      </c>
      <c r="O13">
        <v>87</v>
      </c>
      <c r="Q13">
        <f t="shared" si="6"/>
        <v>23.5</v>
      </c>
      <c r="R13">
        <f t="shared" si="7"/>
        <v>33.5</v>
      </c>
      <c r="S13">
        <f t="shared" si="8"/>
        <v>10</v>
      </c>
      <c r="T13">
        <f t="shared" si="9"/>
        <v>22.333333333333332</v>
      </c>
      <c r="AC13">
        <f t="shared" si="10"/>
        <v>10</v>
      </c>
      <c r="AD13">
        <f t="shared" si="11"/>
        <v>12.333333333333332</v>
      </c>
    </row>
    <row r="14" spans="1:32" x14ac:dyDescent="0.3">
      <c r="B14">
        <v>79</v>
      </c>
      <c r="C14">
        <v>21</v>
      </c>
      <c r="D14">
        <v>37</v>
      </c>
      <c r="E14">
        <v>63</v>
      </c>
      <c r="G14">
        <v>88</v>
      </c>
      <c r="H14">
        <v>12</v>
      </c>
      <c r="I14">
        <v>36</v>
      </c>
      <c r="J14">
        <v>64</v>
      </c>
      <c r="L14">
        <v>92</v>
      </c>
      <c r="M14">
        <v>8</v>
      </c>
      <c r="N14">
        <v>14</v>
      </c>
      <c r="O14">
        <v>86</v>
      </c>
      <c r="Q14">
        <f t="shared" si="6"/>
        <v>29</v>
      </c>
      <c r="R14">
        <f t="shared" si="7"/>
        <v>24</v>
      </c>
      <c r="S14">
        <f t="shared" si="8"/>
        <v>11</v>
      </c>
      <c r="T14">
        <f t="shared" si="9"/>
        <v>21.333333333333332</v>
      </c>
      <c r="AC14">
        <f t="shared" si="10"/>
        <v>11</v>
      </c>
      <c r="AD14">
        <f t="shared" si="11"/>
        <v>10.333333333333332</v>
      </c>
    </row>
    <row r="20" spans="1:32" x14ac:dyDescent="0.3">
      <c r="A20" t="s">
        <v>76</v>
      </c>
    </row>
    <row r="21" spans="1:32" x14ac:dyDescent="0.3">
      <c r="B21">
        <v>78</v>
      </c>
      <c r="C21">
        <v>22</v>
      </c>
      <c r="D21">
        <v>32</v>
      </c>
      <c r="E21">
        <v>68</v>
      </c>
      <c r="G21">
        <v>87</v>
      </c>
      <c r="H21">
        <v>13</v>
      </c>
      <c r="I21">
        <v>49</v>
      </c>
      <c r="J21">
        <v>51</v>
      </c>
      <c r="L21">
        <v>86</v>
      </c>
      <c r="M21">
        <v>14</v>
      </c>
      <c r="N21">
        <v>6</v>
      </c>
      <c r="O21">
        <v>94</v>
      </c>
      <c r="Q21">
        <f t="shared" ref="Q15:Q26" si="12">AVERAGE(C21,D21)</f>
        <v>27</v>
      </c>
      <c r="R21">
        <f t="shared" ref="R15:R26" si="13">AVERAGE(H21,I21)</f>
        <v>31</v>
      </c>
      <c r="S21">
        <f t="shared" ref="S15:S26" si="14">AVERAGE(M21,N21)</f>
        <v>10</v>
      </c>
      <c r="T21">
        <f t="shared" ref="T15:T26" si="15">AVERAGE(Q21:S21)</f>
        <v>22.666666666666668</v>
      </c>
      <c r="U21">
        <f>AVERAGE(Q21:Q27)</f>
        <v>27.416666666666668</v>
      </c>
      <c r="V21">
        <f>_xlfn.STDEV.S(Q21:Q27)</f>
        <v>2.083666640004266</v>
      </c>
      <c r="W21">
        <f>AVERAGE(R21:R27)</f>
        <v>28.583333333333332</v>
      </c>
      <c r="X21">
        <f>_xlfn.STDEV.S(R21:R27)</f>
        <v>3.292668623877387</v>
      </c>
      <c r="Y21">
        <f>AVERAGE(S21:S27)</f>
        <v>8.5</v>
      </c>
      <c r="Z21">
        <f>_xlfn.STDEV.S(S21:S27)</f>
        <v>1.8973665961010275</v>
      </c>
      <c r="AA21">
        <f>AVERAGE(T21:T27)</f>
        <v>21.500000000000004</v>
      </c>
      <c r="AB21">
        <f>_xlfn.STDEV.S(T21:T27)</f>
        <v>1.2560962454277844</v>
      </c>
      <c r="AC21">
        <f t="shared" ref="AC15:AC26" si="16">MIN(Q21:S21)</f>
        <v>10</v>
      </c>
      <c r="AD21">
        <f t="shared" ref="AD15:AD26" si="17">(T21-AC21)</f>
        <v>12.666666666666668</v>
      </c>
      <c r="AE21">
        <f>AVERAGE(AD21:AD27)</f>
        <v>13</v>
      </c>
      <c r="AF21">
        <f>_xlfn.STDEV.S(AD21:AD27)</f>
        <v>2.0357908646136602</v>
      </c>
    </row>
    <row r="22" spans="1:32" x14ac:dyDescent="0.3">
      <c r="B22">
        <v>67</v>
      </c>
      <c r="C22">
        <v>33</v>
      </c>
      <c r="D22">
        <v>28</v>
      </c>
      <c r="E22">
        <v>72</v>
      </c>
      <c r="G22">
        <v>82</v>
      </c>
      <c r="H22">
        <v>18</v>
      </c>
      <c r="I22">
        <v>43</v>
      </c>
      <c r="J22">
        <v>57</v>
      </c>
      <c r="L22">
        <v>93</v>
      </c>
      <c r="M22">
        <v>7</v>
      </c>
      <c r="N22">
        <v>3</v>
      </c>
      <c r="O22">
        <v>97</v>
      </c>
      <c r="Q22">
        <f t="shared" si="12"/>
        <v>30.5</v>
      </c>
      <c r="R22">
        <f t="shared" si="13"/>
        <v>30.5</v>
      </c>
      <c r="S22">
        <f t="shared" si="14"/>
        <v>5</v>
      </c>
      <c r="T22">
        <f t="shared" si="15"/>
        <v>22</v>
      </c>
      <c r="AC22">
        <f t="shared" si="16"/>
        <v>5</v>
      </c>
      <c r="AD22">
        <f t="shared" si="17"/>
        <v>17</v>
      </c>
    </row>
    <row r="23" spans="1:32" x14ac:dyDescent="0.3">
      <c r="B23">
        <v>84</v>
      </c>
      <c r="C23">
        <v>16</v>
      </c>
      <c r="D23">
        <v>36</v>
      </c>
      <c r="E23">
        <v>64</v>
      </c>
      <c r="G23">
        <v>88</v>
      </c>
      <c r="H23">
        <v>12</v>
      </c>
      <c r="I23">
        <v>47</v>
      </c>
      <c r="J23">
        <v>53</v>
      </c>
      <c r="L23">
        <v>96</v>
      </c>
      <c r="M23">
        <v>4</v>
      </c>
      <c r="N23">
        <v>15</v>
      </c>
      <c r="O23">
        <v>85</v>
      </c>
      <c r="Q23">
        <f t="shared" si="12"/>
        <v>26</v>
      </c>
      <c r="R23">
        <f t="shared" si="13"/>
        <v>29.5</v>
      </c>
      <c r="S23">
        <f t="shared" si="14"/>
        <v>9.5</v>
      </c>
      <c r="T23">
        <f t="shared" si="15"/>
        <v>21.666666666666668</v>
      </c>
      <c r="AC23">
        <f t="shared" si="16"/>
        <v>9.5</v>
      </c>
      <c r="AD23">
        <f t="shared" si="17"/>
        <v>12.166666666666668</v>
      </c>
    </row>
    <row r="24" spans="1:32" x14ac:dyDescent="0.3">
      <c r="B24">
        <v>71</v>
      </c>
      <c r="C24">
        <v>29</v>
      </c>
      <c r="D24">
        <v>30</v>
      </c>
      <c r="E24">
        <v>70</v>
      </c>
      <c r="G24">
        <v>86</v>
      </c>
      <c r="H24">
        <v>14</v>
      </c>
      <c r="I24">
        <v>37</v>
      </c>
      <c r="J24">
        <v>63</v>
      </c>
      <c r="L24">
        <v>95</v>
      </c>
      <c r="M24">
        <v>5</v>
      </c>
      <c r="N24">
        <v>12</v>
      </c>
      <c r="O24">
        <v>88</v>
      </c>
      <c r="Q24">
        <f t="shared" si="12"/>
        <v>29.5</v>
      </c>
      <c r="R24">
        <f t="shared" si="13"/>
        <v>25.5</v>
      </c>
      <c r="S24">
        <f t="shared" si="14"/>
        <v>8.5</v>
      </c>
      <c r="T24">
        <f t="shared" si="15"/>
        <v>21.166666666666668</v>
      </c>
      <c r="AC24">
        <f t="shared" si="16"/>
        <v>8.5</v>
      </c>
      <c r="AD24">
        <f t="shared" si="17"/>
        <v>12.666666666666668</v>
      </c>
    </row>
    <row r="25" spans="1:32" x14ac:dyDescent="0.3">
      <c r="B25">
        <v>75</v>
      </c>
      <c r="C25">
        <v>25</v>
      </c>
      <c r="D25">
        <v>27</v>
      </c>
      <c r="E25">
        <v>73</v>
      </c>
      <c r="G25">
        <v>85</v>
      </c>
      <c r="H25">
        <v>15</v>
      </c>
      <c r="I25">
        <v>32</v>
      </c>
      <c r="J25">
        <v>68</v>
      </c>
      <c r="L25">
        <v>92</v>
      </c>
      <c r="M25">
        <v>8</v>
      </c>
      <c r="N25">
        <v>8</v>
      </c>
      <c r="O25">
        <v>92</v>
      </c>
      <c r="Q25">
        <f t="shared" si="12"/>
        <v>26</v>
      </c>
      <c r="R25">
        <f t="shared" si="13"/>
        <v>23.5</v>
      </c>
      <c r="S25">
        <f t="shared" si="14"/>
        <v>8</v>
      </c>
      <c r="T25">
        <f t="shared" si="15"/>
        <v>19.166666666666668</v>
      </c>
      <c r="AC25">
        <f t="shared" si="16"/>
        <v>8</v>
      </c>
      <c r="AD25">
        <f t="shared" si="17"/>
        <v>11.166666666666668</v>
      </c>
    </row>
    <row r="26" spans="1:32" x14ac:dyDescent="0.3">
      <c r="B26">
        <v>72</v>
      </c>
      <c r="C26">
        <v>28</v>
      </c>
      <c r="D26">
        <v>23</v>
      </c>
      <c r="E26">
        <v>77</v>
      </c>
      <c r="G26">
        <v>80</v>
      </c>
      <c r="H26">
        <v>20</v>
      </c>
      <c r="I26">
        <v>43</v>
      </c>
      <c r="J26">
        <v>57</v>
      </c>
      <c r="L26">
        <v>92</v>
      </c>
      <c r="M26">
        <v>8</v>
      </c>
      <c r="N26">
        <v>12</v>
      </c>
      <c r="O26">
        <v>88</v>
      </c>
      <c r="Q26">
        <f t="shared" si="12"/>
        <v>25.5</v>
      </c>
      <c r="R26">
        <f t="shared" si="13"/>
        <v>31.5</v>
      </c>
      <c r="S26">
        <f t="shared" si="14"/>
        <v>10</v>
      </c>
      <c r="T26">
        <f t="shared" si="15"/>
        <v>22.333333333333332</v>
      </c>
      <c r="AC26">
        <f t="shared" si="16"/>
        <v>10</v>
      </c>
      <c r="AD26">
        <f t="shared" si="17"/>
        <v>12.333333333333332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6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83</v>
      </c>
      <c r="C4">
        <v>17</v>
      </c>
      <c r="D4">
        <v>12</v>
      </c>
      <c r="E4">
        <v>88</v>
      </c>
      <c r="G4">
        <v>92</v>
      </c>
      <c r="H4">
        <v>8</v>
      </c>
      <c r="I4">
        <v>25</v>
      </c>
      <c r="J4">
        <v>75</v>
      </c>
      <c r="L4">
        <v>92</v>
      </c>
      <c r="M4">
        <v>8</v>
      </c>
      <c r="N4">
        <v>12</v>
      </c>
      <c r="O4">
        <v>88</v>
      </c>
      <c r="Q4">
        <f>AVERAGE(C4:D4)</f>
        <v>14.5</v>
      </c>
      <c r="R4">
        <f>AVERAGE(H4:I4)</f>
        <v>16.5</v>
      </c>
      <c r="S4">
        <f>AVERAGE(M4:N4)</f>
        <v>10</v>
      </c>
      <c r="T4">
        <f>AVERAGE(Q4:S4)</f>
        <v>13.666666666666666</v>
      </c>
      <c r="U4">
        <f>AVERAGE(Q4:Q8)</f>
        <v>18.666666666666668</v>
      </c>
      <c r="V4">
        <f>_xlfn.STDEV.S(Q4:Q8)</f>
        <v>5.9651767227244301</v>
      </c>
      <c r="W4">
        <f>AVERAGE(R4:R8)</f>
        <v>19.333333333333332</v>
      </c>
      <c r="X4">
        <f>_xlfn.STDEV.S(R4:R8)</f>
        <v>3.6855573979160021</v>
      </c>
      <c r="Y4">
        <f>AVERAGE(S4:S8)</f>
        <v>10.5</v>
      </c>
      <c r="Z4">
        <f>_xlfn.STDEV.S(S4:S8)</f>
        <v>0.5</v>
      </c>
      <c r="AA4">
        <f>AVERAGE(T4:T8)</f>
        <v>16.166666666666668</v>
      </c>
      <c r="AB4">
        <f>_xlfn.STDEV.S(T4:T8)</f>
        <v>3.3706247360261101</v>
      </c>
      <c r="AC4">
        <f>MIN(Q4:S4)</f>
        <v>10</v>
      </c>
      <c r="AD4">
        <f>T4-AC4</f>
        <v>3.6666666666666661</v>
      </c>
      <c r="AE4">
        <f>AVERAGE(AD4:AD8)</f>
        <v>5.666666666666667</v>
      </c>
      <c r="AF4">
        <f>_xlfn.STDEV.S(AD4:AD8)</f>
        <v>2.9059326290271166</v>
      </c>
    </row>
    <row r="5" spans="1:32" x14ac:dyDescent="0.3">
      <c r="B5">
        <v>86</v>
      </c>
      <c r="C5">
        <v>14</v>
      </c>
      <c r="D5">
        <v>18</v>
      </c>
      <c r="E5">
        <v>82</v>
      </c>
      <c r="G5">
        <v>87</v>
      </c>
      <c r="H5">
        <v>13</v>
      </c>
      <c r="I5">
        <v>23</v>
      </c>
      <c r="J5">
        <v>77</v>
      </c>
      <c r="L5">
        <v>91</v>
      </c>
      <c r="M5">
        <v>9</v>
      </c>
      <c r="N5">
        <v>12</v>
      </c>
      <c r="O5">
        <v>88</v>
      </c>
      <c r="Q5">
        <f t="shared" ref="Q5:Q6" si="0">AVERAGE(C5:D5)</f>
        <v>16</v>
      </c>
      <c r="R5">
        <f t="shared" ref="R5:R6" si="1">AVERAGE(H5:I5)</f>
        <v>18</v>
      </c>
      <c r="S5">
        <f t="shared" ref="S5:S6" si="2">AVERAGE(M5:N5)</f>
        <v>10.5</v>
      </c>
      <c r="T5">
        <f t="shared" ref="T5:T6" si="3">AVERAGE(Q5:S5)</f>
        <v>14.833333333333334</v>
      </c>
      <c r="AC5">
        <f t="shared" ref="AC5:AC6" si="4">MIN(Q5:S5)</f>
        <v>10.5</v>
      </c>
      <c r="AD5">
        <f t="shared" ref="AD5:AD6" si="5">T5-AC5</f>
        <v>4.3333333333333339</v>
      </c>
    </row>
    <row r="6" spans="1:32" x14ac:dyDescent="0.3">
      <c r="A6" t="s">
        <v>23</v>
      </c>
      <c r="B6">
        <v>75</v>
      </c>
      <c r="C6">
        <v>25</v>
      </c>
      <c r="D6">
        <v>26</v>
      </c>
      <c r="E6">
        <v>74</v>
      </c>
      <c r="G6">
        <v>73</v>
      </c>
      <c r="H6">
        <v>27</v>
      </c>
      <c r="I6">
        <v>20</v>
      </c>
      <c r="J6">
        <v>80</v>
      </c>
      <c r="L6">
        <v>88</v>
      </c>
      <c r="M6">
        <v>12</v>
      </c>
      <c r="N6">
        <v>10</v>
      </c>
      <c r="O6">
        <v>90</v>
      </c>
      <c r="Q6">
        <f t="shared" si="0"/>
        <v>25.5</v>
      </c>
      <c r="R6">
        <f t="shared" si="1"/>
        <v>23.5</v>
      </c>
      <c r="S6">
        <f t="shared" si="2"/>
        <v>11</v>
      </c>
      <c r="T6">
        <f t="shared" si="3"/>
        <v>20</v>
      </c>
      <c r="AC6">
        <f t="shared" si="4"/>
        <v>11</v>
      </c>
      <c r="AD6">
        <f t="shared" si="5"/>
        <v>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75</v>
      </c>
      <c r="C4">
        <v>25</v>
      </c>
      <c r="D4">
        <v>9</v>
      </c>
      <c r="E4">
        <v>91</v>
      </c>
      <c r="G4">
        <v>82</v>
      </c>
      <c r="H4">
        <v>18</v>
      </c>
      <c r="I4">
        <v>18</v>
      </c>
      <c r="J4">
        <v>82</v>
      </c>
      <c r="L4">
        <v>88</v>
      </c>
      <c r="M4">
        <v>12</v>
      </c>
      <c r="N4">
        <v>4</v>
      </c>
      <c r="O4">
        <v>96</v>
      </c>
      <c r="Q4">
        <f>AVERAGE(C4,D4)</f>
        <v>17</v>
      </c>
      <c r="R4">
        <f>AVERAGE(H4,I4)</f>
        <v>18</v>
      </c>
      <c r="S4">
        <f>AVERAGE(M4,N4)</f>
        <v>8</v>
      </c>
      <c r="T4">
        <f>AVERAGE(Q4:S4)</f>
        <v>14.333333333333334</v>
      </c>
      <c r="U4">
        <f>AVERAGE(Q4:Q9)</f>
        <v>23.833333333333332</v>
      </c>
      <c r="V4">
        <f>_xlfn.STDEV.S(Q4:Q9)</f>
        <v>3.6968455021364766</v>
      </c>
      <c r="W4">
        <f>AVERAGE(R4:R9)</f>
        <v>22</v>
      </c>
      <c r="X4">
        <f>_xlfn.STDEV.S(R4:R9)</f>
        <v>3.03315017762062</v>
      </c>
      <c r="Y4">
        <f>AVERAGE(S4:S10)</f>
        <v>8.5833333333333339</v>
      </c>
      <c r="Z4">
        <f>_xlfn.STDEV.S(S4:S9)</f>
        <v>1.9853631070075477</v>
      </c>
      <c r="AA4">
        <f>AVERAGE(T4:T9)</f>
        <v>18.138888888888889</v>
      </c>
      <c r="AB4">
        <f>_xlfn.STDEV.S(T4:T9)</f>
        <v>2.2959303770576787</v>
      </c>
      <c r="AC4">
        <f>MIN(Q4:S4)</f>
        <v>8</v>
      </c>
      <c r="AD4">
        <f>T4-AC4</f>
        <v>6.3333333333333339</v>
      </c>
      <c r="AE4">
        <f>AVERAGE(AD4:AD9)</f>
        <v>9.5555555555555554</v>
      </c>
      <c r="AF4">
        <f>_xlfn.STDEV.S(AD4:AD9)</f>
        <v>1.9254629073050034</v>
      </c>
    </row>
    <row r="5" spans="1:32" x14ac:dyDescent="0.3">
      <c r="B5">
        <v>69</v>
      </c>
      <c r="C5">
        <v>31</v>
      </c>
      <c r="D5">
        <v>19</v>
      </c>
      <c r="E5">
        <v>81</v>
      </c>
      <c r="G5">
        <v>81</v>
      </c>
      <c r="H5">
        <v>19</v>
      </c>
      <c r="I5">
        <v>31</v>
      </c>
      <c r="J5">
        <v>69</v>
      </c>
      <c r="L5">
        <v>94</v>
      </c>
      <c r="M5">
        <v>6</v>
      </c>
      <c r="N5">
        <v>11</v>
      </c>
      <c r="O5">
        <v>89</v>
      </c>
      <c r="Q5">
        <f t="shared" ref="Q5:Q9" si="0">AVERAGE(C5,D5)</f>
        <v>25</v>
      </c>
      <c r="R5">
        <f t="shared" ref="R5:R9" si="1">AVERAGE(H5,I5)</f>
        <v>25</v>
      </c>
      <c r="S5">
        <f t="shared" ref="S5:S9" si="2">AVERAGE(M5,N5)</f>
        <v>8.5</v>
      </c>
      <c r="T5">
        <f t="shared" ref="T5:T9" si="3">AVERAGE(Q5:S5)</f>
        <v>19.5</v>
      </c>
      <c r="AC5">
        <f t="shared" ref="AC5:AC9" si="4">MIN(Q5:S5)</f>
        <v>8.5</v>
      </c>
      <c r="AD5">
        <f t="shared" ref="AD5:AD9" si="5">T5-AC5</f>
        <v>11</v>
      </c>
    </row>
    <row r="6" spans="1:32" x14ac:dyDescent="0.3">
      <c r="A6" t="s">
        <v>23</v>
      </c>
      <c r="B6">
        <v>70</v>
      </c>
      <c r="C6">
        <v>30</v>
      </c>
      <c r="D6">
        <v>18</v>
      </c>
      <c r="E6">
        <v>82</v>
      </c>
      <c r="G6">
        <v>76</v>
      </c>
      <c r="H6">
        <v>24</v>
      </c>
      <c r="I6">
        <v>25</v>
      </c>
      <c r="J6">
        <v>75</v>
      </c>
      <c r="L6">
        <v>89</v>
      </c>
      <c r="M6">
        <v>11</v>
      </c>
      <c r="N6">
        <v>8</v>
      </c>
      <c r="O6">
        <v>92</v>
      </c>
      <c r="Q6">
        <f t="shared" si="0"/>
        <v>24</v>
      </c>
      <c r="R6">
        <f t="shared" si="1"/>
        <v>24.5</v>
      </c>
      <c r="S6">
        <f t="shared" si="2"/>
        <v>9.5</v>
      </c>
      <c r="T6">
        <f t="shared" si="3"/>
        <v>19.333333333333332</v>
      </c>
      <c r="AC6">
        <f t="shared" si="4"/>
        <v>9.5</v>
      </c>
      <c r="AD6">
        <f t="shared" si="5"/>
        <v>9.8333333333333321</v>
      </c>
    </row>
    <row r="7" spans="1:32" x14ac:dyDescent="0.3">
      <c r="B7">
        <v>67</v>
      </c>
      <c r="C7">
        <v>33</v>
      </c>
      <c r="D7">
        <v>14</v>
      </c>
      <c r="E7">
        <v>86</v>
      </c>
      <c r="G7">
        <v>82</v>
      </c>
      <c r="H7">
        <v>18</v>
      </c>
      <c r="I7">
        <v>21</v>
      </c>
      <c r="J7">
        <v>79</v>
      </c>
      <c r="L7">
        <v>93</v>
      </c>
      <c r="M7">
        <v>7</v>
      </c>
      <c r="N7">
        <v>7</v>
      </c>
      <c r="O7">
        <v>93</v>
      </c>
      <c r="Q7">
        <f t="shared" si="0"/>
        <v>23.5</v>
      </c>
      <c r="R7">
        <f t="shared" si="1"/>
        <v>19.5</v>
      </c>
      <c r="S7">
        <f t="shared" si="2"/>
        <v>7</v>
      </c>
      <c r="T7">
        <f t="shared" si="3"/>
        <v>16.666666666666668</v>
      </c>
      <c r="AC7">
        <f t="shared" si="4"/>
        <v>7</v>
      </c>
      <c r="AD7">
        <f t="shared" si="5"/>
        <v>9.6666666666666679</v>
      </c>
    </row>
    <row r="8" spans="1:32" x14ac:dyDescent="0.3">
      <c r="B8">
        <v>67</v>
      </c>
      <c r="C8">
        <v>33</v>
      </c>
      <c r="D8">
        <v>18</v>
      </c>
      <c r="E8">
        <v>82</v>
      </c>
      <c r="G8">
        <v>82</v>
      </c>
      <c r="H8">
        <v>18</v>
      </c>
      <c r="I8">
        <v>31</v>
      </c>
      <c r="J8">
        <v>69</v>
      </c>
      <c r="L8">
        <v>88</v>
      </c>
      <c r="M8">
        <v>12</v>
      </c>
      <c r="N8">
        <v>12</v>
      </c>
      <c r="O8">
        <v>88</v>
      </c>
      <c r="Q8">
        <f t="shared" si="0"/>
        <v>25.5</v>
      </c>
      <c r="R8">
        <f t="shared" si="1"/>
        <v>24.5</v>
      </c>
      <c r="S8">
        <f t="shared" si="2"/>
        <v>12</v>
      </c>
      <c r="T8">
        <f t="shared" si="3"/>
        <v>20.666666666666668</v>
      </c>
      <c r="AC8">
        <f t="shared" si="4"/>
        <v>12</v>
      </c>
      <c r="AD8">
        <f t="shared" si="5"/>
        <v>8.6666666666666679</v>
      </c>
    </row>
    <row r="9" spans="1:32" x14ac:dyDescent="0.3">
      <c r="B9">
        <v>77</v>
      </c>
      <c r="C9">
        <v>23</v>
      </c>
      <c r="D9">
        <v>33</v>
      </c>
      <c r="E9">
        <v>67</v>
      </c>
      <c r="G9">
        <v>79</v>
      </c>
      <c r="H9">
        <v>21</v>
      </c>
      <c r="I9">
        <v>20</v>
      </c>
      <c r="J9">
        <v>80</v>
      </c>
      <c r="L9">
        <v>94</v>
      </c>
      <c r="M9">
        <v>6</v>
      </c>
      <c r="N9">
        <v>7</v>
      </c>
      <c r="O9">
        <v>93</v>
      </c>
      <c r="Q9">
        <f t="shared" si="0"/>
        <v>28</v>
      </c>
      <c r="R9">
        <f t="shared" si="1"/>
        <v>20.5</v>
      </c>
      <c r="S9">
        <f t="shared" si="2"/>
        <v>6.5</v>
      </c>
      <c r="T9">
        <f t="shared" si="3"/>
        <v>18.333333333333332</v>
      </c>
      <c r="AC9">
        <f t="shared" si="4"/>
        <v>6.5</v>
      </c>
      <c r="AD9">
        <f t="shared" si="5"/>
        <v>11.833333333333332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73</v>
      </c>
      <c r="C4">
        <v>27</v>
      </c>
      <c r="D4">
        <v>28</v>
      </c>
      <c r="E4">
        <v>72</v>
      </c>
      <c r="G4">
        <v>84</v>
      </c>
      <c r="H4">
        <v>16</v>
      </c>
      <c r="I4">
        <v>41</v>
      </c>
      <c r="J4">
        <v>59</v>
      </c>
      <c r="L4">
        <v>87</v>
      </c>
      <c r="M4">
        <v>13</v>
      </c>
      <c r="N4">
        <v>12</v>
      </c>
      <c r="O4">
        <v>88</v>
      </c>
      <c r="Q4">
        <f>AVERAGE(C4,D4)</f>
        <v>27.5</v>
      </c>
      <c r="R4">
        <f>AVERAGE(H4,I4)</f>
        <v>28.5</v>
      </c>
      <c r="S4">
        <f>AVERAGE(M4,N4)</f>
        <v>12.5</v>
      </c>
      <c r="T4">
        <f>AVERAGE(Q4:S4)</f>
        <v>22.833333333333332</v>
      </c>
      <c r="U4">
        <f>AVERAGE(Q4:Q9)</f>
        <v>27.25</v>
      </c>
      <c r="V4">
        <f>_xlfn.STDEV.S(Q4:Q9)</f>
        <v>4.6124830622995248</v>
      </c>
      <c r="W4">
        <f>AVERAGE(R4:R9)</f>
        <v>27.833333333333332</v>
      </c>
      <c r="X4">
        <f>_xlfn.STDEV.S(R4:R9)</f>
        <v>2.9944392908634274</v>
      </c>
      <c r="Y4">
        <f>AVERAGE(S4:S9)</f>
        <v>10.416666666666666</v>
      </c>
      <c r="Z4">
        <f>_xlfn.STDEV.S(S4:S9)</f>
        <v>2.8533605917701106</v>
      </c>
      <c r="AA4">
        <f>AVERAGE(T4:T9)</f>
        <v>21.833333333333332</v>
      </c>
      <c r="AB4">
        <f>_xlfn.STDEV.S(T4:T9)</f>
        <v>2.3452078799117149</v>
      </c>
      <c r="AC4">
        <f>MIN(Q4:S4)</f>
        <v>12.5</v>
      </c>
      <c r="AD4">
        <f>T4-AC4</f>
        <v>10.333333333333332</v>
      </c>
      <c r="AE4">
        <f>AVERAGE(AD4:AD9)</f>
        <v>11.416666666666664</v>
      </c>
      <c r="AF4">
        <f>_xlfn.STDEV.S(AD4:AD9)</f>
        <v>3.2158461820595017</v>
      </c>
    </row>
    <row r="5" spans="1:32" x14ac:dyDescent="0.3">
      <c r="B5">
        <v>67</v>
      </c>
      <c r="C5">
        <v>33</v>
      </c>
      <c r="D5">
        <v>17</v>
      </c>
      <c r="E5">
        <v>83</v>
      </c>
      <c r="G5">
        <v>84</v>
      </c>
      <c r="H5">
        <v>16</v>
      </c>
      <c r="I5">
        <v>35</v>
      </c>
      <c r="J5">
        <v>65</v>
      </c>
      <c r="L5">
        <v>95</v>
      </c>
      <c r="M5">
        <v>5</v>
      </c>
      <c r="N5">
        <v>13</v>
      </c>
      <c r="O5">
        <v>87</v>
      </c>
      <c r="Q5">
        <f t="shared" ref="Q5:Q9" si="0">AVERAGE(C5,D5)</f>
        <v>25</v>
      </c>
      <c r="R5">
        <f t="shared" ref="R5:R9" si="1">AVERAGE(H5,I5)</f>
        <v>25.5</v>
      </c>
      <c r="S5">
        <f t="shared" ref="S5:S9" si="2">AVERAGE(M5,N5)</f>
        <v>9</v>
      </c>
      <c r="T5">
        <f t="shared" ref="T5:T9" si="3">AVERAGE(Q5:S5)</f>
        <v>19.833333333333332</v>
      </c>
      <c r="AC5">
        <f t="shared" ref="AC5:AC9" si="4">MIN(Q5:S5)</f>
        <v>9</v>
      </c>
      <c r="AD5">
        <f t="shared" ref="AD5:AD9" si="5">T5-AC5</f>
        <v>10.833333333333332</v>
      </c>
    </row>
    <row r="6" spans="1:32" x14ac:dyDescent="0.3">
      <c r="A6" t="s">
        <v>23</v>
      </c>
      <c r="B6">
        <v>79</v>
      </c>
      <c r="C6">
        <v>21</v>
      </c>
      <c r="D6">
        <v>18</v>
      </c>
      <c r="E6">
        <v>82</v>
      </c>
      <c r="G6">
        <v>83</v>
      </c>
      <c r="H6">
        <v>17</v>
      </c>
      <c r="I6">
        <v>35</v>
      </c>
      <c r="J6">
        <v>65</v>
      </c>
      <c r="L6">
        <v>90</v>
      </c>
      <c r="M6">
        <v>10</v>
      </c>
      <c r="N6">
        <v>9</v>
      </c>
      <c r="O6">
        <v>91</v>
      </c>
      <c r="Q6">
        <f t="shared" si="0"/>
        <v>19.5</v>
      </c>
      <c r="R6">
        <f t="shared" si="1"/>
        <v>26</v>
      </c>
      <c r="S6">
        <f t="shared" si="2"/>
        <v>9.5</v>
      </c>
      <c r="T6">
        <f t="shared" si="3"/>
        <v>18.333333333333332</v>
      </c>
      <c r="AC6">
        <f t="shared" si="4"/>
        <v>9.5</v>
      </c>
      <c r="AD6">
        <f t="shared" si="5"/>
        <v>8.8333333333333321</v>
      </c>
    </row>
    <row r="7" spans="1:32" x14ac:dyDescent="0.3">
      <c r="B7">
        <v>64</v>
      </c>
      <c r="C7">
        <v>36</v>
      </c>
      <c r="D7">
        <v>28</v>
      </c>
      <c r="E7">
        <v>72</v>
      </c>
      <c r="G7">
        <v>76</v>
      </c>
      <c r="H7">
        <v>24</v>
      </c>
      <c r="I7">
        <v>43</v>
      </c>
      <c r="J7">
        <v>57</v>
      </c>
      <c r="L7">
        <v>97</v>
      </c>
      <c r="M7">
        <v>3</v>
      </c>
      <c r="N7">
        <v>9</v>
      </c>
      <c r="O7">
        <v>91</v>
      </c>
      <c r="Q7">
        <f t="shared" si="0"/>
        <v>32</v>
      </c>
      <c r="R7">
        <f t="shared" si="1"/>
        <v>33.5</v>
      </c>
      <c r="S7">
        <f t="shared" si="2"/>
        <v>6</v>
      </c>
      <c r="T7">
        <f t="shared" si="3"/>
        <v>23.833333333333332</v>
      </c>
      <c r="AC7">
        <f t="shared" si="4"/>
        <v>6</v>
      </c>
      <c r="AD7">
        <f t="shared" si="5"/>
        <v>17.833333333333332</v>
      </c>
    </row>
    <row r="8" spans="1:32" x14ac:dyDescent="0.3">
      <c r="B8">
        <v>67</v>
      </c>
      <c r="C8">
        <v>33</v>
      </c>
      <c r="D8">
        <v>23</v>
      </c>
      <c r="E8">
        <v>77</v>
      </c>
      <c r="G8">
        <v>79</v>
      </c>
      <c r="H8">
        <v>21</v>
      </c>
      <c r="I8">
        <v>31</v>
      </c>
      <c r="J8">
        <v>69</v>
      </c>
      <c r="L8">
        <v>87</v>
      </c>
      <c r="M8">
        <v>13</v>
      </c>
      <c r="N8">
        <v>10</v>
      </c>
      <c r="O8">
        <v>90</v>
      </c>
      <c r="Q8">
        <f t="shared" si="0"/>
        <v>28</v>
      </c>
      <c r="R8">
        <f t="shared" si="1"/>
        <v>26</v>
      </c>
      <c r="S8">
        <f t="shared" si="2"/>
        <v>11.5</v>
      </c>
      <c r="T8">
        <f t="shared" si="3"/>
        <v>21.833333333333332</v>
      </c>
      <c r="AC8">
        <f t="shared" si="4"/>
        <v>11.5</v>
      </c>
      <c r="AD8">
        <f t="shared" si="5"/>
        <v>10.333333333333332</v>
      </c>
    </row>
    <row r="9" spans="1:32" x14ac:dyDescent="0.3">
      <c r="B9">
        <v>66</v>
      </c>
      <c r="C9">
        <v>34</v>
      </c>
      <c r="D9">
        <v>29</v>
      </c>
      <c r="E9">
        <v>71</v>
      </c>
      <c r="G9">
        <v>79</v>
      </c>
      <c r="H9">
        <v>21</v>
      </c>
      <c r="I9">
        <v>34</v>
      </c>
      <c r="J9">
        <v>66</v>
      </c>
      <c r="L9">
        <v>85</v>
      </c>
      <c r="M9">
        <v>15</v>
      </c>
      <c r="N9">
        <v>13</v>
      </c>
      <c r="O9">
        <v>87</v>
      </c>
      <c r="Q9">
        <f t="shared" si="0"/>
        <v>31.5</v>
      </c>
      <c r="R9">
        <f t="shared" si="1"/>
        <v>27.5</v>
      </c>
      <c r="S9">
        <f t="shared" si="2"/>
        <v>14</v>
      </c>
      <c r="T9">
        <f t="shared" si="3"/>
        <v>24.333333333333332</v>
      </c>
      <c r="AC9">
        <f t="shared" si="4"/>
        <v>14</v>
      </c>
      <c r="AD9">
        <f t="shared" si="5"/>
        <v>10.333333333333332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P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67</v>
      </c>
      <c r="K3" t="s">
        <v>25</v>
      </c>
    </row>
    <row r="4" spans="1:32" x14ac:dyDescent="0.3">
      <c r="B4">
        <v>63</v>
      </c>
      <c r="C4">
        <v>37</v>
      </c>
      <c r="D4">
        <v>31</v>
      </c>
      <c r="E4">
        <v>69</v>
      </c>
      <c r="G4">
        <v>76</v>
      </c>
      <c r="H4">
        <v>24</v>
      </c>
      <c r="I4">
        <v>39</v>
      </c>
      <c r="J4">
        <v>61</v>
      </c>
      <c r="L4">
        <v>85</v>
      </c>
      <c r="M4">
        <v>15</v>
      </c>
      <c r="N4">
        <v>12</v>
      </c>
      <c r="O4">
        <v>88</v>
      </c>
      <c r="Q4">
        <f>AVERAGE(C4,D4)</f>
        <v>34</v>
      </c>
      <c r="R4">
        <f>AVERAGE(H4,I4)</f>
        <v>31.5</v>
      </c>
      <c r="S4">
        <f>AVERAGE(M4,N4)</f>
        <v>13.5</v>
      </c>
      <c r="T4">
        <f>AVERAGE(Q4:S4)</f>
        <v>26.333333333333332</v>
      </c>
      <c r="U4">
        <f>AVERAGE(Q4:Q10)</f>
        <v>36.642857142857146</v>
      </c>
      <c r="V4">
        <f>_xlfn.STDEV.S(Q4:Q10)</f>
        <v>4.9135381491199581</v>
      </c>
      <c r="W4">
        <f>AVERAGE(R4:R10)</f>
        <v>32.5</v>
      </c>
      <c r="X4">
        <f>_xlfn.STDEV.S(R4:R10)</f>
        <v>4.9413223601245315</v>
      </c>
      <c r="Y4">
        <f>AVERAGE(S4:S10)</f>
        <v>11</v>
      </c>
      <c r="Z4">
        <f>_xlfn.STDEV.S(S4:S10)</f>
        <v>1.9148542155126762</v>
      </c>
      <c r="AA4">
        <f>AVERAGE(T4:T10)</f>
        <v>26.714285714285712</v>
      </c>
      <c r="AB4">
        <f>_xlfn.STDEV.S(T4:T10)</f>
        <v>3.0470299529856346</v>
      </c>
      <c r="AC4">
        <f>MIN(Q4:S4)</f>
        <v>13.5</v>
      </c>
      <c r="AD4">
        <f>T4-AC4</f>
        <v>12.833333333333332</v>
      </c>
      <c r="AE4">
        <f>AVERAGE(AD4:AD10)</f>
        <v>15.714285714285714</v>
      </c>
      <c r="AF4">
        <f>_xlfn.STDEV.S(AD4:AD10)</f>
        <v>3.5207247329921398</v>
      </c>
    </row>
    <row r="5" spans="1:32" x14ac:dyDescent="0.3">
      <c r="B5">
        <v>52</v>
      </c>
      <c r="C5">
        <v>48</v>
      </c>
      <c r="D5">
        <v>29</v>
      </c>
      <c r="E5">
        <v>71</v>
      </c>
      <c r="G5">
        <v>58</v>
      </c>
      <c r="H5">
        <v>42</v>
      </c>
      <c r="I5">
        <v>25</v>
      </c>
      <c r="J5">
        <v>75</v>
      </c>
      <c r="L5">
        <v>93</v>
      </c>
      <c r="M5">
        <v>7</v>
      </c>
      <c r="N5">
        <v>8</v>
      </c>
      <c r="O5">
        <v>92</v>
      </c>
      <c r="Q5">
        <f t="shared" ref="Q5:Q10" si="0">AVERAGE(C5,D5)</f>
        <v>38.5</v>
      </c>
      <c r="R5">
        <f t="shared" ref="R5:R10" si="1">AVERAGE(H5,I5)</f>
        <v>33.5</v>
      </c>
      <c r="S5">
        <f t="shared" ref="S5:S10" si="2">AVERAGE(M5,N5)</f>
        <v>7.5</v>
      </c>
      <c r="T5">
        <f t="shared" ref="T5:T10" si="3">AVERAGE(Q5:S5)</f>
        <v>26.5</v>
      </c>
      <c r="AC5">
        <f t="shared" ref="AC5:AC10" si="4">MIN(Q5:S5)</f>
        <v>7.5</v>
      </c>
      <c r="AD5">
        <f t="shared" ref="AD5:AD10" si="5">T5-AC5</f>
        <v>19</v>
      </c>
    </row>
    <row r="6" spans="1:32" x14ac:dyDescent="0.3">
      <c r="B6">
        <v>69</v>
      </c>
      <c r="C6">
        <v>31</v>
      </c>
      <c r="D6">
        <v>24</v>
      </c>
      <c r="E6">
        <v>76</v>
      </c>
      <c r="G6">
        <v>78</v>
      </c>
      <c r="H6">
        <v>22</v>
      </c>
      <c r="I6">
        <v>33</v>
      </c>
      <c r="J6">
        <v>67</v>
      </c>
      <c r="L6">
        <v>84</v>
      </c>
      <c r="M6">
        <v>16</v>
      </c>
      <c r="N6">
        <v>8</v>
      </c>
      <c r="O6">
        <v>92</v>
      </c>
      <c r="Q6">
        <f t="shared" si="0"/>
        <v>27.5</v>
      </c>
      <c r="R6">
        <f t="shared" si="1"/>
        <v>27.5</v>
      </c>
      <c r="S6">
        <f t="shared" si="2"/>
        <v>12</v>
      </c>
      <c r="T6">
        <f t="shared" si="3"/>
        <v>22.333333333333332</v>
      </c>
      <c r="AC6">
        <f t="shared" si="4"/>
        <v>12</v>
      </c>
      <c r="AD6">
        <f t="shared" si="5"/>
        <v>10.333333333333332</v>
      </c>
    </row>
    <row r="7" spans="1:32" x14ac:dyDescent="0.3">
      <c r="B7">
        <v>58</v>
      </c>
      <c r="C7">
        <v>42</v>
      </c>
      <c r="D7">
        <v>32</v>
      </c>
      <c r="E7">
        <v>68</v>
      </c>
      <c r="G7">
        <v>57</v>
      </c>
      <c r="H7">
        <v>43</v>
      </c>
      <c r="I7">
        <v>24</v>
      </c>
      <c r="J7">
        <v>76</v>
      </c>
      <c r="L7">
        <v>91</v>
      </c>
      <c r="M7">
        <v>9</v>
      </c>
      <c r="N7">
        <v>12</v>
      </c>
      <c r="O7">
        <v>88</v>
      </c>
      <c r="Q7">
        <f t="shared" si="0"/>
        <v>37</v>
      </c>
      <c r="R7">
        <f t="shared" si="1"/>
        <v>33.5</v>
      </c>
      <c r="S7">
        <f t="shared" si="2"/>
        <v>10.5</v>
      </c>
      <c r="T7">
        <f t="shared" si="3"/>
        <v>27</v>
      </c>
      <c r="AC7">
        <f t="shared" si="4"/>
        <v>10.5</v>
      </c>
      <c r="AD7">
        <f t="shared" si="5"/>
        <v>16.5</v>
      </c>
    </row>
    <row r="8" spans="1:32" x14ac:dyDescent="0.3">
      <c r="B8">
        <v>50</v>
      </c>
      <c r="C8">
        <v>50</v>
      </c>
      <c r="D8">
        <v>37</v>
      </c>
      <c r="E8">
        <v>63</v>
      </c>
      <c r="G8">
        <v>51</v>
      </c>
      <c r="H8">
        <v>49</v>
      </c>
      <c r="I8">
        <v>36</v>
      </c>
      <c r="J8">
        <v>64</v>
      </c>
      <c r="L8">
        <v>84</v>
      </c>
      <c r="M8">
        <v>16</v>
      </c>
      <c r="N8">
        <v>8</v>
      </c>
      <c r="O8">
        <v>92</v>
      </c>
      <c r="Q8">
        <f t="shared" si="0"/>
        <v>43.5</v>
      </c>
      <c r="R8">
        <f t="shared" si="1"/>
        <v>42.5</v>
      </c>
      <c r="S8">
        <f t="shared" si="2"/>
        <v>12</v>
      </c>
      <c r="T8">
        <f t="shared" si="3"/>
        <v>32.666666666666664</v>
      </c>
      <c r="AC8">
        <f t="shared" si="4"/>
        <v>12</v>
      </c>
      <c r="AD8">
        <f t="shared" si="5"/>
        <v>20.666666666666664</v>
      </c>
    </row>
    <row r="9" spans="1:32" x14ac:dyDescent="0.3">
      <c r="B9">
        <v>45</v>
      </c>
      <c r="C9">
        <v>55</v>
      </c>
      <c r="D9">
        <v>21</v>
      </c>
      <c r="E9">
        <v>79</v>
      </c>
      <c r="G9">
        <v>61</v>
      </c>
      <c r="H9">
        <v>39</v>
      </c>
      <c r="I9">
        <v>21</v>
      </c>
      <c r="J9">
        <v>79</v>
      </c>
      <c r="L9">
        <v>89</v>
      </c>
      <c r="M9">
        <v>11</v>
      </c>
      <c r="N9">
        <v>9</v>
      </c>
      <c r="O9">
        <v>91</v>
      </c>
      <c r="Q9">
        <f t="shared" si="0"/>
        <v>38</v>
      </c>
      <c r="R9">
        <f t="shared" si="1"/>
        <v>30</v>
      </c>
      <c r="S9">
        <f t="shared" si="2"/>
        <v>10</v>
      </c>
      <c r="T9">
        <f t="shared" si="3"/>
        <v>26</v>
      </c>
      <c r="AC9">
        <f t="shared" si="4"/>
        <v>10</v>
      </c>
      <c r="AD9">
        <f t="shared" si="5"/>
        <v>16</v>
      </c>
    </row>
    <row r="10" spans="1:32" x14ac:dyDescent="0.3">
      <c r="B10">
        <v>43</v>
      </c>
      <c r="C10">
        <v>57</v>
      </c>
      <c r="D10">
        <v>19</v>
      </c>
      <c r="E10">
        <v>81</v>
      </c>
      <c r="G10">
        <v>53</v>
      </c>
      <c r="H10">
        <v>47</v>
      </c>
      <c r="I10">
        <v>11</v>
      </c>
      <c r="J10">
        <v>89</v>
      </c>
      <c r="L10">
        <v>86</v>
      </c>
      <c r="M10">
        <v>14</v>
      </c>
      <c r="N10">
        <v>9</v>
      </c>
      <c r="O10">
        <v>91</v>
      </c>
      <c r="Q10">
        <f t="shared" si="0"/>
        <v>38</v>
      </c>
      <c r="R10">
        <f t="shared" si="1"/>
        <v>29</v>
      </c>
      <c r="S10">
        <f t="shared" si="2"/>
        <v>11.5</v>
      </c>
      <c r="T10">
        <f t="shared" si="3"/>
        <v>26.166666666666668</v>
      </c>
      <c r="AC10">
        <f t="shared" si="4"/>
        <v>11.5</v>
      </c>
      <c r="AD10">
        <f t="shared" si="5"/>
        <v>14.666666666666668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O4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64</v>
      </c>
      <c r="AL3" t="s">
        <v>65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61</v>
      </c>
      <c r="AI5">
        <v>19.333333333333336</v>
      </c>
      <c r="AJ5">
        <v>1.7777777777777779</v>
      </c>
      <c r="AL5" t="s">
        <v>61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63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66</v>
      </c>
      <c r="C15">
        <v>34</v>
      </c>
      <c r="D15">
        <v>35</v>
      </c>
      <c r="E15">
        <v>65</v>
      </c>
      <c r="G15">
        <v>73</v>
      </c>
      <c r="H15">
        <v>27</v>
      </c>
      <c r="I15">
        <v>33</v>
      </c>
      <c r="J15">
        <v>67</v>
      </c>
      <c r="L15">
        <v>92</v>
      </c>
      <c r="M15">
        <v>8</v>
      </c>
      <c r="N15">
        <v>15</v>
      </c>
      <c r="O15">
        <v>85</v>
      </c>
      <c r="Q15">
        <f t="shared" si="0"/>
        <v>34.5</v>
      </c>
      <c r="R15">
        <f t="shared" si="1"/>
        <v>30</v>
      </c>
      <c r="S15">
        <f t="shared" si="2"/>
        <v>11.5</v>
      </c>
      <c r="T15">
        <f t="shared" si="3"/>
        <v>25.333333333333332</v>
      </c>
      <c r="U15">
        <f t="shared" si="4"/>
        <v>11.5</v>
      </c>
      <c r="V15">
        <f>(T15-U15)</f>
        <v>13.833333333333332</v>
      </c>
      <c r="W15">
        <f>AVERAGE(Q15:Q22)</f>
        <v>29.5625</v>
      </c>
      <c r="X15">
        <f>_xlfn.STDEV.S(Q15:Q22)</f>
        <v>4.8361547594284922</v>
      </c>
      <c r="Y15">
        <f>AVERAGE(R15:R22)</f>
        <v>26</v>
      </c>
      <c r="Z15">
        <f>_xlfn.STDEV.S(R15:R22)</f>
        <v>4.5747755604588329</v>
      </c>
      <c r="AA15">
        <f>AVERAGE(S15:S22)</f>
        <v>11.1875</v>
      </c>
      <c r="AB15">
        <f>_xlfn.STDEV.S(S15:S22)</f>
        <v>2.2509918448795601</v>
      </c>
      <c r="AC15">
        <f>AVERAGE(T15:T23)</f>
        <v>22.25</v>
      </c>
      <c r="AD15">
        <f>_xlfn.STDEV.S(T15:T23)</f>
        <v>2.8702082220799161</v>
      </c>
      <c r="AE15">
        <f>AVERAGE(V15:V23)</f>
        <v>11.062499999999998</v>
      </c>
      <c r="AF15">
        <f>_xlfn.STDEV.S(V15:V23)</f>
        <v>3.1896876246518548</v>
      </c>
      <c r="AH15">
        <f>AVERAGE(Q15:Q23)</f>
        <v>29.5625</v>
      </c>
      <c r="AI15">
        <f>_xlfn.STDEV.S(Q15:Q23)</f>
        <v>4.8361547594284922</v>
      </c>
      <c r="AJ15">
        <f>AVERAGE(R15:R23)</f>
        <v>26</v>
      </c>
      <c r="AK15">
        <f>_xlfn.STDEV.S(R15:R23)</f>
        <v>4.5747755604588329</v>
      </c>
      <c r="AL15">
        <f>AVERAGE(S15:S23)</f>
        <v>11.1875</v>
      </c>
      <c r="AM15">
        <f>_xlfn.STDEV.S(S15:S23)</f>
        <v>2.2509918448795601</v>
      </c>
    </row>
    <row r="16" spans="1:40" x14ac:dyDescent="0.3">
      <c r="B16">
        <v>71</v>
      </c>
      <c r="C16">
        <v>29</v>
      </c>
      <c r="D16">
        <v>24</v>
      </c>
      <c r="E16">
        <v>76</v>
      </c>
      <c r="G16">
        <v>85</v>
      </c>
      <c r="H16">
        <v>15</v>
      </c>
      <c r="I16">
        <v>32</v>
      </c>
      <c r="J16">
        <v>68</v>
      </c>
      <c r="L16">
        <v>91</v>
      </c>
      <c r="M16">
        <v>9</v>
      </c>
      <c r="N16">
        <v>19</v>
      </c>
      <c r="O16">
        <v>81</v>
      </c>
      <c r="Q16">
        <f t="shared" si="0"/>
        <v>26.5</v>
      </c>
      <c r="R16">
        <f t="shared" si="1"/>
        <v>23.5</v>
      </c>
      <c r="S16">
        <f t="shared" si="2"/>
        <v>14</v>
      </c>
      <c r="T16">
        <f t="shared" si="3"/>
        <v>21.333333333333332</v>
      </c>
      <c r="U16">
        <f t="shared" si="4"/>
        <v>14</v>
      </c>
      <c r="V16">
        <f t="shared" ref="V16:V22" si="6">(T16-U16)</f>
        <v>7.3333333333333321</v>
      </c>
    </row>
    <row r="17" spans="1:32" x14ac:dyDescent="0.3">
      <c r="B17">
        <v>77</v>
      </c>
      <c r="C17">
        <v>23</v>
      </c>
      <c r="D17">
        <v>21</v>
      </c>
      <c r="E17">
        <v>79</v>
      </c>
      <c r="G17">
        <v>74</v>
      </c>
      <c r="H17">
        <v>26</v>
      </c>
      <c r="I17">
        <v>21</v>
      </c>
      <c r="J17">
        <v>79</v>
      </c>
      <c r="L17">
        <v>91</v>
      </c>
      <c r="M17">
        <v>9</v>
      </c>
      <c r="N17">
        <v>10</v>
      </c>
      <c r="O17">
        <v>90</v>
      </c>
      <c r="Q17">
        <f t="shared" si="0"/>
        <v>22</v>
      </c>
      <c r="R17">
        <f t="shared" si="1"/>
        <v>23.5</v>
      </c>
      <c r="S17">
        <f t="shared" si="2"/>
        <v>9.5</v>
      </c>
      <c r="T17">
        <f t="shared" si="3"/>
        <v>18.333333333333332</v>
      </c>
      <c r="U17">
        <f t="shared" si="4"/>
        <v>9.5</v>
      </c>
      <c r="V17">
        <f t="shared" si="6"/>
        <v>8.8333333333333321</v>
      </c>
    </row>
    <row r="18" spans="1:32" x14ac:dyDescent="0.3">
      <c r="B18">
        <v>74</v>
      </c>
      <c r="C18">
        <v>26</v>
      </c>
      <c r="D18">
        <v>36</v>
      </c>
      <c r="E18">
        <v>64</v>
      </c>
      <c r="G18">
        <v>89</v>
      </c>
      <c r="H18">
        <v>11</v>
      </c>
      <c r="I18">
        <v>26</v>
      </c>
      <c r="J18">
        <v>74</v>
      </c>
      <c r="L18">
        <v>93</v>
      </c>
      <c r="M18">
        <v>7</v>
      </c>
      <c r="N18">
        <v>10</v>
      </c>
      <c r="O18">
        <v>90</v>
      </c>
      <c r="Q18">
        <f t="shared" si="0"/>
        <v>31</v>
      </c>
      <c r="R18">
        <f t="shared" si="1"/>
        <v>18.5</v>
      </c>
      <c r="S18">
        <f t="shared" si="2"/>
        <v>8.5</v>
      </c>
      <c r="T18">
        <f t="shared" si="3"/>
        <v>19.333333333333332</v>
      </c>
      <c r="U18">
        <f t="shared" si="4"/>
        <v>8.5</v>
      </c>
      <c r="V18">
        <f t="shared" si="6"/>
        <v>10.833333333333332</v>
      </c>
    </row>
    <row r="19" spans="1:32" x14ac:dyDescent="0.3">
      <c r="B19">
        <v>57</v>
      </c>
      <c r="C19">
        <v>43</v>
      </c>
      <c r="D19">
        <v>27</v>
      </c>
      <c r="E19">
        <v>73</v>
      </c>
      <c r="G19">
        <v>73</v>
      </c>
      <c r="H19">
        <v>27</v>
      </c>
      <c r="I19">
        <v>34</v>
      </c>
      <c r="J19">
        <v>66</v>
      </c>
      <c r="L19">
        <v>95</v>
      </c>
      <c r="M19">
        <v>5</v>
      </c>
      <c r="N19">
        <v>13</v>
      </c>
      <c r="O19">
        <v>87</v>
      </c>
      <c r="Q19">
        <f t="shared" si="0"/>
        <v>35</v>
      </c>
      <c r="R19">
        <f t="shared" si="1"/>
        <v>30.5</v>
      </c>
      <c r="S19">
        <f t="shared" si="2"/>
        <v>9</v>
      </c>
      <c r="T19">
        <f t="shared" si="3"/>
        <v>24.833333333333332</v>
      </c>
      <c r="U19">
        <f t="shared" si="4"/>
        <v>9</v>
      </c>
      <c r="V19">
        <f t="shared" si="6"/>
        <v>15.833333333333332</v>
      </c>
    </row>
    <row r="20" spans="1:32" x14ac:dyDescent="0.3">
      <c r="B20">
        <v>71</v>
      </c>
      <c r="C20">
        <v>29</v>
      </c>
      <c r="D20">
        <v>38</v>
      </c>
      <c r="E20">
        <v>62</v>
      </c>
      <c r="G20">
        <v>83</v>
      </c>
      <c r="H20">
        <v>17</v>
      </c>
      <c r="I20">
        <v>41</v>
      </c>
      <c r="J20">
        <v>59</v>
      </c>
      <c r="L20">
        <v>89</v>
      </c>
      <c r="M20">
        <v>11</v>
      </c>
      <c r="N20">
        <v>17</v>
      </c>
      <c r="O20">
        <v>83</v>
      </c>
      <c r="Q20">
        <f t="shared" si="0"/>
        <v>33.5</v>
      </c>
      <c r="R20">
        <f t="shared" si="1"/>
        <v>29</v>
      </c>
      <c r="S20">
        <f t="shared" si="2"/>
        <v>14</v>
      </c>
      <c r="T20">
        <f t="shared" si="3"/>
        <v>25.5</v>
      </c>
      <c r="U20">
        <f t="shared" si="4"/>
        <v>14</v>
      </c>
      <c r="V20">
        <f t="shared" si="6"/>
        <v>11.5</v>
      </c>
    </row>
    <row r="21" spans="1:32" x14ac:dyDescent="0.3">
      <c r="B21">
        <v>75</v>
      </c>
      <c r="C21">
        <v>25</v>
      </c>
      <c r="D21">
        <v>24</v>
      </c>
      <c r="E21">
        <v>76</v>
      </c>
      <c r="G21">
        <v>83</v>
      </c>
      <c r="H21">
        <v>17</v>
      </c>
      <c r="I21">
        <v>28</v>
      </c>
      <c r="J21">
        <v>72</v>
      </c>
      <c r="L21">
        <v>89</v>
      </c>
      <c r="M21">
        <v>11</v>
      </c>
      <c r="N21">
        <v>15</v>
      </c>
      <c r="O21">
        <v>85</v>
      </c>
      <c r="Q21">
        <f t="shared" si="0"/>
        <v>24.5</v>
      </c>
      <c r="R21">
        <f t="shared" si="1"/>
        <v>22.5</v>
      </c>
      <c r="S21">
        <f t="shared" si="2"/>
        <v>13</v>
      </c>
      <c r="T21">
        <f t="shared" si="3"/>
        <v>20</v>
      </c>
      <c r="U21">
        <f t="shared" si="4"/>
        <v>13</v>
      </c>
      <c r="V21">
        <f t="shared" si="6"/>
        <v>7</v>
      </c>
    </row>
    <row r="22" spans="1:32" x14ac:dyDescent="0.3">
      <c r="B22">
        <v>72</v>
      </c>
      <c r="C22">
        <v>28</v>
      </c>
      <c r="D22">
        <v>31</v>
      </c>
      <c r="E22">
        <v>69</v>
      </c>
      <c r="G22">
        <v>78</v>
      </c>
      <c r="H22">
        <v>22</v>
      </c>
      <c r="I22">
        <v>39</v>
      </c>
      <c r="J22">
        <v>61</v>
      </c>
      <c r="L22">
        <v>93</v>
      </c>
      <c r="M22">
        <v>7</v>
      </c>
      <c r="N22">
        <v>13</v>
      </c>
      <c r="O22">
        <v>87</v>
      </c>
      <c r="Q22">
        <f t="shared" si="0"/>
        <v>29.5</v>
      </c>
      <c r="R22">
        <f t="shared" si="1"/>
        <v>30.5</v>
      </c>
      <c r="S22">
        <f t="shared" si="2"/>
        <v>10</v>
      </c>
      <c r="T22">
        <f t="shared" si="3"/>
        <v>23.333333333333332</v>
      </c>
      <c r="U22">
        <f t="shared" si="4"/>
        <v>10</v>
      </c>
      <c r="V22">
        <f t="shared" si="6"/>
        <v>13.333333333333332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60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61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62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63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O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56</v>
      </c>
      <c r="W1" t="s">
        <v>49</v>
      </c>
      <c r="X1" t="s">
        <v>57</v>
      </c>
      <c r="Y1" t="s">
        <v>50</v>
      </c>
      <c r="Z1" t="s">
        <v>58</v>
      </c>
      <c r="AA1" t="s">
        <v>51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62</v>
      </c>
      <c r="C2">
        <v>38</v>
      </c>
      <c r="D2">
        <v>25</v>
      </c>
      <c r="E2">
        <v>75</v>
      </c>
      <c r="G2">
        <v>73</v>
      </c>
      <c r="H2">
        <v>27</v>
      </c>
      <c r="I2">
        <v>36</v>
      </c>
      <c r="J2">
        <v>64</v>
      </c>
      <c r="L2">
        <v>81</v>
      </c>
      <c r="M2">
        <v>19</v>
      </c>
      <c r="N2">
        <v>11</v>
      </c>
      <c r="O2">
        <v>89</v>
      </c>
      <c r="R2">
        <f>AVERAGE(C2:D2)</f>
        <v>31.5</v>
      </c>
      <c r="S2">
        <f>AVERAGE(H2,I2)</f>
        <v>31.5</v>
      </c>
      <c r="T2">
        <f>AVERAGE(M2:N2)</f>
        <v>15</v>
      </c>
      <c r="U2">
        <f>AVERAGE(R2:T2)</f>
        <v>26</v>
      </c>
      <c r="V2">
        <f>AVERAGE(R2:R34)</f>
        <v>31.8</v>
      </c>
      <c r="W2">
        <f>_xlfn.STDEV.S(R2:R34)</f>
        <v>3.4496376621320741</v>
      </c>
      <c r="X2">
        <f>AVERAGE(S2:S34)</f>
        <v>30.25</v>
      </c>
      <c r="Y2">
        <f>_xlfn.STDEV.S(S2:S34)</f>
        <v>3.2850672240711707</v>
      </c>
      <c r="Z2">
        <f>AVERAGE(T2:T34)</f>
        <v>12.25</v>
      </c>
      <c r="AA2">
        <f>_xlfn.STDEV.S(T2:T34)</f>
        <v>1.7677669529663689</v>
      </c>
      <c r="AB2">
        <f>AVERAGE(U2:U34)</f>
        <v>24.766666666666666</v>
      </c>
      <c r="AC2">
        <f>_xlfn.STDEV.S(U2:U34)</f>
        <v>1.4890547171334187</v>
      </c>
      <c r="AD2">
        <f>MIN(R2:T2)</f>
        <v>15</v>
      </c>
      <c r="AE2">
        <f>(U2-AD2)</f>
        <v>11</v>
      </c>
      <c r="AF2">
        <f>AVERAGE(AE2:AE34)</f>
        <v>12.516666666666666</v>
      </c>
      <c r="AG2">
        <f>_xlfn.STDEV.S(AE2:AE34)</f>
        <v>1.8026900338174325</v>
      </c>
    </row>
    <row r="3" spans="1:33" x14ac:dyDescent="0.3">
      <c r="B3">
        <v>70</v>
      </c>
      <c r="C3">
        <v>30</v>
      </c>
      <c r="D3">
        <v>28</v>
      </c>
      <c r="E3">
        <v>72</v>
      </c>
      <c r="G3">
        <v>71</v>
      </c>
      <c r="H3">
        <v>29</v>
      </c>
      <c r="I3">
        <v>38</v>
      </c>
      <c r="J3">
        <v>62</v>
      </c>
      <c r="L3">
        <v>89</v>
      </c>
      <c r="M3">
        <v>11</v>
      </c>
      <c r="N3">
        <v>10</v>
      </c>
      <c r="O3">
        <v>90</v>
      </c>
      <c r="R3">
        <f t="shared" ref="R3:R11" si="0">AVERAGE(C3:D3)</f>
        <v>29</v>
      </c>
      <c r="S3">
        <f t="shared" ref="S3:S11" si="1">AVERAGE(H3,I3)</f>
        <v>33.5</v>
      </c>
      <c r="T3">
        <f t="shared" ref="T3:T11" si="2">AVERAGE(M3:N3)</f>
        <v>10.5</v>
      </c>
      <c r="U3">
        <f t="shared" ref="U3:U11" si="3">AVERAGE(R3:T3)</f>
        <v>24.333333333333332</v>
      </c>
      <c r="AD3">
        <f t="shared" ref="AD3:AD11" si="4">MIN(R3:T3)</f>
        <v>10.5</v>
      </c>
      <c r="AE3">
        <f t="shared" ref="AE3:AE11" si="5">(U3-AD3)</f>
        <v>13.833333333333332</v>
      </c>
    </row>
    <row r="4" spans="1:33" x14ac:dyDescent="0.3">
      <c r="B4">
        <v>44</v>
      </c>
      <c r="C4">
        <v>56</v>
      </c>
      <c r="D4">
        <v>13</v>
      </c>
      <c r="E4">
        <v>87</v>
      </c>
      <c r="G4">
        <v>78</v>
      </c>
      <c r="H4">
        <v>22</v>
      </c>
      <c r="I4">
        <v>37</v>
      </c>
      <c r="J4">
        <v>63</v>
      </c>
      <c r="L4">
        <v>80</v>
      </c>
      <c r="M4">
        <v>20</v>
      </c>
      <c r="N4">
        <v>10</v>
      </c>
      <c r="O4">
        <v>90</v>
      </c>
      <c r="R4">
        <f t="shared" si="0"/>
        <v>34.5</v>
      </c>
      <c r="S4">
        <f t="shared" si="1"/>
        <v>29.5</v>
      </c>
      <c r="T4">
        <f t="shared" si="2"/>
        <v>15</v>
      </c>
      <c r="U4">
        <f t="shared" si="3"/>
        <v>26.333333333333332</v>
      </c>
      <c r="AD4">
        <f t="shared" si="4"/>
        <v>15</v>
      </c>
      <c r="AE4">
        <f t="shared" si="5"/>
        <v>11.333333333333332</v>
      </c>
    </row>
    <row r="5" spans="1:33" x14ac:dyDescent="0.3">
      <c r="B5">
        <v>69</v>
      </c>
      <c r="C5">
        <v>31</v>
      </c>
      <c r="D5">
        <v>28</v>
      </c>
      <c r="E5">
        <v>72</v>
      </c>
      <c r="G5">
        <v>71</v>
      </c>
      <c r="H5">
        <v>29</v>
      </c>
      <c r="I5">
        <v>30</v>
      </c>
      <c r="J5">
        <v>70</v>
      </c>
      <c r="L5">
        <v>87</v>
      </c>
      <c r="M5">
        <v>13</v>
      </c>
      <c r="N5">
        <v>15</v>
      </c>
      <c r="O5">
        <v>85</v>
      </c>
      <c r="R5">
        <f t="shared" si="0"/>
        <v>29.5</v>
      </c>
      <c r="S5">
        <f t="shared" si="1"/>
        <v>29.5</v>
      </c>
      <c r="T5">
        <f t="shared" si="2"/>
        <v>14</v>
      </c>
      <c r="U5">
        <f t="shared" si="3"/>
        <v>24.333333333333332</v>
      </c>
      <c r="AD5">
        <f t="shared" si="4"/>
        <v>14</v>
      </c>
      <c r="AE5">
        <f t="shared" si="5"/>
        <v>10.333333333333332</v>
      </c>
    </row>
    <row r="6" spans="1:33" x14ac:dyDescent="0.3">
      <c r="B6">
        <v>63</v>
      </c>
      <c r="C6">
        <v>37</v>
      </c>
      <c r="D6">
        <v>27</v>
      </c>
      <c r="E6">
        <v>73</v>
      </c>
      <c r="G6">
        <v>72</v>
      </c>
      <c r="H6">
        <v>28</v>
      </c>
      <c r="I6">
        <v>32</v>
      </c>
      <c r="J6">
        <v>68</v>
      </c>
      <c r="L6">
        <v>85</v>
      </c>
      <c r="M6">
        <v>15</v>
      </c>
      <c r="N6">
        <v>7</v>
      </c>
      <c r="O6">
        <v>93</v>
      </c>
      <c r="R6">
        <f t="shared" si="0"/>
        <v>32</v>
      </c>
      <c r="S6">
        <f t="shared" si="1"/>
        <v>30</v>
      </c>
      <c r="T6">
        <f t="shared" si="2"/>
        <v>11</v>
      </c>
      <c r="U6">
        <f t="shared" si="3"/>
        <v>24.333333333333332</v>
      </c>
      <c r="AD6">
        <f t="shared" si="4"/>
        <v>11</v>
      </c>
      <c r="AE6">
        <f t="shared" si="5"/>
        <v>13.333333333333332</v>
      </c>
    </row>
    <row r="7" spans="1:33" x14ac:dyDescent="0.3">
      <c r="B7">
        <v>67</v>
      </c>
      <c r="C7">
        <v>33</v>
      </c>
      <c r="D7">
        <v>39</v>
      </c>
      <c r="E7">
        <v>61</v>
      </c>
      <c r="G7">
        <v>70</v>
      </c>
      <c r="H7">
        <v>30</v>
      </c>
      <c r="I7">
        <v>37</v>
      </c>
      <c r="J7">
        <v>63</v>
      </c>
      <c r="L7">
        <v>86</v>
      </c>
      <c r="M7">
        <v>14</v>
      </c>
      <c r="N7">
        <v>10</v>
      </c>
      <c r="O7">
        <v>90</v>
      </c>
      <c r="R7">
        <f t="shared" si="0"/>
        <v>36</v>
      </c>
      <c r="S7">
        <f t="shared" si="1"/>
        <v>33.5</v>
      </c>
      <c r="T7">
        <f t="shared" si="2"/>
        <v>12</v>
      </c>
      <c r="U7">
        <f t="shared" si="3"/>
        <v>27.166666666666668</v>
      </c>
      <c r="AD7">
        <f t="shared" si="4"/>
        <v>12</v>
      </c>
      <c r="AE7">
        <f t="shared" si="5"/>
        <v>15.166666666666668</v>
      </c>
    </row>
    <row r="8" spans="1:33" x14ac:dyDescent="0.3">
      <c r="B8">
        <v>67</v>
      </c>
      <c r="C8">
        <v>33</v>
      </c>
      <c r="D8">
        <v>20</v>
      </c>
      <c r="E8">
        <v>80</v>
      </c>
      <c r="G8">
        <v>74</v>
      </c>
      <c r="H8">
        <v>26</v>
      </c>
      <c r="I8">
        <v>37</v>
      </c>
      <c r="J8">
        <v>63</v>
      </c>
      <c r="L8">
        <v>84</v>
      </c>
      <c r="M8">
        <v>16</v>
      </c>
      <c r="N8">
        <v>8</v>
      </c>
      <c r="O8">
        <v>92</v>
      </c>
      <c r="R8">
        <f t="shared" si="0"/>
        <v>26.5</v>
      </c>
      <c r="S8">
        <f t="shared" si="1"/>
        <v>31.5</v>
      </c>
      <c r="T8">
        <f t="shared" si="2"/>
        <v>12</v>
      </c>
      <c r="U8">
        <f t="shared" si="3"/>
        <v>23.333333333333332</v>
      </c>
      <c r="AD8">
        <f t="shared" si="4"/>
        <v>12</v>
      </c>
      <c r="AE8">
        <f t="shared" si="5"/>
        <v>11.333333333333332</v>
      </c>
    </row>
    <row r="9" spans="1:33" x14ac:dyDescent="0.3">
      <c r="B9">
        <v>65</v>
      </c>
      <c r="C9">
        <v>35</v>
      </c>
      <c r="D9">
        <v>39</v>
      </c>
      <c r="E9">
        <v>61</v>
      </c>
      <c r="G9">
        <v>68</v>
      </c>
      <c r="H9">
        <v>32</v>
      </c>
      <c r="I9">
        <v>27</v>
      </c>
      <c r="J9">
        <v>73</v>
      </c>
      <c r="L9">
        <v>92</v>
      </c>
      <c r="M9">
        <v>8</v>
      </c>
      <c r="N9">
        <v>13</v>
      </c>
      <c r="O9">
        <v>87</v>
      </c>
      <c r="R9">
        <f t="shared" si="0"/>
        <v>37</v>
      </c>
      <c r="S9">
        <f t="shared" si="1"/>
        <v>29.5</v>
      </c>
      <c r="T9">
        <f t="shared" si="2"/>
        <v>10.5</v>
      </c>
      <c r="U9">
        <f t="shared" si="3"/>
        <v>25.666666666666668</v>
      </c>
      <c r="AD9">
        <f t="shared" si="4"/>
        <v>10.5</v>
      </c>
      <c r="AE9">
        <f t="shared" si="5"/>
        <v>15.166666666666668</v>
      </c>
    </row>
    <row r="10" spans="1:33" x14ac:dyDescent="0.3">
      <c r="B10">
        <v>55</v>
      </c>
      <c r="C10">
        <v>45</v>
      </c>
      <c r="D10">
        <v>22</v>
      </c>
      <c r="E10">
        <v>78</v>
      </c>
      <c r="G10">
        <v>81</v>
      </c>
      <c r="H10">
        <v>19</v>
      </c>
      <c r="I10">
        <v>25</v>
      </c>
      <c r="J10">
        <v>75</v>
      </c>
      <c r="L10">
        <v>86</v>
      </c>
      <c r="M10">
        <v>14</v>
      </c>
      <c r="N10">
        <v>9</v>
      </c>
      <c r="O10">
        <v>91</v>
      </c>
      <c r="R10">
        <f t="shared" si="0"/>
        <v>33.5</v>
      </c>
      <c r="S10">
        <f t="shared" si="1"/>
        <v>22</v>
      </c>
      <c r="T10">
        <f t="shared" si="2"/>
        <v>11.5</v>
      </c>
      <c r="U10">
        <f t="shared" si="3"/>
        <v>22.333333333333332</v>
      </c>
      <c r="AD10">
        <f t="shared" si="4"/>
        <v>11.5</v>
      </c>
      <c r="AE10">
        <f t="shared" si="5"/>
        <v>10.833333333333332</v>
      </c>
    </row>
    <row r="11" spans="1:33" x14ac:dyDescent="0.3">
      <c r="B11">
        <v>68</v>
      </c>
      <c r="C11">
        <v>32</v>
      </c>
      <c r="D11">
        <v>25</v>
      </c>
      <c r="E11">
        <v>75</v>
      </c>
      <c r="G11">
        <v>64</v>
      </c>
      <c r="H11">
        <v>36</v>
      </c>
      <c r="I11">
        <v>28</v>
      </c>
      <c r="J11">
        <v>72</v>
      </c>
      <c r="L11">
        <v>86</v>
      </c>
      <c r="M11">
        <v>14</v>
      </c>
      <c r="N11">
        <v>8</v>
      </c>
      <c r="O11">
        <v>92</v>
      </c>
      <c r="R11">
        <f t="shared" si="0"/>
        <v>28.5</v>
      </c>
      <c r="S11">
        <f t="shared" si="1"/>
        <v>32</v>
      </c>
      <c r="T11">
        <f t="shared" si="2"/>
        <v>11</v>
      </c>
      <c r="U11">
        <f t="shared" si="3"/>
        <v>23.833333333333332</v>
      </c>
      <c r="AD11">
        <f t="shared" si="4"/>
        <v>11</v>
      </c>
      <c r="AE11">
        <f t="shared" si="5"/>
        <v>12.833333333333332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3"/>
  <sheetViews>
    <sheetView topLeftCell="N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55</v>
      </c>
      <c r="Q2" t="s">
        <v>12</v>
      </c>
      <c r="R2" t="s">
        <v>13</v>
      </c>
      <c r="S2" t="s">
        <v>14</v>
      </c>
      <c r="T2" t="s">
        <v>16</v>
      </c>
      <c r="U2" t="s">
        <v>56</v>
      </c>
      <c r="V2" t="s">
        <v>49</v>
      </c>
      <c r="W2" t="s">
        <v>57</v>
      </c>
      <c r="X2" t="s">
        <v>50</v>
      </c>
      <c r="Y2" t="s">
        <v>58</v>
      </c>
      <c r="Z2" t="s">
        <v>51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62</v>
      </c>
      <c r="C4">
        <v>38</v>
      </c>
      <c r="D4">
        <v>20</v>
      </c>
      <c r="E4">
        <v>80</v>
      </c>
      <c r="G4">
        <v>71</v>
      </c>
      <c r="H4">
        <v>29</v>
      </c>
      <c r="I4">
        <v>29</v>
      </c>
      <c r="J4">
        <v>71</v>
      </c>
      <c r="L4">
        <v>90</v>
      </c>
      <c r="M4">
        <v>10</v>
      </c>
      <c r="N4">
        <v>15</v>
      </c>
      <c r="O4">
        <v>85</v>
      </c>
      <c r="Q4">
        <f>AVERAGE(C4,D4)</f>
        <v>29</v>
      </c>
      <c r="R4">
        <f>AVERAGE(H4,I4)</f>
        <v>29</v>
      </c>
      <c r="S4">
        <f>AVERAGE(M4,N4)</f>
        <v>12.5</v>
      </c>
      <c r="T4">
        <f>AVERAGE(Q4:S4)</f>
        <v>23.5</v>
      </c>
      <c r="U4">
        <f>AVERAGE(Q4:Q7)</f>
        <v>27.75</v>
      </c>
      <c r="V4">
        <f>_xlfn.STDEV.S(Q4:Q7)</f>
        <v>3.5237290853109955</v>
      </c>
      <c r="W4">
        <f>AVERAGE(R4:R7)</f>
        <v>28.25</v>
      </c>
      <c r="X4">
        <f>_xlfn.STDEV.S(R4:R7)</f>
        <v>2.7233557730613653</v>
      </c>
      <c r="Y4">
        <f>AVERAGE(S4:S7)</f>
        <v>11.5</v>
      </c>
      <c r="Z4">
        <f>_xlfn.STDEV.S(S4:S8)</f>
        <v>2.70801280154532</v>
      </c>
      <c r="AA4">
        <f>AVERAGE(T4:T7)</f>
        <v>22.5</v>
      </c>
      <c r="AB4">
        <f>_xlfn.STDEV.S(T4:T7)</f>
        <v>2.918650119236383</v>
      </c>
      <c r="AC4">
        <f>MIN(Q4:S4)</f>
        <v>12.5</v>
      </c>
      <c r="AD4">
        <f>(T4-AC4)</f>
        <v>11</v>
      </c>
      <c r="AE4">
        <f>AVERAGE(AD4:AD7)</f>
        <v>11</v>
      </c>
      <c r="AF4">
        <f>_xlfn.STDEV.S(AD4:AD7)</f>
        <v>0.72008229982309568</v>
      </c>
    </row>
    <row r="5" spans="1:32" x14ac:dyDescent="0.3">
      <c r="B5">
        <v>71</v>
      </c>
      <c r="C5">
        <v>29</v>
      </c>
      <c r="D5">
        <v>30</v>
      </c>
      <c r="E5">
        <v>70</v>
      </c>
      <c r="G5">
        <v>86</v>
      </c>
      <c r="H5">
        <v>14</v>
      </c>
      <c r="I5">
        <v>43</v>
      </c>
      <c r="J5">
        <v>57</v>
      </c>
      <c r="L5">
        <v>94</v>
      </c>
      <c r="M5">
        <v>6</v>
      </c>
      <c r="N5">
        <v>21</v>
      </c>
      <c r="O5">
        <v>79</v>
      </c>
      <c r="Q5">
        <f t="shared" ref="Q5:Q7" si="0">AVERAGE(C5,D5)</f>
        <v>29.5</v>
      </c>
      <c r="R5">
        <f t="shared" ref="R5:R7" si="1">AVERAGE(H5,I5)</f>
        <v>28.5</v>
      </c>
      <c r="S5">
        <f t="shared" ref="S5:S7" si="2">AVERAGE(M5,N5)</f>
        <v>13.5</v>
      </c>
      <c r="T5">
        <f t="shared" ref="T5:T7" si="3">AVERAGE(Q5:S5)</f>
        <v>23.833333333333332</v>
      </c>
      <c r="AC5">
        <f t="shared" ref="AC5:AC7" si="4">MIN(Q5:S5)</f>
        <v>13.5</v>
      </c>
      <c r="AD5">
        <f t="shared" ref="AD5:AD7" si="5">(T5-AC5)</f>
        <v>10.333333333333332</v>
      </c>
    </row>
    <row r="6" spans="1:32" x14ac:dyDescent="0.3">
      <c r="B6">
        <v>77</v>
      </c>
      <c r="C6">
        <v>23</v>
      </c>
      <c r="D6">
        <v>37</v>
      </c>
      <c r="E6">
        <v>63</v>
      </c>
      <c r="G6">
        <v>75</v>
      </c>
      <c r="H6">
        <v>25</v>
      </c>
      <c r="I6">
        <v>37</v>
      </c>
      <c r="J6">
        <v>63</v>
      </c>
      <c r="L6">
        <v>89</v>
      </c>
      <c r="M6">
        <v>11</v>
      </c>
      <c r="N6">
        <v>14</v>
      </c>
      <c r="O6">
        <v>86</v>
      </c>
      <c r="Q6">
        <f t="shared" si="0"/>
        <v>30</v>
      </c>
      <c r="R6">
        <f t="shared" si="1"/>
        <v>31</v>
      </c>
      <c r="S6">
        <f t="shared" si="2"/>
        <v>12.5</v>
      </c>
      <c r="T6">
        <f t="shared" si="3"/>
        <v>24.5</v>
      </c>
      <c r="AC6">
        <f t="shared" si="4"/>
        <v>12.5</v>
      </c>
      <c r="AD6">
        <f t="shared" si="5"/>
        <v>12</v>
      </c>
    </row>
    <row r="7" spans="1:32" x14ac:dyDescent="0.3">
      <c r="B7">
        <v>79</v>
      </c>
      <c r="C7">
        <v>21</v>
      </c>
      <c r="D7">
        <v>24</v>
      </c>
      <c r="E7">
        <v>76</v>
      </c>
      <c r="G7">
        <v>79</v>
      </c>
      <c r="H7">
        <v>21</v>
      </c>
      <c r="I7">
        <v>28</v>
      </c>
      <c r="J7">
        <v>72</v>
      </c>
      <c r="L7">
        <v>94</v>
      </c>
      <c r="M7">
        <v>6</v>
      </c>
      <c r="N7">
        <v>9</v>
      </c>
      <c r="O7">
        <v>91</v>
      </c>
      <c r="Q7">
        <f t="shared" si="0"/>
        <v>22.5</v>
      </c>
      <c r="R7">
        <f t="shared" si="1"/>
        <v>24.5</v>
      </c>
      <c r="S7">
        <f t="shared" si="2"/>
        <v>7.5</v>
      </c>
      <c r="T7">
        <f t="shared" si="3"/>
        <v>18.166666666666668</v>
      </c>
      <c r="AC7">
        <f t="shared" si="4"/>
        <v>7.5</v>
      </c>
      <c r="AD7">
        <f t="shared" si="5"/>
        <v>10.666666666666668</v>
      </c>
    </row>
    <row r="8" spans="1:32" x14ac:dyDescent="0.3">
      <c r="A8" t="s">
        <v>76</v>
      </c>
    </row>
    <row r="9" spans="1:32" x14ac:dyDescent="0.3">
      <c r="B9">
        <v>72</v>
      </c>
      <c r="C9">
        <v>28</v>
      </c>
      <c r="D9">
        <v>20</v>
      </c>
      <c r="E9">
        <v>80</v>
      </c>
      <c r="G9">
        <v>85</v>
      </c>
      <c r="H9">
        <v>15</v>
      </c>
      <c r="I9">
        <v>32</v>
      </c>
      <c r="J9">
        <v>68</v>
      </c>
      <c r="L9">
        <v>86</v>
      </c>
      <c r="M9">
        <v>14</v>
      </c>
      <c r="N9">
        <v>7</v>
      </c>
      <c r="O9">
        <v>93</v>
      </c>
      <c r="Q9">
        <f t="shared" ref="Q9:Q13" si="6">AVERAGE(C9,D9)</f>
        <v>24</v>
      </c>
      <c r="R9">
        <f t="shared" ref="R9:R13" si="7">AVERAGE(H9,I9)</f>
        <v>23.5</v>
      </c>
      <c r="S9">
        <f t="shared" ref="S9:S13" si="8">AVERAGE(M9,N9)</f>
        <v>10.5</v>
      </c>
      <c r="T9">
        <f t="shared" ref="T9:T13" si="9">AVERAGE(Q9:S9)</f>
        <v>19.333333333333332</v>
      </c>
      <c r="U9">
        <f>AVERAGE(Q9:Q12)</f>
        <v>27</v>
      </c>
      <c r="V9">
        <f>_xlfn.STDEV.S(Q9:Q12)</f>
        <v>2.6770630673681683</v>
      </c>
      <c r="W9">
        <f>AVERAGE(R9:R12)</f>
        <v>24.25</v>
      </c>
      <c r="X9">
        <f>_xlfn.STDEV.S(R9:R12)</f>
        <v>1.1902380714238083</v>
      </c>
      <c r="Y9">
        <f>AVERAGE(S9:S12)</f>
        <v>8.625</v>
      </c>
      <c r="Z9">
        <f>_xlfn.STDEV.S(S9:S13)</f>
        <v>1.7888543819998326</v>
      </c>
      <c r="AA9">
        <f>AVERAGE(T9:T12)</f>
        <v>19.958333333333332</v>
      </c>
      <c r="AB9">
        <f>_xlfn.STDEV.S(T9:T12)</f>
        <v>0.55067298893330685</v>
      </c>
      <c r="AC9">
        <f t="shared" ref="AC9:AC13" si="10">MIN(Q9:S9)</f>
        <v>10.5</v>
      </c>
      <c r="AD9">
        <f t="shared" ref="AD9:AD13" si="11">(T9-AC9)</f>
        <v>8.8333333333333321</v>
      </c>
      <c r="AE9">
        <f>AVERAGE(AD9:AD12)</f>
        <v>11.333333333333332</v>
      </c>
      <c r="AF9">
        <f>_xlfn.STDEV.S(AD9:AD12)</f>
        <v>1.9340994650588066</v>
      </c>
    </row>
    <row r="10" spans="1:32" x14ac:dyDescent="0.3">
      <c r="B10">
        <v>70</v>
      </c>
      <c r="C10">
        <v>30</v>
      </c>
      <c r="D10">
        <v>23</v>
      </c>
      <c r="E10">
        <v>77</v>
      </c>
      <c r="G10">
        <v>72</v>
      </c>
      <c r="H10">
        <v>28</v>
      </c>
      <c r="I10">
        <v>24</v>
      </c>
      <c r="J10">
        <v>76</v>
      </c>
      <c r="L10">
        <v>93</v>
      </c>
      <c r="M10">
        <v>7</v>
      </c>
      <c r="N10">
        <v>8</v>
      </c>
      <c r="O10">
        <v>92</v>
      </c>
      <c r="Q10">
        <f t="shared" si="6"/>
        <v>26.5</v>
      </c>
      <c r="R10">
        <f t="shared" si="7"/>
        <v>26</v>
      </c>
      <c r="S10">
        <f t="shared" si="8"/>
        <v>7.5</v>
      </c>
      <c r="T10">
        <f t="shared" si="9"/>
        <v>20</v>
      </c>
      <c r="AC10">
        <f t="shared" si="10"/>
        <v>7.5</v>
      </c>
      <c r="AD10">
        <f t="shared" si="11"/>
        <v>12.5</v>
      </c>
    </row>
    <row r="11" spans="1:32" x14ac:dyDescent="0.3">
      <c r="B11">
        <v>73</v>
      </c>
      <c r="C11">
        <v>27</v>
      </c>
      <c r="D11">
        <v>34</v>
      </c>
      <c r="E11">
        <v>66</v>
      </c>
      <c r="G11">
        <v>89</v>
      </c>
      <c r="H11">
        <v>11</v>
      </c>
      <c r="I11">
        <v>37</v>
      </c>
      <c r="J11">
        <v>63</v>
      </c>
      <c r="L11">
        <v>93</v>
      </c>
      <c r="M11">
        <v>7</v>
      </c>
      <c r="N11">
        <v>8</v>
      </c>
      <c r="O11">
        <v>92</v>
      </c>
      <c r="Q11">
        <f t="shared" si="6"/>
        <v>30.5</v>
      </c>
      <c r="R11">
        <f t="shared" si="7"/>
        <v>24</v>
      </c>
      <c r="S11">
        <f t="shared" si="8"/>
        <v>7.5</v>
      </c>
      <c r="T11">
        <f t="shared" si="9"/>
        <v>20.666666666666668</v>
      </c>
      <c r="AC11">
        <f t="shared" si="10"/>
        <v>7.5</v>
      </c>
      <c r="AD11">
        <f t="shared" si="11"/>
        <v>13.166666666666668</v>
      </c>
    </row>
    <row r="12" spans="1:32" x14ac:dyDescent="0.3">
      <c r="B12">
        <v>80</v>
      </c>
      <c r="C12">
        <v>20</v>
      </c>
      <c r="D12">
        <v>34</v>
      </c>
      <c r="E12">
        <v>66</v>
      </c>
      <c r="G12">
        <v>88</v>
      </c>
      <c r="H12">
        <v>12</v>
      </c>
      <c r="I12">
        <v>35</v>
      </c>
      <c r="J12">
        <v>65</v>
      </c>
      <c r="L12">
        <v>94</v>
      </c>
      <c r="M12">
        <v>6</v>
      </c>
      <c r="N12">
        <v>12</v>
      </c>
      <c r="O12">
        <v>88</v>
      </c>
      <c r="Q12">
        <f t="shared" si="6"/>
        <v>27</v>
      </c>
      <c r="R12">
        <f t="shared" si="7"/>
        <v>23.5</v>
      </c>
      <c r="S12">
        <f t="shared" si="8"/>
        <v>9</v>
      </c>
      <c r="T12">
        <f t="shared" si="9"/>
        <v>19.833333333333332</v>
      </c>
      <c r="AC12">
        <f t="shared" si="10"/>
        <v>9</v>
      </c>
      <c r="AD12">
        <f t="shared" si="11"/>
        <v>10.833333333333332</v>
      </c>
    </row>
    <row r="13" spans="1:32" x14ac:dyDescent="0.3">
      <c r="B13">
        <v>68</v>
      </c>
      <c r="C13">
        <v>32</v>
      </c>
      <c r="D13">
        <v>29</v>
      </c>
      <c r="E13">
        <v>71</v>
      </c>
      <c r="G13">
        <v>74</v>
      </c>
      <c r="H13">
        <v>26</v>
      </c>
      <c r="I13">
        <v>44</v>
      </c>
      <c r="J13">
        <v>56</v>
      </c>
      <c r="L13">
        <v>94</v>
      </c>
      <c r="M13">
        <v>6</v>
      </c>
      <c r="N13">
        <v>17</v>
      </c>
      <c r="O13">
        <v>83</v>
      </c>
      <c r="Q13">
        <f t="shared" si="6"/>
        <v>30.5</v>
      </c>
      <c r="R13">
        <f t="shared" si="7"/>
        <v>35</v>
      </c>
      <c r="S13">
        <f t="shared" si="8"/>
        <v>11.5</v>
      </c>
      <c r="T13">
        <f t="shared" si="9"/>
        <v>25.666666666666668</v>
      </c>
      <c r="AC13">
        <f t="shared" si="10"/>
        <v>11.5</v>
      </c>
      <c r="AD13">
        <f t="shared" si="11"/>
        <v>14.166666666666668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5"/>
  <sheetViews>
    <sheetView topLeftCell="J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75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63</v>
      </c>
      <c r="C3">
        <v>37</v>
      </c>
      <c r="D3">
        <v>31</v>
      </c>
      <c r="E3">
        <v>69</v>
      </c>
      <c r="G3">
        <v>71</v>
      </c>
      <c r="H3">
        <v>29</v>
      </c>
      <c r="I3">
        <v>35</v>
      </c>
      <c r="J3">
        <v>65</v>
      </c>
      <c r="L3">
        <v>84</v>
      </c>
      <c r="M3">
        <v>16</v>
      </c>
      <c r="N3">
        <v>9</v>
      </c>
      <c r="O3">
        <v>91</v>
      </c>
      <c r="Q3">
        <f>AVERAGE(C3,D3)</f>
        <v>34</v>
      </c>
      <c r="R3">
        <f>AVERAGE(H3,I3)</f>
        <v>32</v>
      </c>
      <c r="S3">
        <f>AVERAGE(M3,N3)</f>
        <v>12.5</v>
      </c>
      <c r="T3">
        <f>AVERAGE(Q3:S3)</f>
        <v>26.166666666666668</v>
      </c>
      <c r="U3">
        <f>MIN(Q3:S3)</f>
        <v>12.5</v>
      </c>
      <c r="V3">
        <f>((T3-U3))</f>
        <v>13.666666666666668</v>
      </c>
      <c r="W3">
        <f>AVERAGE(Q3:Q4)</f>
        <v>34.5</v>
      </c>
      <c r="X3">
        <f>_xlfn.STDEV.S(Q3:Q4)</f>
        <v>0.70710678118654757</v>
      </c>
      <c r="Y3">
        <f>AVERAGE(R3:R4)</f>
        <v>31.25</v>
      </c>
      <c r="Z3">
        <f>_xlfn.STDEV.S(R3:R4)</f>
        <v>1.0606601717798212</v>
      </c>
      <c r="AA3">
        <f>AVERAGE(S3:S4)</f>
        <v>11</v>
      </c>
      <c r="AB3">
        <f>_xlfn.STDEV.S(S3:S4)</f>
        <v>2.1213203435596424</v>
      </c>
      <c r="AC3">
        <f>AVERAGE(T3:T4)</f>
        <v>25.583333333333336</v>
      </c>
      <c r="AD3">
        <f>_xlfn.STDEV.S(T3:T4)</f>
        <v>0.8249579113843063</v>
      </c>
      <c r="AE3">
        <f>AVERAGE(V3:V4)</f>
        <v>14.583333333333334</v>
      </c>
      <c r="AF3">
        <f>_xlfn.STDEV.S(V3:V4)</f>
        <v>1.2963624321753362</v>
      </c>
      <c r="AH3" t="s">
        <v>45</v>
      </c>
      <c r="AL3" t="s">
        <v>46</v>
      </c>
    </row>
    <row r="4" spans="1:44" x14ac:dyDescent="0.3">
      <c r="B4">
        <v>56</v>
      </c>
      <c r="C4">
        <v>44</v>
      </c>
      <c r="D4">
        <v>26</v>
      </c>
      <c r="E4">
        <v>74</v>
      </c>
      <c r="G4">
        <v>76</v>
      </c>
      <c r="H4">
        <v>24</v>
      </c>
      <c r="I4">
        <v>37</v>
      </c>
      <c r="J4">
        <v>63</v>
      </c>
      <c r="L4">
        <v>90</v>
      </c>
      <c r="M4">
        <v>10</v>
      </c>
      <c r="N4">
        <v>9</v>
      </c>
      <c r="O4">
        <v>91</v>
      </c>
      <c r="Q4">
        <f t="shared" ref="Q4:Q9" si="0">AVERAGE(C4,D4)</f>
        <v>35</v>
      </c>
      <c r="R4">
        <f t="shared" ref="R4:R9" si="1">AVERAGE(H4,I4)</f>
        <v>30.5</v>
      </c>
      <c r="S4">
        <f t="shared" ref="S4:S9" si="2">AVERAGE(M4,N4)</f>
        <v>9.5</v>
      </c>
      <c r="T4">
        <f t="shared" ref="T4:T9" si="3">AVERAGE(Q4:S4)</f>
        <v>25</v>
      </c>
      <c r="U4">
        <f t="shared" ref="U4:U9" si="4">MIN(Q4:S4)</f>
        <v>9.5</v>
      </c>
      <c r="V4">
        <f t="shared" ref="V4:V9" si="5">((T4-U4))</f>
        <v>15.5</v>
      </c>
      <c r="AH4" t="s">
        <v>47</v>
      </c>
      <c r="AI4">
        <v>28.041666666666668</v>
      </c>
      <c r="AJ4">
        <v>2.5972222222222219</v>
      </c>
      <c r="AL4" t="s">
        <v>47</v>
      </c>
      <c r="AM4">
        <v>28.041666666666668</v>
      </c>
      <c r="AN4">
        <v>2.5972222222222219</v>
      </c>
    </row>
    <row r="7" spans="1:44" x14ac:dyDescent="0.3">
      <c r="A7" t="s">
        <v>73</v>
      </c>
    </row>
    <row r="8" spans="1:44" x14ac:dyDescent="0.3">
      <c r="B8">
        <v>65</v>
      </c>
      <c r="C8">
        <v>35</v>
      </c>
      <c r="D8">
        <v>25</v>
      </c>
      <c r="E8">
        <v>75</v>
      </c>
      <c r="G8">
        <v>74</v>
      </c>
      <c r="H8">
        <v>26</v>
      </c>
      <c r="I8">
        <v>25</v>
      </c>
      <c r="J8">
        <v>75</v>
      </c>
      <c r="L8">
        <v>85</v>
      </c>
      <c r="M8">
        <v>15</v>
      </c>
      <c r="N8">
        <v>11</v>
      </c>
      <c r="O8">
        <v>89</v>
      </c>
      <c r="Q8">
        <f t="shared" si="0"/>
        <v>30</v>
      </c>
      <c r="R8">
        <f t="shared" si="1"/>
        <v>25.5</v>
      </c>
      <c r="S8">
        <f t="shared" si="2"/>
        <v>13</v>
      </c>
      <c r="T8">
        <f t="shared" si="3"/>
        <v>22.833333333333332</v>
      </c>
      <c r="U8">
        <f t="shared" si="4"/>
        <v>13</v>
      </c>
      <c r="V8">
        <f t="shared" si="5"/>
        <v>9.8333333333333321</v>
      </c>
      <c r="W8">
        <f>AVERAGE(Q8:Q11)</f>
        <v>35.25</v>
      </c>
      <c r="X8">
        <f>_xlfn.STDEV.S(Q8:Q11)</f>
        <v>4.9916597106239795</v>
      </c>
      <c r="Y8">
        <f>AVERAGE(R8:R11)</f>
        <v>32.75</v>
      </c>
      <c r="Z8">
        <f>_xlfn.STDEV.S(R8:R11)</f>
        <v>5.3619026473818039</v>
      </c>
      <c r="AA8">
        <f>AVERAGE(S8:S11)</f>
        <v>11.625</v>
      </c>
      <c r="AB8">
        <f>_xlfn.STDEV.S(S8:S11)</f>
        <v>1.6007810593582121</v>
      </c>
      <c r="AC8">
        <f>AVERAGE(T8:T11)</f>
        <v>26.541666666666664</v>
      </c>
      <c r="AD8">
        <f>_xlfn.STDEV.S(T8:T11)</f>
        <v>2.7967408280459711</v>
      </c>
      <c r="AE8">
        <f>AVERAGE(V8:V11)</f>
        <v>14.916666666666664</v>
      </c>
      <c r="AF8">
        <f>_xlfn.STDEV.S(V8:V11)</f>
        <v>4.1510819651605919</v>
      </c>
      <c r="AI8" t="s">
        <v>5</v>
      </c>
      <c r="AJ8" t="s">
        <v>49</v>
      </c>
      <c r="AK8" t="s">
        <v>7</v>
      </c>
      <c r="AL8" t="s">
        <v>50</v>
      </c>
      <c r="AM8" t="s">
        <v>9</v>
      </c>
      <c r="AN8" t="s">
        <v>51</v>
      </c>
      <c r="AO8" t="s">
        <v>1</v>
      </c>
      <c r="AP8" t="s">
        <v>17</v>
      </c>
      <c r="AQ8" t="s">
        <v>19</v>
      </c>
      <c r="AR8" t="s">
        <v>20</v>
      </c>
    </row>
    <row r="9" spans="1:44" x14ac:dyDescent="0.3">
      <c r="B9">
        <v>58</v>
      </c>
      <c r="C9">
        <v>42</v>
      </c>
      <c r="D9">
        <v>42</v>
      </c>
      <c r="E9">
        <v>58</v>
      </c>
      <c r="G9">
        <v>71</v>
      </c>
      <c r="H9">
        <v>29</v>
      </c>
      <c r="I9">
        <v>43</v>
      </c>
      <c r="J9">
        <v>57</v>
      </c>
      <c r="L9">
        <v>90</v>
      </c>
      <c r="M9">
        <v>10</v>
      </c>
      <c r="N9">
        <v>11</v>
      </c>
      <c r="O9">
        <v>89</v>
      </c>
      <c r="Q9">
        <f t="shared" si="0"/>
        <v>42</v>
      </c>
      <c r="R9">
        <f t="shared" si="1"/>
        <v>36</v>
      </c>
      <c r="S9">
        <f t="shared" si="2"/>
        <v>10.5</v>
      </c>
      <c r="T9">
        <f t="shared" si="3"/>
        <v>29.5</v>
      </c>
      <c r="U9">
        <f t="shared" si="4"/>
        <v>10.5</v>
      </c>
      <c r="V9">
        <f t="shared" si="5"/>
        <v>19</v>
      </c>
      <c r="AH9" t="s">
        <v>47</v>
      </c>
      <c r="AI9" t="e">
        <f>AVERAGE(Q21:Q24)</f>
        <v>#DIV/0!</v>
      </c>
      <c r="AJ9" t="e">
        <f>_xlfn.STDEV.S(Q21:Q24)</f>
        <v>#DIV/0!</v>
      </c>
      <c r="AK9" t="e">
        <f>AVERAGE(R21:R24)</f>
        <v>#DIV/0!</v>
      </c>
      <c r="AL9" t="e">
        <f>_xlfn.STDEV.S(R21:R24)</f>
        <v>#DIV/0!</v>
      </c>
      <c r="AM9" t="e">
        <f>AVERAGE(S21:S24)</f>
        <v>#DIV/0!</v>
      </c>
      <c r="AN9" t="e">
        <f>_xlfn.STDEV.S(S21:S24)</f>
        <v>#DIV/0!</v>
      </c>
      <c r="AO9">
        <v>28.041666666666668</v>
      </c>
      <c r="AP9">
        <v>3.0103986446980731</v>
      </c>
      <c r="AQ9">
        <v>2.5972222222222219</v>
      </c>
      <c r="AR9">
        <v>0.62915286960589489</v>
      </c>
    </row>
    <row r="10" spans="1:44" x14ac:dyDescent="0.3">
      <c r="B10">
        <v>54</v>
      </c>
      <c r="C10">
        <v>46</v>
      </c>
      <c r="D10">
        <v>24</v>
      </c>
      <c r="E10">
        <v>76</v>
      </c>
      <c r="G10">
        <v>70</v>
      </c>
      <c r="H10">
        <v>30</v>
      </c>
      <c r="I10">
        <v>45</v>
      </c>
      <c r="J10">
        <v>55</v>
      </c>
      <c r="L10">
        <v>91</v>
      </c>
      <c r="M10">
        <v>9</v>
      </c>
      <c r="N10">
        <v>11</v>
      </c>
      <c r="O10">
        <v>89</v>
      </c>
      <c r="Q10">
        <f t="shared" ref="Q10:Q15" si="6">AVERAGE(C10,D10)</f>
        <v>35</v>
      </c>
      <c r="R10">
        <f t="shared" ref="R10:R15" si="7">AVERAGE(H10,I10)</f>
        <v>37.5</v>
      </c>
      <c r="S10">
        <f t="shared" ref="S10:S15" si="8">AVERAGE(M10,N10)</f>
        <v>10</v>
      </c>
      <c r="T10">
        <f t="shared" ref="T10:T15" si="9">AVERAGE(Q10:S10)</f>
        <v>27.5</v>
      </c>
      <c r="U10">
        <f t="shared" ref="U10:U15" si="10">MIN(Q10:S10)</f>
        <v>10</v>
      </c>
      <c r="V10">
        <f t="shared" ref="V10:V15" si="11">((T10-U10))</f>
        <v>17.5</v>
      </c>
    </row>
    <row r="11" spans="1:44" x14ac:dyDescent="0.3">
      <c r="B11">
        <v>66</v>
      </c>
      <c r="C11">
        <v>34</v>
      </c>
      <c r="D11">
        <v>34</v>
      </c>
      <c r="E11">
        <v>66</v>
      </c>
      <c r="G11">
        <v>65</v>
      </c>
      <c r="H11">
        <v>35</v>
      </c>
      <c r="I11">
        <v>29</v>
      </c>
      <c r="J11">
        <v>71</v>
      </c>
      <c r="L11">
        <v>86</v>
      </c>
      <c r="M11">
        <v>14</v>
      </c>
      <c r="N11">
        <v>12</v>
      </c>
      <c r="O11">
        <v>88</v>
      </c>
      <c r="Q11">
        <f t="shared" si="6"/>
        <v>34</v>
      </c>
      <c r="R11">
        <f t="shared" si="7"/>
        <v>32</v>
      </c>
      <c r="S11">
        <f t="shared" si="8"/>
        <v>13</v>
      </c>
      <c r="T11">
        <f t="shared" si="9"/>
        <v>26.333333333333332</v>
      </c>
      <c r="U11">
        <f t="shared" si="10"/>
        <v>13</v>
      </c>
      <c r="V11">
        <f t="shared" si="11"/>
        <v>13.333333333333332</v>
      </c>
    </row>
    <row r="12" spans="1:44" x14ac:dyDescent="0.3">
      <c r="A12" t="s">
        <v>74</v>
      </c>
    </row>
    <row r="13" spans="1:44" x14ac:dyDescent="0.3">
      <c r="B13">
        <v>48</v>
      </c>
      <c r="C13">
        <v>52</v>
      </c>
      <c r="D13">
        <v>38</v>
      </c>
      <c r="E13">
        <v>62</v>
      </c>
      <c r="G13">
        <v>68</v>
      </c>
      <c r="H13">
        <v>32</v>
      </c>
      <c r="I13">
        <v>38</v>
      </c>
      <c r="J13">
        <v>62</v>
      </c>
      <c r="L13">
        <v>89</v>
      </c>
      <c r="M13">
        <v>11</v>
      </c>
      <c r="N13">
        <v>15</v>
      </c>
      <c r="O13">
        <v>85</v>
      </c>
      <c r="Q13">
        <f t="shared" si="6"/>
        <v>45</v>
      </c>
      <c r="R13">
        <f t="shared" si="7"/>
        <v>35</v>
      </c>
      <c r="S13">
        <f t="shared" si="8"/>
        <v>13</v>
      </c>
      <c r="T13">
        <f t="shared" si="9"/>
        <v>31</v>
      </c>
      <c r="U13">
        <f t="shared" si="10"/>
        <v>13</v>
      </c>
      <c r="V13">
        <f t="shared" si="11"/>
        <v>18</v>
      </c>
      <c r="W13">
        <f>AVERAGE(Q13:Q15)</f>
        <v>34.333333333333336</v>
      </c>
      <c r="X13">
        <f>_xlfn.STDEV.S(Q13:Q15)</f>
        <v>9.2511260575852745</v>
      </c>
      <c r="Y13">
        <f>AVERAGE(R13:R15)</f>
        <v>35</v>
      </c>
      <c r="Z13">
        <f>_xlfn.STDEV.S(R13:R15)</f>
        <v>2.5</v>
      </c>
      <c r="AA13">
        <f>AVERAGE(S13:S15)</f>
        <v>11.833333333333334</v>
      </c>
      <c r="AB13">
        <f>_xlfn.STDEV.S(S13:S15)</f>
        <v>1.2583057392117918</v>
      </c>
      <c r="AC13">
        <f>AVERAGE(T13:T15)</f>
        <v>27.055555555555557</v>
      </c>
      <c r="AD13">
        <f>_xlfn.STDEV.S(T13:T15)</f>
        <v>3.441306814655209</v>
      </c>
      <c r="AE13">
        <f>AVERAGE(V13:V15)</f>
        <v>15.222222222222223</v>
      </c>
      <c r="AF13">
        <f>_xlfn.STDEV.S(V13:V15)</f>
        <v>2.6736020923368713</v>
      </c>
    </row>
    <row r="14" spans="1:44" x14ac:dyDescent="0.3">
      <c r="B14">
        <v>67</v>
      </c>
      <c r="C14">
        <v>33</v>
      </c>
      <c r="D14">
        <v>26</v>
      </c>
      <c r="E14">
        <v>74</v>
      </c>
      <c r="G14">
        <v>65</v>
      </c>
      <c r="H14">
        <v>35</v>
      </c>
      <c r="I14">
        <v>30</v>
      </c>
      <c r="J14">
        <v>70</v>
      </c>
      <c r="L14">
        <v>88</v>
      </c>
      <c r="M14">
        <v>12</v>
      </c>
      <c r="N14">
        <v>12</v>
      </c>
      <c r="O14">
        <v>88</v>
      </c>
      <c r="Q14">
        <f t="shared" si="6"/>
        <v>29.5</v>
      </c>
      <c r="R14">
        <f t="shared" si="7"/>
        <v>32.5</v>
      </c>
      <c r="S14">
        <f t="shared" si="8"/>
        <v>12</v>
      </c>
      <c r="T14">
        <f t="shared" si="9"/>
        <v>24.666666666666668</v>
      </c>
      <c r="U14">
        <f t="shared" si="10"/>
        <v>12</v>
      </c>
      <c r="V14">
        <f t="shared" si="11"/>
        <v>12.666666666666668</v>
      </c>
    </row>
    <row r="15" spans="1:44" x14ac:dyDescent="0.3">
      <c r="B15">
        <v>61</v>
      </c>
      <c r="C15">
        <v>39</v>
      </c>
      <c r="D15">
        <v>18</v>
      </c>
      <c r="E15">
        <v>82</v>
      </c>
      <c r="G15">
        <v>53</v>
      </c>
      <c r="H15">
        <v>47</v>
      </c>
      <c r="I15">
        <v>28</v>
      </c>
      <c r="J15">
        <v>72</v>
      </c>
      <c r="L15">
        <v>85</v>
      </c>
      <c r="M15">
        <v>15</v>
      </c>
      <c r="N15">
        <v>6</v>
      </c>
      <c r="O15">
        <v>94</v>
      </c>
      <c r="Q15">
        <f t="shared" si="6"/>
        <v>28.5</v>
      </c>
      <c r="R15">
        <f t="shared" si="7"/>
        <v>37.5</v>
      </c>
      <c r="S15">
        <f t="shared" si="8"/>
        <v>10.5</v>
      </c>
      <c r="T15">
        <f t="shared" si="9"/>
        <v>25.5</v>
      </c>
      <c r="U15">
        <f t="shared" si="10"/>
        <v>10.5</v>
      </c>
      <c r="V15">
        <f t="shared" si="11"/>
        <v>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0"/>
  <sheetViews>
    <sheetView topLeftCell="M1" workbookViewId="0">
      <selection activeCell="U19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72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75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61</v>
      </c>
      <c r="C3">
        <v>39</v>
      </c>
      <c r="D3">
        <v>30</v>
      </c>
      <c r="E3">
        <v>70</v>
      </c>
      <c r="G3">
        <v>77</v>
      </c>
      <c r="H3">
        <v>23</v>
      </c>
      <c r="I3">
        <v>28</v>
      </c>
      <c r="J3">
        <v>72</v>
      </c>
      <c r="L3">
        <v>93</v>
      </c>
      <c r="M3">
        <v>7</v>
      </c>
      <c r="N3">
        <v>19</v>
      </c>
      <c r="O3">
        <v>81</v>
      </c>
      <c r="Q3">
        <f>AVERAGE(C3,D3)</f>
        <v>34.5</v>
      </c>
      <c r="R3">
        <f>AVERAGE(H3,I3)</f>
        <v>25.5</v>
      </c>
      <c r="S3">
        <f>AVERAGE(M3,N3)</f>
        <v>13</v>
      </c>
      <c r="T3">
        <f>AVERAGE(Q3:S3)</f>
        <v>24.333333333333332</v>
      </c>
      <c r="U3">
        <f>MIN(Q3:S3)</f>
        <v>13</v>
      </c>
      <c r="V3">
        <f>((T3-U3))</f>
        <v>11.333333333333332</v>
      </c>
      <c r="W3">
        <f>AVERAGE(Q3:Q4)</f>
        <v>39.25</v>
      </c>
      <c r="X3">
        <f>_xlfn.STDEV.S(Q3:Q4)</f>
        <v>6.7175144212722016</v>
      </c>
      <c r="Y3">
        <f>AVERAGE(R3:R4)</f>
        <v>30.5</v>
      </c>
      <c r="Z3">
        <f>_xlfn.STDEV.S(R3:R4)</f>
        <v>7.0710678118654755</v>
      </c>
      <c r="AA3">
        <f>AVERAGE(S3:S4)</f>
        <v>11.75</v>
      </c>
      <c r="AB3">
        <f>_xlfn.STDEV.S(S3:S4)</f>
        <v>1.7677669529663689</v>
      </c>
      <c r="AC3">
        <f>AVERAGE(T3:T4)</f>
        <v>27.166666666666664</v>
      </c>
      <c r="AD3">
        <f>_xlfn.STDEV.S(T3:T4)</f>
        <v>4.00693842672381</v>
      </c>
      <c r="AE3">
        <f>AVERAGE(V3:V4)</f>
        <v>15.416666666666666</v>
      </c>
      <c r="AF3">
        <f>_xlfn.STDEV.S(V3:V4)</f>
        <v>5.7747053796901433</v>
      </c>
      <c r="AH3" t="s">
        <v>45</v>
      </c>
      <c r="AL3" t="s">
        <v>46</v>
      </c>
    </row>
    <row r="4" spans="1:44" x14ac:dyDescent="0.3">
      <c r="B4">
        <v>42</v>
      </c>
      <c r="C4">
        <v>58</v>
      </c>
      <c r="D4">
        <v>30</v>
      </c>
      <c r="E4">
        <v>70</v>
      </c>
      <c r="G4">
        <v>61</v>
      </c>
      <c r="H4">
        <v>39</v>
      </c>
      <c r="I4">
        <v>32</v>
      </c>
      <c r="J4">
        <v>68</v>
      </c>
      <c r="L4">
        <v>85</v>
      </c>
      <c r="M4">
        <v>15</v>
      </c>
      <c r="N4">
        <v>6</v>
      </c>
      <c r="O4">
        <v>94</v>
      </c>
      <c r="Q4">
        <f t="shared" ref="Q4:Q10" si="0">AVERAGE(C4,D4)</f>
        <v>44</v>
      </c>
      <c r="R4">
        <f t="shared" ref="R4:R10" si="1">AVERAGE(H4,I4)</f>
        <v>35.5</v>
      </c>
      <c r="S4">
        <f t="shared" ref="S4:S10" si="2">AVERAGE(M4,N4)</f>
        <v>10.5</v>
      </c>
      <c r="T4">
        <f t="shared" ref="T4:T10" si="3">AVERAGE(Q4:S4)</f>
        <v>30</v>
      </c>
      <c r="U4">
        <f t="shared" ref="U4:U10" si="4">MIN(Q4:S4)</f>
        <v>10.5</v>
      </c>
      <c r="V4">
        <f t="shared" ref="V4:V10" si="5">((T4-U4))</f>
        <v>19.5</v>
      </c>
      <c r="AH4" t="s">
        <v>47</v>
      </c>
      <c r="AI4">
        <v>28.041666666666668</v>
      </c>
      <c r="AJ4">
        <v>2.5972222222222219</v>
      </c>
      <c r="AL4" t="s">
        <v>47</v>
      </c>
      <c r="AM4">
        <v>28.041666666666668</v>
      </c>
      <c r="AN4">
        <v>2.5972222222222219</v>
      </c>
    </row>
    <row r="5" spans="1:44" x14ac:dyDescent="0.3">
      <c r="A5" t="s">
        <v>73</v>
      </c>
    </row>
    <row r="6" spans="1:44" x14ac:dyDescent="0.3">
      <c r="B6">
        <v>63</v>
      </c>
      <c r="C6">
        <v>37</v>
      </c>
      <c r="D6">
        <v>31</v>
      </c>
      <c r="E6">
        <v>69</v>
      </c>
      <c r="G6">
        <v>61</v>
      </c>
      <c r="H6">
        <v>39</v>
      </c>
      <c r="I6">
        <v>33</v>
      </c>
      <c r="J6">
        <v>67</v>
      </c>
      <c r="L6">
        <v>84</v>
      </c>
      <c r="M6">
        <v>16</v>
      </c>
      <c r="N6">
        <v>10</v>
      </c>
      <c r="O6">
        <v>90</v>
      </c>
      <c r="Q6">
        <f t="shared" si="0"/>
        <v>34</v>
      </c>
      <c r="R6">
        <f t="shared" si="1"/>
        <v>36</v>
      </c>
      <c r="S6">
        <f t="shared" si="2"/>
        <v>13</v>
      </c>
      <c r="T6">
        <f t="shared" si="3"/>
        <v>27.666666666666668</v>
      </c>
      <c r="U6">
        <f t="shared" si="4"/>
        <v>13</v>
      </c>
      <c r="V6">
        <f t="shared" si="5"/>
        <v>14.666666666666668</v>
      </c>
      <c r="W6">
        <f>AVERAGE(Q6:Q7)</f>
        <v>34.25</v>
      </c>
      <c r="X6">
        <f>_xlfn.STDEV.S(Q6:Q7)</f>
        <v>0.35355339059327379</v>
      </c>
      <c r="Y6">
        <f>AVERAGE(R6:R7)</f>
        <v>34.5</v>
      </c>
      <c r="Z6">
        <f>_xlfn.STDEV.S(R6:R7)</f>
        <v>2.1213203435596424</v>
      </c>
      <c r="AA6">
        <f>AVERAGE(S6:S7)</f>
        <v>14</v>
      </c>
      <c r="AB6">
        <f>_xlfn.STDEV.S(S6:S7)</f>
        <v>1.4142135623730951</v>
      </c>
      <c r="AC6">
        <f>AVERAGE(T6:T7)</f>
        <v>27.583333333333336</v>
      </c>
      <c r="AD6">
        <f>_xlfn.STDEV.S(T6:T7)</f>
        <v>0.11785113019775875</v>
      </c>
      <c r="AE6">
        <f>AVERAGE(V6:V7)</f>
        <v>13.583333333333334</v>
      </c>
      <c r="AF6">
        <f>_xlfn.STDEV.S(V6:V7)</f>
        <v>1.5320646925708539</v>
      </c>
      <c r="AI6" t="s">
        <v>5</v>
      </c>
      <c r="AJ6" t="s">
        <v>49</v>
      </c>
      <c r="AK6" t="s">
        <v>7</v>
      </c>
      <c r="AL6" t="s">
        <v>50</v>
      </c>
      <c r="AM6" t="s">
        <v>9</v>
      </c>
      <c r="AN6" t="s">
        <v>51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53</v>
      </c>
      <c r="C7">
        <v>47</v>
      </c>
      <c r="D7">
        <v>22</v>
      </c>
      <c r="E7">
        <v>78</v>
      </c>
      <c r="G7">
        <v>67</v>
      </c>
      <c r="H7">
        <v>33</v>
      </c>
      <c r="I7">
        <v>33</v>
      </c>
      <c r="J7">
        <v>67</v>
      </c>
      <c r="L7">
        <v>82</v>
      </c>
      <c r="M7">
        <v>18</v>
      </c>
      <c r="N7">
        <v>12</v>
      </c>
      <c r="O7">
        <v>88</v>
      </c>
      <c r="Q7">
        <f t="shared" si="0"/>
        <v>34.5</v>
      </c>
      <c r="R7">
        <f t="shared" si="1"/>
        <v>33</v>
      </c>
      <c r="S7">
        <f t="shared" si="2"/>
        <v>15</v>
      </c>
      <c r="T7">
        <f t="shared" si="3"/>
        <v>27.5</v>
      </c>
      <c r="U7">
        <f t="shared" si="4"/>
        <v>15</v>
      </c>
      <c r="V7">
        <f t="shared" si="5"/>
        <v>12.5</v>
      </c>
      <c r="AH7" t="s">
        <v>47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A8" t="s">
        <v>74</v>
      </c>
    </row>
    <row r="9" spans="1:44" x14ac:dyDescent="0.3">
      <c r="B9">
        <v>66</v>
      </c>
      <c r="C9">
        <v>34</v>
      </c>
      <c r="D9">
        <v>29</v>
      </c>
      <c r="E9">
        <v>71</v>
      </c>
      <c r="G9">
        <v>77</v>
      </c>
      <c r="H9">
        <v>23</v>
      </c>
      <c r="I9">
        <v>32</v>
      </c>
      <c r="J9">
        <v>68</v>
      </c>
      <c r="L9">
        <v>85</v>
      </c>
      <c r="M9">
        <v>15</v>
      </c>
      <c r="N9">
        <v>10</v>
      </c>
      <c r="O9">
        <v>90</v>
      </c>
      <c r="Q9">
        <f t="shared" si="0"/>
        <v>31.5</v>
      </c>
      <c r="R9">
        <f t="shared" si="1"/>
        <v>27.5</v>
      </c>
      <c r="S9">
        <f t="shared" si="2"/>
        <v>12.5</v>
      </c>
      <c r="T9">
        <f t="shared" si="3"/>
        <v>23.833333333333332</v>
      </c>
      <c r="U9">
        <f t="shared" si="4"/>
        <v>12.5</v>
      </c>
      <c r="V9">
        <f t="shared" si="5"/>
        <v>11.333333333333332</v>
      </c>
      <c r="W9">
        <f>AVERAGE(Q9:Q10)</f>
        <v>27</v>
      </c>
      <c r="X9">
        <f>_xlfn.STDEV.S(Q9:Q10)</f>
        <v>6.3639610306789276</v>
      </c>
      <c r="Y9">
        <f>AVERAGE(R9:R10)</f>
        <v>23</v>
      </c>
      <c r="Z9">
        <f>_xlfn.STDEV.S(R9:R10)</f>
        <v>6.3639610306789276</v>
      </c>
      <c r="AA9">
        <f>AVERAGE(S9:S10)</f>
        <v>11</v>
      </c>
      <c r="AB9">
        <f>_xlfn.STDEV.S(S9:S10)</f>
        <v>2.1213203435596424</v>
      </c>
      <c r="AC9">
        <f>AVERAGE(T9:T10)</f>
        <v>20.333333333333332</v>
      </c>
      <c r="AD9">
        <f>_xlfn.STDEV.S(T9:T10)</f>
        <v>4.9497474683058327</v>
      </c>
      <c r="AE9">
        <f>AVERAGE(V9:V10)</f>
        <v>9.3333333333333321</v>
      </c>
      <c r="AF9">
        <f>_xlfn.STDEV.S(V9:V10)</f>
        <v>2.8284271247461903</v>
      </c>
    </row>
    <row r="10" spans="1:44" x14ac:dyDescent="0.3">
      <c r="B10">
        <v>68</v>
      </c>
      <c r="C10">
        <v>32</v>
      </c>
      <c r="D10">
        <v>13</v>
      </c>
      <c r="E10">
        <v>87</v>
      </c>
      <c r="G10">
        <v>89</v>
      </c>
      <c r="H10">
        <v>11</v>
      </c>
      <c r="I10">
        <v>26</v>
      </c>
      <c r="J10">
        <v>74</v>
      </c>
      <c r="L10">
        <v>90</v>
      </c>
      <c r="M10">
        <v>10</v>
      </c>
      <c r="N10">
        <v>9</v>
      </c>
      <c r="O10">
        <v>91</v>
      </c>
      <c r="Q10">
        <f t="shared" si="0"/>
        <v>22.5</v>
      </c>
      <c r="R10">
        <f t="shared" si="1"/>
        <v>18.5</v>
      </c>
      <c r="S10">
        <f t="shared" si="2"/>
        <v>9.5</v>
      </c>
      <c r="T10">
        <f t="shared" si="3"/>
        <v>16.833333333333332</v>
      </c>
      <c r="U10">
        <f t="shared" si="4"/>
        <v>9.5</v>
      </c>
      <c r="V10">
        <f t="shared" si="5"/>
        <v>7.3333333333333321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O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71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49</v>
      </c>
      <c r="AK11" t="s">
        <v>7</v>
      </c>
      <c r="AL11" t="s">
        <v>50</v>
      </c>
      <c r="AM11" t="s">
        <v>9</v>
      </c>
      <c r="AN11" t="s">
        <v>51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28.5</v>
      </c>
      <c r="AJ12">
        <f>_xlfn.STDEV.S(Q16:Q24)</f>
        <v>4.5825756949558398</v>
      </c>
      <c r="AK12">
        <f>AVERAGE(R16:R24)</f>
        <v>29.5</v>
      </c>
      <c r="AL12">
        <f>_xlfn.STDEV.S(R16:R24)</f>
        <v>3.5</v>
      </c>
      <c r="AM12">
        <f>AVERAGE(S16:S24)</f>
        <v>10.166666666666666</v>
      </c>
      <c r="AN12">
        <f>_xlfn.STDEV.S(S16:S24)</f>
        <v>1.4433756729740677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81</v>
      </c>
      <c r="C16">
        <v>19</v>
      </c>
      <c r="D16">
        <v>30</v>
      </c>
      <c r="E16">
        <v>70</v>
      </c>
      <c r="G16">
        <v>72</v>
      </c>
      <c r="H16">
        <v>28</v>
      </c>
      <c r="I16">
        <v>36</v>
      </c>
      <c r="J16">
        <v>64</v>
      </c>
      <c r="L16">
        <v>93</v>
      </c>
      <c r="M16">
        <v>7</v>
      </c>
      <c r="N16">
        <v>15</v>
      </c>
      <c r="O16">
        <v>85</v>
      </c>
      <c r="Q16">
        <f t="shared" si="0"/>
        <v>24.5</v>
      </c>
      <c r="R16">
        <f t="shared" si="1"/>
        <v>32</v>
      </c>
      <c r="S16">
        <f t="shared" si="2"/>
        <v>11</v>
      </c>
      <c r="T16">
        <f t="shared" si="3"/>
        <v>22.5</v>
      </c>
      <c r="U16">
        <f t="shared" si="4"/>
        <v>11</v>
      </c>
      <c r="V16">
        <f>(T16-U16)</f>
        <v>11.5</v>
      </c>
      <c r="W16">
        <f>AVERAGE(Q16:Q18)</f>
        <v>28.5</v>
      </c>
      <c r="X16">
        <f>_xlfn.STDEV.S(Q16:Q18)</f>
        <v>4.5825756949558398</v>
      </c>
      <c r="Y16">
        <f>AVERAGE(R16:R18)</f>
        <v>29.5</v>
      </c>
      <c r="Z16">
        <f>_xlfn.STDEV.S(R16:R18)</f>
        <v>3.5</v>
      </c>
      <c r="AA16">
        <f>AVERAGE(S16:S18)</f>
        <v>10.166666666666666</v>
      </c>
      <c r="AB16">
        <f>_xlfn.STDEV.S(S16:S18)</f>
        <v>1.4433756729740677</v>
      </c>
      <c r="AC16">
        <f>AVERAGE(T16:T24)</f>
        <v>22.722222222222225</v>
      </c>
      <c r="AD16">
        <f>_xlfn.STDEV.S(T16:T24)</f>
        <v>2.3412563895228313</v>
      </c>
      <c r="AE16">
        <f>AVERAGE(V16:V18)</f>
        <v>12.555555555555557</v>
      </c>
      <c r="AF16">
        <f>_xlfn.STDEV.S(V16:V24)</f>
        <v>1.4174834246858978</v>
      </c>
    </row>
    <row r="17" spans="1:32" x14ac:dyDescent="0.3">
      <c r="B17">
        <v>65</v>
      </c>
      <c r="C17">
        <v>35</v>
      </c>
      <c r="D17">
        <v>32</v>
      </c>
      <c r="E17">
        <v>68</v>
      </c>
      <c r="G17">
        <v>73</v>
      </c>
      <c r="H17">
        <v>27</v>
      </c>
      <c r="I17">
        <v>35</v>
      </c>
      <c r="J17">
        <v>65</v>
      </c>
      <c r="L17">
        <v>92</v>
      </c>
      <c r="M17">
        <v>8</v>
      </c>
      <c r="N17">
        <v>14</v>
      </c>
      <c r="O17">
        <v>86</v>
      </c>
      <c r="Q17">
        <f t="shared" si="0"/>
        <v>33.5</v>
      </c>
      <c r="R17">
        <f t="shared" si="1"/>
        <v>31</v>
      </c>
      <c r="S17">
        <f t="shared" si="2"/>
        <v>11</v>
      </c>
      <c r="T17">
        <f t="shared" si="3"/>
        <v>25.166666666666668</v>
      </c>
      <c r="U17">
        <f t="shared" si="4"/>
        <v>11</v>
      </c>
      <c r="V17">
        <f>(T17-U17)</f>
        <v>14.166666666666668</v>
      </c>
    </row>
    <row r="18" spans="1:32" x14ac:dyDescent="0.3">
      <c r="B18">
        <v>69</v>
      </c>
      <c r="C18">
        <v>31</v>
      </c>
      <c r="D18">
        <v>24</v>
      </c>
      <c r="E18">
        <v>76</v>
      </c>
      <c r="G18">
        <v>87</v>
      </c>
      <c r="H18">
        <v>13</v>
      </c>
      <c r="I18">
        <v>38</v>
      </c>
      <c r="J18">
        <v>62</v>
      </c>
      <c r="L18">
        <v>93</v>
      </c>
      <c r="M18">
        <v>7</v>
      </c>
      <c r="N18">
        <v>10</v>
      </c>
      <c r="O18">
        <v>90</v>
      </c>
      <c r="Q18">
        <f t="shared" si="0"/>
        <v>27.5</v>
      </c>
      <c r="R18">
        <f t="shared" si="1"/>
        <v>25.5</v>
      </c>
      <c r="S18">
        <f t="shared" si="2"/>
        <v>8.5</v>
      </c>
      <c r="T18">
        <f t="shared" si="3"/>
        <v>20.5</v>
      </c>
      <c r="U18">
        <f t="shared" si="4"/>
        <v>8.5</v>
      </c>
      <c r="V18">
        <f>(T18-U18)</f>
        <v>12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71</v>
      </c>
      <c r="X2" t="s">
        <v>49</v>
      </c>
      <c r="Y2" t="s">
        <v>7</v>
      </c>
      <c r="Z2" t="s">
        <v>50</v>
      </c>
      <c r="AA2" t="s">
        <v>9</v>
      </c>
      <c r="AB2" t="s">
        <v>51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56</v>
      </c>
      <c r="C3">
        <v>44</v>
      </c>
      <c r="D3">
        <v>19</v>
      </c>
      <c r="E3">
        <v>81</v>
      </c>
      <c r="G3">
        <v>52</v>
      </c>
      <c r="H3">
        <v>48</v>
      </c>
      <c r="I3">
        <v>30</v>
      </c>
      <c r="J3">
        <v>70</v>
      </c>
      <c r="L3">
        <v>87</v>
      </c>
      <c r="M3">
        <v>13</v>
      </c>
      <c r="N3">
        <v>10</v>
      </c>
      <c r="O3">
        <v>90</v>
      </c>
      <c r="Q3">
        <f>AVERAGE(C3:D3)</f>
        <v>31.5</v>
      </c>
      <c r="R3">
        <f>AVERAGE(H3:I3)</f>
        <v>39</v>
      </c>
      <c r="S3">
        <f>AVERAGE(M3:N3)</f>
        <v>11.5</v>
      </c>
      <c r="T3">
        <f>AVERAGE(Q3:S3)</f>
        <v>27.333333333333332</v>
      </c>
      <c r="U3">
        <f>MIN(Q3:S3)</f>
        <v>11.5</v>
      </c>
      <c r="V3">
        <f>T3-U3</f>
        <v>15.833333333333332</v>
      </c>
      <c r="W3">
        <f>AVERAGE(Q3:Q5)</f>
        <v>36</v>
      </c>
      <c r="X3">
        <f>_xlfn.STDEV.S(Q3:Q5)</f>
        <v>4.0926763859362252</v>
      </c>
      <c r="Y3">
        <f>AVERAGE(R3:R5)</f>
        <v>37.333333333333336</v>
      </c>
      <c r="Z3">
        <f>_xlfn.STDEV.S(R3:R5)</f>
        <v>2.0816659994661326</v>
      </c>
      <c r="AA3">
        <f>AVERAGE(S3:S5)</f>
        <v>13.833333333333334</v>
      </c>
      <c r="AB3">
        <f>_xlfn.STDEV.S(S3:S5)</f>
        <v>2.0207259421636854</v>
      </c>
      <c r="AC3">
        <f>AVERAGE(T3:T5)</f>
        <v>29.055555555555554</v>
      </c>
      <c r="AD3">
        <f>_xlfn.STDEV.S(T3:T5)</f>
        <v>1.4938144066387506</v>
      </c>
      <c r="AE3">
        <f>AVERAGE(V3:V5)</f>
        <v>15.222222222222221</v>
      </c>
      <c r="AF3">
        <f>_xlfn.STDEV.S(V3:V5)</f>
        <v>0.53575837561071948</v>
      </c>
    </row>
    <row r="4" spans="1:32" x14ac:dyDescent="0.3">
      <c r="B4">
        <v>57</v>
      </c>
      <c r="C4">
        <v>43</v>
      </c>
      <c r="D4">
        <v>31</v>
      </c>
      <c r="E4">
        <v>69</v>
      </c>
      <c r="G4">
        <v>74</v>
      </c>
      <c r="H4">
        <v>26</v>
      </c>
      <c r="I4">
        <v>50</v>
      </c>
      <c r="J4">
        <v>50</v>
      </c>
      <c r="L4">
        <v>87</v>
      </c>
      <c r="M4">
        <v>13</v>
      </c>
      <c r="N4">
        <v>17</v>
      </c>
      <c r="O4">
        <v>83</v>
      </c>
      <c r="Q4">
        <f t="shared" ref="Q4:Q5" si="0">AVERAGE(C4:D4)</f>
        <v>37</v>
      </c>
      <c r="R4">
        <f t="shared" ref="R4:R5" si="1">AVERAGE(H4:I4)</f>
        <v>38</v>
      </c>
      <c r="S4">
        <f t="shared" ref="S4:S5" si="2">AVERAGE(M4:N4)</f>
        <v>15</v>
      </c>
      <c r="T4">
        <f t="shared" ref="T4:T5" si="3">AVERAGE(Q4:S4)</f>
        <v>30</v>
      </c>
      <c r="U4">
        <f t="shared" ref="U4:U5" si="4">MIN(Q4:S4)</f>
        <v>15</v>
      </c>
      <c r="V4">
        <f t="shared" ref="V4:V5" si="5">T4-U4</f>
        <v>15</v>
      </c>
    </row>
    <row r="5" spans="1:32" x14ac:dyDescent="0.3">
      <c r="B5">
        <v>51</v>
      </c>
      <c r="C5">
        <v>49</v>
      </c>
      <c r="D5">
        <v>30</v>
      </c>
      <c r="E5">
        <v>70</v>
      </c>
      <c r="G5">
        <v>71</v>
      </c>
      <c r="H5">
        <v>29</v>
      </c>
      <c r="I5">
        <v>41</v>
      </c>
      <c r="J5">
        <v>59</v>
      </c>
      <c r="L5">
        <v>87</v>
      </c>
      <c r="M5">
        <v>13</v>
      </c>
      <c r="N5">
        <v>17</v>
      </c>
      <c r="O5">
        <v>83</v>
      </c>
      <c r="Q5">
        <f t="shared" si="0"/>
        <v>39.5</v>
      </c>
      <c r="R5">
        <f t="shared" si="1"/>
        <v>35</v>
      </c>
      <c r="S5">
        <f t="shared" si="2"/>
        <v>15</v>
      </c>
      <c r="T5">
        <f t="shared" si="3"/>
        <v>29.833333333333332</v>
      </c>
      <c r="U5">
        <f t="shared" si="4"/>
        <v>15</v>
      </c>
      <c r="V5">
        <f t="shared" si="5"/>
        <v>14.833333333333332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PARBS_STDAUG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2026-02-03T20:01:41Z</dcterms:modified>
</cp:coreProperties>
</file>