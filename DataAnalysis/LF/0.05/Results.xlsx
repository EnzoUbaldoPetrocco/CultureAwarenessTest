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F\0.05\"/>
    </mc:Choice>
  </mc:AlternateContent>
  <xr:revisionPtr revIDLastSave="0" documentId="13_ncr:1_{1664D508-8A90-4278-8E89-34F885D9E1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MIT_DIFF_ONLYMIN_STDAUG" sheetId="19" r:id="rId2"/>
    <sheet name="MIT_DIFF_ONLYMIN_NOAUG" sheetId="18" r:id="rId3"/>
    <sheet name="MIT_PARBS_DIFF_ONLYMIN_STDAUG" sheetId="17" r:id="rId4"/>
    <sheet name="MIT_DIFF_STDAUG" sheetId="16" r:id="rId5"/>
    <sheet name="MIT_DIFF_NOAUG" sheetId="15" r:id="rId6"/>
    <sheet name="MIT_PARBS_STDAUG" sheetId="14" r:id="rId7"/>
    <sheet name="MIT_PARBS_NOAUG" sheetId="13" r:id="rId8"/>
    <sheet name="MIT_STDAUG" sheetId="12" r:id="rId9"/>
    <sheet name="MIT_NOAUG" sheetId="11" r:id="rId10"/>
    <sheet name="STD_IMB_AUG" sheetId="10" r:id="rId11"/>
    <sheet name="STD_IMB_NOAUG" sheetId="9" r:id="rId12"/>
    <sheet name="DIFF" sheetId="8" r:id="rId13"/>
    <sheet name="STD_BAL_ADV_NOCLSDIV" sheetId="7" r:id="rId14"/>
    <sheet name="STD_BAL_ADV_CLSDIV" sheetId="6" r:id="rId15"/>
    <sheet name="STD_BAL_STDAUG" sheetId="5" r:id="rId16"/>
    <sheet name="STD_BAL_NOAUG" sheetId="2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14" l="1"/>
  <c r="AE4" i="14"/>
  <c r="AB4" i="14"/>
  <c r="AA4" i="14"/>
  <c r="Z4" i="14"/>
  <c r="Y4" i="14"/>
  <c r="X4" i="14"/>
  <c r="W4" i="14"/>
  <c r="V4" i="14"/>
  <c r="U4" i="14"/>
  <c r="Q5" i="14"/>
  <c r="T5" i="14" s="1"/>
  <c r="R5" i="14"/>
  <c r="S5" i="14"/>
  <c r="Q6" i="14"/>
  <c r="R6" i="14"/>
  <c r="S6" i="14"/>
  <c r="T6" i="14"/>
  <c r="AC6" i="14"/>
  <c r="AD6" i="14"/>
  <c r="Q7" i="14"/>
  <c r="R7" i="14"/>
  <c r="S7" i="14"/>
  <c r="T7" i="14"/>
  <c r="AD7" i="14" s="1"/>
  <c r="AC7" i="14"/>
  <c r="Q8" i="14"/>
  <c r="T8" i="14" s="1"/>
  <c r="R8" i="14"/>
  <c r="S8" i="14"/>
  <c r="AD4" i="14"/>
  <c r="AC4" i="14"/>
  <c r="T4" i="14"/>
  <c r="S4" i="14"/>
  <c r="R4" i="14"/>
  <c r="Q4" i="14"/>
  <c r="AF4" i="13"/>
  <c r="AE4" i="13"/>
  <c r="AB4" i="13"/>
  <c r="AA4" i="13"/>
  <c r="Z4" i="13"/>
  <c r="Y4" i="13"/>
  <c r="X4" i="13"/>
  <c r="W4" i="13"/>
  <c r="V4" i="13"/>
  <c r="U4" i="13"/>
  <c r="Q5" i="13"/>
  <c r="R5" i="13"/>
  <c r="S5" i="13"/>
  <c r="T5" i="13"/>
  <c r="AC5" i="13"/>
  <c r="AD5" i="13"/>
  <c r="Q6" i="13"/>
  <c r="R6" i="13"/>
  <c r="S6" i="13"/>
  <c r="T6" i="13"/>
  <c r="AC6" i="13"/>
  <c r="AD6" i="13"/>
  <c r="Q7" i="13"/>
  <c r="AC7" i="13" s="1"/>
  <c r="R7" i="13"/>
  <c r="S7" i="13"/>
  <c r="T7" i="13"/>
  <c r="AD7" i="13" s="1"/>
  <c r="Q8" i="13"/>
  <c r="R8" i="13"/>
  <c r="S8" i="13"/>
  <c r="T8" i="13"/>
  <c r="AC8" i="13"/>
  <c r="AD8" i="13"/>
  <c r="Q9" i="13"/>
  <c r="R9" i="13"/>
  <c r="S9" i="13"/>
  <c r="T9" i="13"/>
  <c r="AC9" i="13"/>
  <c r="AD9" i="13"/>
  <c r="V18" i="5"/>
  <c r="V17" i="5"/>
  <c r="V16" i="5"/>
  <c r="AE16" i="5"/>
  <c r="AF4" i="12"/>
  <c r="AE4" i="12"/>
  <c r="AB4" i="12"/>
  <c r="AA4" i="12"/>
  <c r="Z4" i="12"/>
  <c r="Y4" i="12"/>
  <c r="X4" i="12"/>
  <c r="W4" i="12"/>
  <c r="V4" i="12"/>
  <c r="U4" i="12"/>
  <c r="Q5" i="12"/>
  <c r="T5" i="12" s="1"/>
  <c r="R5" i="12"/>
  <c r="S5" i="12"/>
  <c r="Q6" i="12"/>
  <c r="R6" i="12"/>
  <c r="S6" i="12"/>
  <c r="T6" i="12"/>
  <c r="AC6" i="12"/>
  <c r="AD6" i="12"/>
  <c r="Q7" i="12"/>
  <c r="R7" i="12"/>
  <c r="S7" i="12"/>
  <c r="T7" i="12"/>
  <c r="AD7" i="12" s="1"/>
  <c r="AC7" i="12"/>
  <c r="Q8" i="12"/>
  <c r="R8" i="12"/>
  <c r="S8" i="12"/>
  <c r="T8" i="12"/>
  <c r="AC8" i="12"/>
  <c r="AD8" i="12"/>
  <c r="Q9" i="12"/>
  <c r="R9" i="12"/>
  <c r="S9" i="12"/>
  <c r="T9" i="12"/>
  <c r="AC9" i="12"/>
  <c r="AD9" i="12"/>
  <c r="AD4" i="12"/>
  <c r="T4" i="12"/>
  <c r="AF4" i="11"/>
  <c r="AE4" i="11"/>
  <c r="AB4" i="11"/>
  <c r="AA4" i="11"/>
  <c r="Z4" i="11"/>
  <c r="Y4" i="11"/>
  <c r="X4" i="11"/>
  <c r="W4" i="11"/>
  <c r="V4" i="11"/>
  <c r="U4" i="11"/>
  <c r="Q5" i="11"/>
  <c r="R5" i="11"/>
  <c r="S5" i="11"/>
  <c r="T5" i="11"/>
  <c r="AC5" i="11"/>
  <c r="AD5" i="11"/>
  <c r="Q6" i="11"/>
  <c r="AC6" i="11" s="1"/>
  <c r="R6" i="11"/>
  <c r="S6" i="11"/>
  <c r="T6" i="11"/>
  <c r="Q7" i="11"/>
  <c r="R7" i="11"/>
  <c r="S7" i="11"/>
  <c r="T7" i="11"/>
  <c r="AC7" i="11"/>
  <c r="AD7" i="11"/>
  <c r="Q8" i="11"/>
  <c r="R8" i="11"/>
  <c r="S8" i="11"/>
  <c r="T8" i="11"/>
  <c r="AC8" i="11"/>
  <c r="AD8" i="11"/>
  <c r="Q9" i="11"/>
  <c r="T9" i="11" s="1"/>
  <c r="R9" i="11"/>
  <c r="S9" i="11"/>
  <c r="Q10" i="11"/>
  <c r="R10" i="11"/>
  <c r="S10" i="11"/>
  <c r="T10" i="11"/>
  <c r="AC10" i="11"/>
  <c r="AD10" i="11"/>
  <c r="AD4" i="11"/>
  <c r="AC4" i="11"/>
  <c r="AB16" i="5"/>
  <c r="AA16" i="5"/>
  <c r="Z16" i="5"/>
  <c r="Y16" i="5"/>
  <c r="X16" i="5"/>
  <c r="W16" i="5"/>
  <c r="AF3" i="2"/>
  <c r="AE3" i="2"/>
  <c r="AD3" i="2"/>
  <c r="AC3" i="2"/>
  <c r="AB3" i="2"/>
  <c r="AA3" i="2"/>
  <c r="Z3" i="2"/>
  <c r="Y3" i="2"/>
  <c r="X3" i="2"/>
  <c r="W3" i="2"/>
  <c r="Q4" i="2"/>
  <c r="T4" i="2" s="1"/>
  <c r="R4" i="2"/>
  <c r="S4" i="2"/>
  <c r="Q5" i="2"/>
  <c r="R5" i="2"/>
  <c r="S5" i="2"/>
  <c r="T5" i="2"/>
  <c r="U5" i="2"/>
  <c r="V5" i="2"/>
  <c r="V3" i="2"/>
  <c r="U3" i="2"/>
  <c r="T3" i="2"/>
  <c r="S3" i="2"/>
  <c r="R3" i="2"/>
  <c r="Q3" i="2"/>
  <c r="V8" i="19"/>
  <c r="U8" i="19"/>
  <c r="X4" i="19"/>
  <c r="V4" i="19"/>
  <c r="Q5" i="19"/>
  <c r="T5" i="19" s="1"/>
  <c r="R5" i="19"/>
  <c r="AC5" i="19" s="1"/>
  <c r="S5" i="19"/>
  <c r="Q8" i="19"/>
  <c r="T8" i="19" s="1"/>
  <c r="R8" i="19"/>
  <c r="X8" i="19" s="1"/>
  <c r="S8" i="19"/>
  <c r="Y8" i="19" s="1"/>
  <c r="AC8" i="19"/>
  <c r="Q9" i="19"/>
  <c r="T9" i="19" s="1"/>
  <c r="R9" i="19"/>
  <c r="S9" i="19"/>
  <c r="Q10" i="19"/>
  <c r="T10" i="19" s="1"/>
  <c r="R10" i="19"/>
  <c r="S10" i="19"/>
  <c r="Q11" i="19"/>
  <c r="R11" i="19"/>
  <c r="AC11" i="19" s="1"/>
  <c r="S11" i="19"/>
  <c r="T11" i="19"/>
  <c r="AD11" i="19" s="1"/>
  <c r="AC4" i="19"/>
  <c r="T4" i="19"/>
  <c r="AD4" i="19" s="1"/>
  <c r="S4" i="19"/>
  <c r="Z4" i="19" s="1"/>
  <c r="R4" i="19"/>
  <c r="W4" i="19" s="1"/>
  <c r="Q4" i="19"/>
  <c r="U4" i="19" s="1"/>
  <c r="Z4" i="18"/>
  <c r="Y4" i="18"/>
  <c r="X4" i="18"/>
  <c r="W4" i="18"/>
  <c r="V4" i="18"/>
  <c r="U4" i="18"/>
  <c r="Q5" i="18"/>
  <c r="T5" i="18" s="1"/>
  <c r="R5" i="18"/>
  <c r="S5" i="18"/>
  <c r="S4" i="18"/>
  <c r="R4" i="18"/>
  <c r="Q4" i="18"/>
  <c r="AC4" i="18" s="1"/>
  <c r="Q10" i="17"/>
  <c r="T10" i="17" s="1"/>
  <c r="R10" i="17"/>
  <c r="S10" i="17"/>
  <c r="Q9" i="17"/>
  <c r="T9" i="17" s="1"/>
  <c r="R9" i="17"/>
  <c r="S9" i="17"/>
  <c r="S8" i="17"/>
  <c r="Z8" i="17" s="1"/>
  <c r="R8" i="17"/>
  <c r="X8" i="17" s="1"/>
  <c r="Q8" i="17"/>
  <c r="AC8" i="17" s="1"/>
  <c r="AB8" i="16"/>
  <c r="AF8" i="16"/>
  <c r="V8" i="16"/>
  <c r="U8" i="16"/>
  <c r="Z4" i="16"/>
  <c r="Y4" i="16"/>
  <c r="X4" i="16"/>
  <c r="W4" i="16"/>
  <c r="Q5" i="16"/>
  <c r="T5" i="16" s="1"/>
  <c r="R5" i="16"/>
  <c r="S5" i="16"/>
  <c r="Q8" i="16"/>
  <c r="R8" i="16"/>
  <c r="X8" i="16" s="1"/>
  <c r="S8" i="16"/>
  <c r="Z8" i="16" s="1"/>
  <c r="T8" i="16"/>
  <c r="AA8" i="16" s="1"/>
  <c r="AC8" i="16"/>
  <c r="AD8" i="16"/>
  <c r="AE8" i="16" s="1"/>
  <c r="Q9" i="16"/>
  <c r="R9" i="16"/>
  <c r="S9" i="16"/>
  <c r="T9" i="16"/>
  <c r="AD9" i="16" s="1"/>
  <c r="AC9" i="16"/>
  <c r="Q10" i="16"/>
  <c r="AC10" i="16" s="1"/>
  <c r="R10" i="16"/>
  <c r="S10" i="16"/>
  <c r="T10" i="16"/>
  <c r="AD10" i="16" s="1"/>
  <c r="Q11" i="16"/>
  <c r="R11" i="16"/>
  <c r="S11" i="16"/>
  <c r="T11" i="16"/>
  <c r="AC11" i="16"/>
  <c r="AD11" i="16"/>
  <c r="Q12" i="16"/>
  <c r="R12" i="16"/>
  <c r="S12" i="16"/>
  <c r="T12" i="16"/>
  <c r="AD12" i="16" s="1"/>
  <c r="AC12" i="16"/>
  <c r="S4" i="16"/>
  <c r="R4" i="16"/>
  <c r="Q4" i="16"/>
  <c r="V4" i="16" s="1"/>
  <c r="AF4" i="15"/>
  <c r="Z4" i="15"/>
  <c r="X4" i="15"/>
  <c r="Y4" i="15"/>
  <c r="W4" i="15"/>
  <c r="V4" i="15"/>
  <c r="Q5" i="15"/>
  <c r="R5" i="15"/>
  <c r="S5" i="15"/>
  <c r="T5" i="15"/>
  <c r="AC5" i="15"/>
  <c r="AD5" i="15"/>
  <c r="S4" i="15"/>
  <c r="R4" i="15"/>
  <c r="Q4" i="15"/>
  <c r="U4" i="15" s="1"/>
  <c r="S4" i="13"/>
  <c r="R4" i="13"/>
  <c r="Q4" i="13"/>
  <c r="T4" i="13" s="1"/>
  <c r="S4" i="12"/>
  <c r="R4" i="12"/>
  <c r="Q4" i="12"/>
  <c r="AC4" i="12" s="1"/>
  <c r="S4" i="11"/>
  <c r="R4" i="11"/>
  <c r="Q4" i="11"/>
  <c r="AG15" i="10"/>
  <c r="AF15" i="10"/>
  <c r="W83" i="10"/>
  <c r="Z71" i="10"/>
  <c r="Z66" i="10"/>
  <c r="X66" i="10"/>
  <c r="X53" i="10"/>
  <c r="W53" i="10"/>
  <c r="Z42" i="10"/>
  <c r="W42" i="10"/>
  <c r="Z31" i="10"/>
  <c r="X31" i="10"/>
  <c r="Q4" i="10"/>
  <c r="T4" i="10" s="1"/>
  <c r="R4" i="10"/>
  <c r="S4" i="10"/>
  <c r="Q5" i="10"/>
  <c r="R5" i="10"/>
  <c r="S5" i="10"/>
  <c r="T5" i="10"/>
  <c r="U5" i="10"/>
  <c r="V5" i="10"/>
  <c r="Q6" i="10"/>
  <c r="U6" i="10" s="1"/>
  <c r="R6" i="10"/>
  <c r="S6" i="10"/>
  <c r="Q7" i="10"/>
  <c r="T7" i="10" s="1"/>
  <c r="R7" i="10"/>
  <c r="S7" i="10"/>
  <c r="Q8" i="10"/>
  <c r="R8" i="10"/>
  <c r="S8" i="10"/>
  <c r="T8" i="10"/>
  <c r="U8" i="10"/>
  <c r="V8" i="10"/>
  <c r="Q9" i="10"/>
  <c r="T9" i="10" s="1"/>
  <c r="R9" i="10"/>
  <c r="S9" i="10"/>
  <c r="Q10" i="10"/>
  <c r="T10" i="10" s="1"/>
  <c r="R10" i="10"/>
  <c r="S10" i="10"/>
  <c r="Q11" i="10"/>
  <c r="R11" i="10"/>
  <c r="S11" i="10"/>
  <c r="T11" i="10"/>
  <c r="U11" i="10"/>
  <c r="V11" i="10"/>
  <c r="Q12" i="10"/>
  <c r="T12" i="10" s="1"/>
  <c r="R12" i="10"/>
  <c r="S12" i="10"/>
  <c r="Q15" i="10"/>
  <c r="AC15" i="10" s="1"/>
  <c r="R15" i="10"/>
  <c r="AE15" i="10" s="1"/>
  <c r="S15" i="10"/>
  <c r="Q16" i="10"/>
  <c r="R16" i="10"/>
  <c r="S16" i="10"/>
  <c r="T16" i="10"/>
  <c r="U16" i="10"/>
  <c r="V16" i="10"/>
  <c r="Q17" i="10"/>
  <c r="T17" i="10" s="1"/>
  <c r="R17" i="10"/>
  <c r="S17" i="10"/>
  <c r="Q18" i="10"/>
  <c r="T18" i="10" s="1"/>
  <c r="R18" i="10"/>
  <c r="S18" i="10"/>
  <c r="Q19" i="10"/>
  <c r="R19" i="10"/>
  <c r="S19" i="10"/>
  <c r="T19" i="10"/>
  <c r="U19" i="10"/>
  <c r="V19" i="10"/>
  <c r="Q20" i="10"/>
  <c r="T20" i="10" s="1"/>
  <c r="R20" i="10"/>
  <c r="S20" i="10"/>
  <c r="Q21" i="10"/>
  <c r="T21" i="10" s="1"/>
  <c r="R21" i="10"/>
  <c r="S21" i="10"/>
  <c r="Q22" i="10"/>
  <c r="U22" i="10" s="1"/>
  <c r="R22" i="10"/>
  <c r="S22" i="10"/>
  <c r="T22" i="10"/>
  <c r="V22" i="10" s="1"/>
  <c r="Q23" i="10"/>
  <c r="T23" i="10" s="1"/>
  <c r="R23" i="10"/>
  <c r="S23" i="10"/>
  <c r="Q26" i="10"/>
  <c r="T26" i="10" s="1"/>
  <c r="R26" i="10"/>
  <c r="S26" i="10"/>
  <c r="Q27" i="10"/>
  <c r="R27" i="10"/>
  <c r="S27" i="10"/>
  <c r="T27" i="10"/>
  <c r="V27" i="10" s="1"/>
  <c r="U27" i="10"/>
  <c r="Q28" i="10"/>
  <c r="R28" i="10"/>
  <c r="S28" i="10"/>
  <c r="T28" i="10"/>
  <c r="V28" i="10" s="1"/>
  <c r="U28" i="10"/>
  <c r="Q31" i="10"/>
  <c r="R31" i="10"/>
  <c r="S31" i="10"/>
  <c r="T31" i="10"/>
  <c r="W31" i="10" s="1"/>
  <c r="U31" i="10"/>
  <c r="V31" i="10"/>
  <c r="Y31" i="10" s="1"/>
  <c r="Q32" i="10"/>
  <c r="T32" i="10" s="1"/>
  <c r="R32" i="10"/>
  <c r="S32" i="10"/>
  <c r="Q33" i="10"/>
  <c r="T33" i="10" s="1"/>
  <c r="R33" i="10"/>
  <c r="S33" i="10"/>
  <c r="Q34" i="10"/>
  <c r="R34" i="10"/>
  <c r="S34" i="10"/>
  <c r="T34" i="10"/>
  <c r="U34" i="10"/>
  <c r="V34" i="10" s="1"/>
  <c r="Q35" i="10"/>
  <c r="R35" i="10"/>
  <c r="S35" i="10"/>
  <c r="T35" i="10"/>
  <c r="V35" i="10" s="1"/>
  <c r="U35" i="10"/>
  <c r="Q36" i="10"/>
  <c r="R36" i="10"/>
  <c r="S36" i="10"/>
  <c r="T36" i="10"/>
  <c r="V36" i="10" s="1"/>
  <c r="U36" i="10"/>
  <c r="Q37" i="10"/>
  <c r="R37" i="10"/>
  <c r="S37" i="10"/>
  <c r="T37" i="10"/>
  <c r="U37" i="10"/>
  <c r="V37" i="10"/>
  <c r="Q38" i="10"/>
  <c r="U38" i="10" s="1"/>
  <c r="R38" i="10"/>
  <c r="S38" i="10"/>
  <c r="Q39" i="10"/>
  <c r="R39" i="10"/>
  <c r="S39" i="10"/>
  <c r="T39" i="10"/>
  <c r="V39" i="10" s="1"/>
  <c r="U39" i="10"/>
  <c r="Q42" i="10"/>
  <c r="R42" i="10"/>
  <c r="S42" i="10"/>
  <c r="T42" i="10"/>
  <c r="X42" i="10" s="1"/>
  <c r="U42" i="10"/>
  <c r="V42" i="10"/>
  <c r="Y42" i="10" s="1"/>
  <c r="Q43" i="10"/>
  <c r="T43" i="10" s="1"/>
  <c r="R43" i="10"/>
  <c r="S43" i="10"/>
  <c r="Q44" i="10"/>
  <c r="T44" i="10" s="1"/>
  <c r="R44" i="10"/>
  <c r="S44" i="10"/>
  <c r="Q45" i="10"/>
  <c r="R45" i="10"/>
  <c r="S45" i="10"/>
  <c r="T45" i="10"/>
  <c r="U45" i="10"/>
  <c r="V45" i="10"/>
  <c r="Q46" i="10"/>
  <c r="U46" i="10" s="1"/>
  <c r="R46" i="10"/>
  <c r="S46" i="10"/>
  <c r="Q47" i="10"/>
  <c r="T47" i="10" s="1"/>
  <c r="R47" i="10"/>
  <c r="S47" i="10"/>
  <c r="Q48" i="10"/>
  <c r="R48" i="10"/>
  <c r="S48" i="10"/>
  <c r="T48" i="10"/>
  <c r="U48" i="10"/>
  <c r="V48" i="10"/>
  <c r="Q49" i="10"/>
  <c r="T49" i="10" s="1"/>
  <c r="R49" i="10"/>
  <c r="S49" i="10"/>
  <c r="Q50" i="10"/>
  <c r="T50" i="10" s="1"/>
  <c r="R50" i="10"/>
  <c r="S50" i="10"/>
  <c r="Q53" i="10"/>
  <c r="R53" i="10"/>
  <c r="S53" i="10"/>
  <c r="T53" i="10"/>
  <c r="U53" i="10"/>
  <c r="V53" i="10"/>
  <c r="Z53" i="10" s="1"/>
  <c r="Q54" i="10"/>
  <c r="U54" i="10" s="1"/>
  <c r="R54" i="10"/>
  <c r="S54" i="10"/>
  <c r="Q57" i="10"/>
  <c r="T57" i="10" s="1"/>
  <c r="X57" i="10" s="1"/>
  <c r="R57" i="10"/>
  <c r="S57" i="10"/>
  <c r="Q58" i="10"/>
  <c r="T58" i="10" s="1"/>
  <c r="R58" i="10"/>
  <c r="S58" i="10"/>
  <c r="Q59" i="10"/>
  <c r="R59" i="10"/>
  <c r="S59" i="10"/>
  <c r="T59" i="10"/>
  <c r="V59" i="10" s="1"/>
  <c r="U59" i="10"/>
  <c r="Q60" i="10"/>
  <c r="R60" i="10"/>
  <c r="S60" i="10"/>
  <c r="T60" i="10"/>
  <c r="V60" i="10" s="1"/>
  <c r="U60" i="10"/>
  <c r="Q61" i="10"/>
  <c r="R61" i="10"/>
  <c r="S61" i="10"/>
  <c r="T61" i="10"/>
  <c r="U61" i="10"/>
  <c r="V61" i="10"/>
  <c r="Q62" i="10"/>
  <c r="U62" i="10" s="1"/>
  <c r="R62" i="10"/>
  <c r="S62" i="10"/>
  <c r="Q63" i="10"/>
  <c r="R63" i="10"/>
  <c r="S63" i="10"/>
  <c r="T63" i="10"/>
  <c r="V63" i="10" s="1"/>
  <c r="U63" i="10"/>
  <c r="Q66" i="10"/>
  <c r="R66" i="10"/>
  <c r="S66" i="10"/>
  <c r="T66" i="10"/>
  <c r="W66" i="10" s="1"/>
  <c r="U66" i="10"/>
  <c r="V66" i="10"/>
  <c r="Y66" i="10" s="1"/>
  <c r="Q67" i="10"/>
  <c r="T67" i="10" s="1"/>
  <c r="R67" i="10"/>
  <c r="S67" i="10"/>
  <c r="Q68" i="10"/>
  <c r="T68" i="10" s="1"/>
  <c r="R68" i="10"/>
  <c r="S68" i="10"/>
  <c r="Q71" i="10"/>
  <c r="R71" i="10"/>
  <c r="S71" i="10"/>
  <c r="T71" i="10"/>
  <c r="X71" i="10" s="1"/>
  <c r="U71" i="10"/>
  <c r="V71" i="10"/>
  <c r="Y71" i="10" s="1"/>
  <c r="Q72" i="10"/>
  <c r="T72" i="10" s="1"/>
  <c r="R72" i="10"/>
  <c r="S72" i="10"/>
  <c r="Q73" i="10"/>
  <c r="T73" i="10" s="1"/>
  <c r="R73" i="10"/>
  <c r="S73" i="10"/>
  <c r="Q74" i="10"/>
  <c r="R74" i="10"/>
  <c r="S74" i="10"/>
  <c r="T74" i="10"/>
  <c r="U74" i="10"/>
  <c r="V74" i="10"/>
  <c r="Q75" i="10"/>
  <c r="T75" i="10" s="1"/>
  <c r="R75" i="10"/>
  <c r="S75" i="10"/>
  <c r="Q76" i="10"/>
  <c r="T76" i="10" s="1"/>
  <c r="R76" i="10"/>
  <c r="S76" i="10"/>
  <c r="Q77" i="10"/>
  <c r="R77" i="10"/>
  <c r="S77" i="10"/>
  <c r="T77" i="10"/>
  <c r="U77" i="10"/>
  <c r="V77" i="10"/>
  <c r="Q78" i="10"/>
  <c r="U78" i="10" s="1"/>
  <c r="R78" i="10"/>
  <c r="S78" i="10"/>
  <c r="T78" i="10"/>
  <c r="V78" i="10" s="1"/>
  <c r="Q79" i="10"/>
  <c r="T79" i="10" s="1"/>
  <c r="R79" i="10"/>
  <c r="S79" i="10"/>
  <c r="Q80" i="10"/>
  <c r="R80" i="10"/>
  <c r="S80" i="10"/>
  <c r="T80" i="10"/>
  <c r="U80" i="10"/>
  <c r="V80" i="10"/>
  <c r="Q83" i="10"/>
  <c r="R83" i="10"/>
  <c r="S83" i="10"/>
  <c r="T83" i="10"/>
  <c r="V83" i="10" s="1"/>
  <c r="U83" i="10"/>
  <c r="Q84" i="10"/>
  <c r="R84" i="10"/>
  <c r="S84" i="10"/>
  <c r="T84" i="10"/>
  <c r="U84" i="10"/>
  <c r="V84" i="10"/>
  <c r="Q85" i="10"/>
  <c r="U85" i="10" s="1"/>
  <c r="R85" i="10"/>
  <c r="S85" i="10"/>
  <c r="T85" i="10"/>
  <c r="V85" i="10" s="1"/>
  <c r="Q86" i="10"/>
  <c r="U86" i="10" s="1"/>
  <c r="R86" i="10"/>
  <c r="S86" i="10"/>
  <c r="Q87" i="10"/>
  <c r="R87" i="10"/>
  <c r="S87" i="10"/>
  <c r="T87" i="10"/>
  <c r="U87" i="10"/>
  <c r="V87" i="10"/>
  <c r="Q88" i="10"/>
  <c r="U88" i="10" s="1"/>
  <c r="R88" i="10"/>
  <c r="S88" i="10"/>
  <c r="T88" i="10"/>
  <c r="Q91" i="10"/>
  <c r="T91" i="10" s="1"/>
  <c r="R91" i="10"/>
  <c r="S91" i="10"/>
  <c r="Q92" i="10"/>
  <c r="R92" i="10"/>
  <c r="S92" i="10"/>
  <c r="T92" i="10"/>
  <c r="U92" i="10"/>
  <c r="V92" i="10"/>
  <c r="Q93" i="10"/>
  <c r="T93" i="10" s="1"/>
  <c r="R93" i="10"/>
  <c r="S93" i="10"/>
  <c r="Q94" i="10"/>
  <c r="U94" i="10" s="1"/>
  <c r="R94" i="10"/>
  <c r="S94" i="10"/>
  <c r="Q95" i="10"/>
  <c r="R95" i="10"/>
  <c r="S95" i="10"/>
  <c r="T95" i="10"/>
  <c r="U95" i="10"/>
  <c r="V95" i="10"/>
  <c r="Q96" i="10"/>
  <c r="T96" i="10" s="1"/>
  <c r="R96" i="10"/>
  <c r="S96" i="10"/>
  <c r="Q97" i="10"/>
  <c r="T97" i="10" s="1"/>
  <c r="R97" i="10"/>
  <c r="S97" i="10"/>
  <c r="Q98" i="10"/>
  <c r="R98" i="10"/>
  <c r="S98" i="10"/>
  <c r="T98" i="10"/>
  <c r="U98" i="10"/>
  <c r="V98" i="10"/>
  <c r="Q99" i="10"/>
  <c r="T99" i="10" s="1"/>
  <c r="R99" i="10"/>
  <c r="S99" i="10"/>
  <c r="U3" i="10"/>
  <c r="V3" i="10" s="1"/>
  <c r="T3" i="10"/>
  <c r="X3" i="10" s="1"/>
  <c r="S3" i="10"/>
  <c r="R3" i="10"/>
  <c r="Q3" i="10"/>
  <c r="AE13" i="9"/>
  <c r="AE29" i="9"/>
  <c r="AD4" i="9"/>
  <c r="AD5" i="9"/>
  <c r="AD8" i="9"/>
  <c r="AD9" i="9"/>
  <c r="AE9" i="9" s="1"/>
  <c r="AD10" i="9"/>
  <c r="AD11" i="9"/>
  <c r="AD12" i="9"/>
  <c r="AD13" i="9"/>
  <c r="AD20" i="9"/>
  <c r="AD21" i="9"/>
  <c r="AD24" i="9"/>
  <c r="AD25" i="9"/>
  <c r="AE25" i="9" s="1"/>
  <c r="AD26" i="9"/>
  <c r="AD28" i="9"/>
  <c r="AD29" i="9"/>
  <c r="AD32" i="9"/>
  <c r="AD2" i="9"/>
  <c r="Y2" i="9"/>
  <c r="X2" i="9"/>
  <c r="W2" i="9"/>
  <c r="V2" i="9"/>
  <c r="R3" i="9"/>
  <c r="U3" i="9" s="1"/>
  <c r="S3" i="9"/>
  <c r="T3" i="9"/>
  <c r="R4" i="9"/>
  <c r="U4" i="9" s="1"/>
  <c r="AE4" i="9" s="1"/>
  <c r="S4" i="9"/>
  <c r="T4" i="9"/>
  <c r="R5" i="9"/>
  <c r="S5" i="9"/>
  <c r="T5" i="9"/>
  <c r="U5" i="9"/>
  <c r="AE5" i="9" s="1"/>
  <c r="R6" i="9"/>
  <c r="AD6" i="9" s="1"/>
  <c r="S6" i="9"/>
  <c r="T6" i="9"/>
  <c r="R7" i="9"/>
  <c r="U7" i="9" s="1"/>
  <c r="S7" i="9"/>
  <c r="T7" i="9"/>
  <c r="R8" i="9"/>
  <c r="U8" i="9" s="1"/>
  <c r="AE8" i="9" s="1"/>
  <c r="S8" i="9"/>
  <c r="T8" i="9"/>
  <c r="R9" i="9"/>
  <c r="S9" i="9"/>
  <c r="T9" i="9"/>
  <c r="U9" i="9"/>
  <c r="R10" i="9"/>
  <c r="S10" i="9"/>
  <c r="T10" i="9"/>
  <c r="U10" i="9"/>
  <c r="AE10" i="9" s="1"/>
  <c r="R11" i="9"/>
  <c r="U11" i="9" s="1"/>
  <c r="AE11" i="9" s="1"/>
  <c r="S11" i="9"/>
  <c r="T11" i="9"/>
  <c r="R12" i="9"/>
  <c r="U12" i="9" s="1"/>
  <c r="AE12" i="9" s="1"/>
  <c r="S12" i="9"/>
  <c r="T12" i="9"/>
  <c r="R13" i="9"/>
  <c r="S13" i="9"/>
  <c r="T13" i="9"/>
  <c r="U13" i="9"/>
  <c r="R14" i="9"/>
  <c r="AD14" i="9" s="1"/>
  <c r="S14" i="9"/>
  <c r="T14" i="9"/>
  <c r="U14" i="9"/>
  <c r="R15" i="9"/>
  <c r="AD15" i="9" s="1"/>
  <c r="S15" i="9"/>
  <c r="T15" i="9"/>
  <c r="R16" i="9"/>
  <c r="AD16" i="9" s="1"/>
  <c r="S16" i="9"/>
  <c r="T16" i="9"/>
  <c r="R17" i="9"/>
  <c r="AD17" i="9" s="1"/>
  <c r="S17" i="9"/>
  <c r="T17" i="9"/>
  <c r="U17" i="9"/>
  <c r="AE17" i="9" s="1"/>
  <c r="R18" i="9"/>
  <c r="AD18" i="9" s="1"/>
  <c r="S18" i="9"/>
  <c r="T18" i="9"/>
  <c r="U18" i="9" s="1"/>
  <c r="AE18" i="9" s="1"/>
  <c r="R19" i="9"/>
  <c r="U19" i="9" s="1"/>
  <c r="S19" i="9"/>
  <c r="T19" i="9"/>
  <c r="R20" i="9"/>
  <c r="U20" i="9" s="1"/>
  <c r="AE20" i="9" s="1"/>
  <c r="S20" i="9"/>
  <c r="T20" i="9"/>
  <c r="R21" i="9"/>
  <c r="S21" i="9"/>
  <c r="T21" i="9"/>
  <c r="U21" i="9"/>
  <c r="AE21" i="9" s="1"/>
  <c r="R22" i="9"/>
  <c r="AD22" i="9" s="1"/>
  <c r="S22" i="9"/>
  <c r="T22" i="9"/>
  <c r="U22" i="9"/>
  <c r="AE22" i="9" s="1"/>
  <c r="R23" i="9"/>
  <c r="AD23" i="9" s="1"/>
  <c r="S23" i="9"/>
  <c r="T23" i="9"/>
  <c r="R24" i="9"/>
  <c r="U24" i="9" s="1"/>
  <c r="AE24" i="9" s="1"/>
  <c r="S24" i="9"/>
  <c r="T24" i="9"/>
  <c r="R25" i="9"/>
  <c r="S25" i="9"/>
  <c r="T25" i="9"/>
  <c r="U25" i="9"/>
  <c r="R26" i="9"/>
  <c r="S26" i="9"/>
  <c r="T26" i="9"/>
  <c r="U26" i="9"/>
  <c r="AE26" i="9" s="1"/>
  <c r="R27" i="9"/>
  <c r="U27" i="9" s="1"/>
  <c r="S27" i="9"/>
  <c r="T27" i="9"/>
  <c r="R28" i="9"/>
  <c r="U28" i="9" s="1"/>
  <c r="AE28" i="9" s="1"/>
  <c r="S28" i="9"/>
  <c r="T28" i="9"/>
  <c r="R29" i="9"/>
  <c r="S29" i="9"/>
  <c r="T29" i="9"/>
  <c r="U29" i="9"/>
  <c r="R30" i="9"/>
  <c r="AD30" i="9" s="1"/>
  <c r="S30" i="9"/>
  <c r="T30" i="9"/>
  <c r="U30" i="9"/>
  <c r="AE30" i="9" s="1"/>
  <c r="R31" i="9"/>
  <c r="U31" i="9" s="1"/>
  <c r="S31" i="9"/>
  <c r="T31" i="9"/>
  <c r="R32" i="9"/>
  <c r="U32" i="9" s="1"/>
  <c r="AE32" i="9" s="1"/>
  <c r="S32" i="9"/>
  <c r="T32" i="9"/>
  <c r="R33" i="9"/>
  <c r="AD33" i="9" s="1"/>
  <c r="S33" i="9"/>
  <c r="T33" i="9"/>
  <c r="U33" i="9"/>
  <c r="AE33" i="9" s="1"/>
  <c r="R34" i="9"/>
  <c r="AD34" i="9" s="1"/>
  <c r="S34" i="9"/>
  <c r="T34" i="9"/>
  <c r="U34" i="9"/>
  <c r="AE34" i="9" s="1"/>
  <c r="U2" i="9"/>
  <c r="AE2" i="9" s="1"/>
  <c r="T2" i="9"/>
  <c r="AA2" i="9" s="1"/>
  <c r="S2" i="9"/>
  <c r="R2" i="9"/>
  <c r="V14" i="8"/>
  <c r="Y14" i="8"/>
  <c r="W14" i="8"/>
  <c r="Q9" i="8"/>
  <c r="U9" i="8" s="1"/>
  <c r="R9" i="8"/>
  <c r="W9" i="8" s="1"/>
  <c r="S9" i="8"/>
  <c r="Y9" i="8" s="1"/>
  <c r="Q10" i="8"/>
  <c r="R10" i="8"/>
  <c r="S10" i="8"/>
  <c r="Q14" i="8"/>
  <c r="U14" i="8" s="1"/>
  <c r="R14" i="8"/>
  <c r="X14" i="8" s="1"/>
  <c r="S14" i="8"/>
  <c r="Z14" i="8" s="1"/>
  <c r="Q15" i="8"/>
  <c r="R15" i="8"/>
  <c r="S15" i="8"/>
  <c r="Q16" i="8"/>
  <c r="R16" i="8"/>
  <c r="S16" i="8"/>
  <c r="S4" i="8"/>
  <c r="R4" i="8"/>
  <c r="Q4" i="8"/>
  <c r="AE32" i="7"/>
  <c r="AD32" i="7"/>
  <c r="AA32" i="7"/>
  <c r="Z32" i="7"/>
  <c r="Y32" i="7"/>
  <c r="X32" i="7"/>
  <c r="W32" i="7"/>
  <c r="AD24" i="7"/>
  <c r="AC24" i="7"/>
  <c r="AB24" i="7"/>
  <c r="X24" i="7"/>
  <c r="AD17" i="7"/>
  <c r="AC17" i="7"/>
  <c r="AB17" i="7"/>
  <c r="AA17" i="7"/>
  <c r="Y17" i="7"/>
  <c r="X17" i="7"/>
  <c r="W17" i="7"/>
  <c r="AF10" i="7"/>
  <c r="AE10" i="7"/>
  <c r="AD10" i="7"/>
  <c r="AC10" i="7"/>
  <c r="AB10" i="7"/>
  <c r="AA10" i="7"/>
  <c r="Z10" i="7"/>
  <c r="Y10" i="7"/>
  <c r="X10" i="7"/>
  <c r="W10" i="7"/>
  <c r="AF3" i="7"/>
  <c r="AE3" i="7"/>
  <c r="AD3" i="7"/>
  <c r="AC3" i="7"/>
  <c r="AB3" i="7"/>
  <c r="AA3" i="7"/>
  <c r="Z3" i="7"/>
  <c r="Y3" i="7"/>
  <c r="X3" i="7"/>
  <c r="W3" i="7"/>
  <c r="Q4" i="7"/>
  <c r="U4" i="7" s="1"/>
  <c r="R4" i="7"/>
  <c r="S4" i="7"/>
  <c r="T4" i="7"/>
  <c r="V4" i="7" s="1"/>
  <c r="Q5" i="7"/>
  <c r="R5" i="7"/>
  <c r="S5" i="7"/>
  <c r="T5" i="7"/>
  <c r="V5" i="7" s="1"/>
  <c r="U5" i="7"/>
  <c r="Q6" i="7"/>
  <c r="U6" i="7" s="1"/>
  <c r="R6" i="7"/>
  <c r="S6" i="7"/>
  <c r="T6" i="7"/>
  <c r="V6" i="7" s="1"/>
  <c r="Q10" i="7"/>
  <c r="R10" i="7"/>
  <c r="S10" i="7"/>
  <c r="T10" i="7"/>
  <c r="V10" i="7" s="1"/>
  <c r="U10" i="7"/>
  <c r="Q11" i="7"/>
  <c r="T11" i="7" s="1"/>
  <c r="R11" i="7"/>
  <c r="S11" i="7"/>
  <c r="Q12" i="7"/>
  <c r="U12" i="7" s="1"/>
  <c r="R12" i="7"/>
  <c r="S12" i="7"/>
  <c r="T12" i="7"/>
  <c r="Q13" i="7"/>
  <c r="R13" i="7"/>
  <c r="S13" i="7"/>
  <c r="T13" i="7"/>
  <c r="V13" i="7" s="1"/>
  <c r="U13" i="7"/>
  <c r="Q17" i="7"/>
  <c r="T17" i="7" s="1"/>
  <c r="R17" i="7"/>
  <c r="Z17" i="7" s="1"/>
  <c r="S17" i="7"/>
  <c r="Q18" i="7"/>
  <c r="R18" i="7"/>
  <c r="S18" i="7"/>
  <c r="T18" i="7"/>
  <c r="U18" i="7"/>
  <c r="V18" i="7"/>
  <c r="Q19" i="7"/>
  <c r="T19" i="7" s="1"/>
  <c r="R19" i="7"/>
  <c r="S19" i="7"/>
  <c r="Q20" i="7"/>
  <c r="U20" i="7" s="1"/>
  <c r="R20" i="7"/>
  <c r="S20" i="7"/>
  <c r="Q24" i="7"/>
  <c r="U24" i="7" s="1"/>
  <c r="R24" i="7"/>
  <c r="T24" i="7" s="1"/>
  <c r="S24" i="7"/>
  <c r="AA24" i="7" s="1"/>
  <c r="Q25" i="7"/>
  <c r="T25" i="7" s="1"/>
  <c r="R25" i="7"/>
  <c r="S25" i="7"/>
  <c r="Q26" i="7"/>
  <c r="U26" i="7" s="1"/>
  <c r="R26" i="7"/>
  <c r="S26" i="7"/>
  <c r="T26" i="7"/>
  <c r="V26" i="7" s="1"/>
  <c r="Q27" i="7"/>
  <c r="T27" i="7" s="1"/>
  <c r="R27" i="7"/>
  <c r="S27" i="7"/>
  <c r="Q32" i="7"/>
  <c r="U32" i="7" s="1"/>
  <c r="R32" i="7"/>
  <c r="T32" i="7" s="1"/>
  <c r="V32" i="7" s="1"/>
  <c r="AF32" i="7" s="1"/>
  <c r="S32" i="7"/>
  <c r="AB32" i="7" s="1"/>
  <c r="Q33" i="7"/>
  <c r="T33" i="7" s="1"/>
  <c r="R33" i="7"/>
  <c r="S33" i="7"/>
  <c r="Q34" i="7"/>
  <c r="R34" i="7"/>
  <c r="S34" i="7"/>
  <c r="T34" i="7"/>
  <c r="V34" i="7" s="1"/>
  <c r="U34" i="7"/>
  <c r="Q35" i="7"/>
  <c r="T35" i="7" s="1"/>
  <c r="R35" i="7"/>
  <c r="S35" i="7"/>
  <c r="Q36" i="7"/>
  <c r="U36" i="7" s="1"/>
  <c r="R36" i="7"/>
  <c r="S36" i="7"/>
  <c r="Q37" i="7"/>
  <c r="R37" i="7"/>
  <c r="S37" i="7"/>
  <c r="T37" i="7"/>
  <c r="U37" i="7"/>
  <c r="V3" i="7"/>
  <c r="U3" i="7"/>
  <c r="T3" i="7"/>
  <c r="S3" i="7"/>
  <c r="R3" i="7"/>
  <c r="Q3" i="7"/>
  <c r="AC7" i="6"/>
  <c r="U17" i="6"/>
  <c r="W31" i="6"/>
  <c r="X24" i="6"/>
  <c r="W24" i="6"/>
  <c r="T6" i="6"/>
  <c r="U6" i="6"/>
  <c r="V6" i="6"/>
  <c r="T10" i="6"/>
  <c r="U10" i="6"/>
  <c r="U24" i="6"/>
  <c r="T32" i="6"/>
  <c r="U33" i="6"/>
  <c r="U3" i="6"/>
  <c r="T3" i="6"/>
  <c r="X3" i="6" s="1"/>
  <c r="Q4" i="6"/>
  <c r="T4" i="6" s="1"/>
  <c r="R4" i="6"/>
  <c r="S4" i="6"/>
  <c r="Q5" i="6"/>
  <c r="T5" i="6" s="1"/>
  <c r="R5" i="6"/>
  <c r="S5" i="6"/>
  <c r="Q6" i="6"/>
  <c r="R6" i="6"/>
  <c r="S6" i="6"/>
  <c r="Q10" i="6"/>
  <c r="R10" i="6"/>
  <c r="S10" i="6"/>
  <c r="Q11" i="6"/>
  <c r="T11" i="6" s="1"/>
  <c r="R11" i="6"/>
  <c r="S11" i="6"/>
  <c r="Q12" i="6"/>
  <c r="R12" i="6"/>
  <c r="S12" i="6"/>
  <c r="Q13" i="6"/>
  <c r="T13" i="6" s="1"/>
  <c r="R13" i="6"/>
  <c r="S13" i="6"/>
  <c r="Q17" i="6"/>
  <c r="T17" i="6" s="1"/>
  <c r="R17" i="6"/>
  <c r="AF7" i="6" s="1"/>
  <c r="S17" i="6"/>
  <c r="AH7" i="6" s="1"/>
  <c r="Q18" i="6"/>
  <c r="T18" i="6" s="1"/>
  <c r="R18" i="6"/>
  <c r="S18" i="6"/>
  <c r="Q19" i="6"/>
  <c r="T19" i="6" s="1"/>
  <c r="R19" i="6"/>
  <c r="S19" i="6"/>
  <c r="Q20" i="6"/>
  <c r="U20" i="6" s="1"/>
  <c r="R20" i="6"/>
  <c r="S20" i="6"/>
  <c r="Q24" i="6"/>
  <c r="R24" i="6"/>
  <c r="S24" i="6"/>
  <c r="T24" i="6" s="1"/>
  <c r="Q25" i="6"/>
  <c r="R25" i="6"/>
  <c r="T25" i="6" s="1"/>
  <c r="S25" i="6"/>
  <c r="Q26" i="6"/>
  <c r="T26" i="6" s="1"/>
  <c r="R26" i="6"/>
  <c r="S26" i="6"/>
  <c r="U26" i="6" s="1"/>
  <c r="Q27" i="6"/>
  <c r="T27" i="6" s="1"/>
  <c r="R27" i="6"/>
  <c r="U27" i="6" s="1"/>
  <c r="S27" i="6"/>
  <c r="Q31" i="6"/>
  <c r="T31" i="6" s="1"/>
  <c r="X31" i="6" s="1"/>
  <c r="R31" i="6"/>
  <c r="U31" i="6" s="1"/>
  <c r="S31" i="6"/>
  <c r="Q32" i="6"/>
  <c r="U32" i="6" s="1"/>
  <c r="R32" i="6"/>
  <c r="S32" i="6"/>
  <c r="Q33" i="6"/>
  <c r="T33" i="6" s="1"/>
  <c r="R33" i="6"/>
  <c r="S33" i="6"/>
  <c r="Q34" i="6"/>
  <c r="T34" i="6" s="1"/>
  <c r="R34" i="6"/>
  <c r="S34" i="6"/>
  <c r="U34" i="6" s="1"/>
  <c r="Q35" i="6"/>
  <c r="U35" i="6" s="1"/>
  <c r="R35" i="6"/>
  <c r="S35" i="6"/>
  <c r="Q36" i="6"/>
  <c r="U36" i="6" s="1"/>
  <c r="R36" i="6"/>
  <c r="S36" i="6"/>
  <c r="S3" i="6"/>
  <c r="R3" i="6"/>
  <c r="Q3" i="6"/>
  <c r="U86" i="5"/>
  <c r="S4" i="5"/>
  <c r="S5" i="5"/>
  <c r="S6" i="5"/>
  <c r="S7" i="5"/>
  <c r="S8" i="5"/>
  <c r="S9" i="5"/>
  <c r="S10" i="5"/>
  <c r="S11" i="5"/>
  <c r="S12" i="5"/>
  <c r="S16" i="5"/>
  <c r="S17" i="5"/>
  <c r="S18" i="5"/>
  <c r="S28" i="5"/>
  <c r="S29" i="5"/>
  <c r="S30" i="5"/>
  <c r="S34" i="5"/>
  <c r="S35" i="5"/>
  <c r="S36" i="5"/>
  <c r="S37" i="5"/>
  <c r="S38" i="5"/>
  <c r="S39" i="5"/>
  <c r="S40" i="5"/>
  <c r="S41" i="5"/>
  <c r="S42" i="5"/>
  <c r="S46" i="5"/>
  <c r="S47" i="5"/>
  <c r="S48" i="5"/>
  <c r="S49" i="5"/>
  <c r="S50" i="5"/>
  <c r="S51" i="5"/>
  <c r="S52" i="5"/>
  <c r="S53" i="5"/>
  <c r="S54" i="5"/>
  <c r="S58" i="5"/>
  <c r="S59" i="5"/>
  <c r="S63" i="5"/>
  <c r="S64" i="5"/>
  <c r="S65" i="5"/>
  <c r="S66" i="5"/>
  <c r="S67" i="5"/>
  <c r="S68" i="5"/>
  <c r="S69" i="5"/>
  <c r="S73" i="5"/>
  <c r="S74" i="5"/>
  <c r="S75" i="5"/>
  <c r="S79" i="5"/>
  <c r="S80" i="5"/>
  <c r="S81" i="5"/>
  <c r="S82" i="5"/>
  <c r="S83" i="5"/>
  <c r="S84" i="5"/>
  <c r="S85" i="5"/>
  <c r="S86" i="5"/>
  <c r="S87" i="5"/>
  <c r="S88" i="5"/>
  <c r="S92" i="5"/>
  <c r="AN13" i="5" s="1"/>
  <c r="S93" i="5"/>
  <c r="S94" i="5"/>
  <c r="S95" i="5"/>
  <c r="S96" i="5"/>
  <c r="S97" i="5"/>
  <c r="S101" i="5"/>
  <c r="S102" i="5"/>
  <c r="S103" i="5"/>
  <c r="S104" i="5"/>
  <c r="S105" i="5"/>
  <c r="S106" i="5"/>
  <c r="S107" i="5"/>
  <c r="S108" i="5"/>
  <c r="S109" i="5"/>
  <c r="S3" i="5"/>
  <c r="R4" i="5"/>
  <c r="R5" i="5"/>
  <c r="R6" i="5"/>
  <c r="R7" i="5"/>
  <c r="R8" i="5"/>
  <c r="R9" i="5"/>
  <c r="R10" i="5"/>
  <c r="R11" i="5"/>
  <c r="R12" i="5"/>
  <c r="R16" i="5"/>
  <c r="R17" i="5"/>
  <c r="R18" i="5"/>
  <c r="R28" i="5"/>
  <c r="R29" i="5"/>
  <c r="R30" i="5"/>
  <c r="R34" i="5"/>
  <c r="R35" i="5"/>
  <c r="R36" i="5"/>
  <c r="R37" i="5"/>
  <c r="R38" i="5"/>
  <c r="R39" i="5"/>
  <c r="R40" i="5"/>
  <c r="R41" i="5"/>
  <c r="R42" i="5"/>
  <c r="R46" i="5"/>
  <c r="R47" i="5"/>
  <c r="R48" i="5"/>
  <c r="R49" i="5"/>
  <c r="R50" i="5"/>
  <c r="R51" i="5"/>
  <c r="R52" i="5"/>
  <c r="R53" i="5"/>
  <c r="R54" i="5"/>
  <c r="R58" i="5"/>
  <c r="R59" i="5"/>
  <c r="R63" i="5"/>
  <c r="R64" i="5"/>
  <c r="R65" i="5"/>
  <c r="R66" i="5"/>
  <c r="R67" i="5"/>
  <c r="R68" i="5"/>
  <c r="R69" i="5"/>
  <c r="R73" i="5"/>
  <c r="R74" i="5"/>
  <c r="R75" i="5"/>
  <c r="R79" i="5"/>
  <c r="R80" i="5"/>
  <c r="R81" i="5"/>
  <c r="R82" i="5"/>
  <c r="R83" i="5"/>
  <c r="R84" i="5"/>
  <c r="R85" i="5"/>
  <c r="R86" i="5"/>
  <c r="R87" i="5"/>
  <c r="R88" i="5"/>
  <c r="R92" i="5"/>
  <c r="AK13" i="5" s="1"/>
  <c r="R93" i="5"/>
  <c r="R94" i="5"/>
  <c r="R95" i="5"/>
  <c r="R96" i="5"/>
  <c r="R97" i="5"/>
  <c r="R101" i="5"/>
  <c r="R102" i="5"/>
  <c r="R103" i="5"/>
  <c r="R104" i="5"/>
  <c r="R105" i="5"/>
  <c r="R106" i="5"/>
  <c r="R107" i="5"/>
  <c r="R108" i="5"/>
  <c r="R109" i="5"/>
  <c r="R3" i="5"/>
  <c r="Q4" i="5"/>
  <c r="T4" i="5" s="1"/>
  <c r="Q5" i="5"/>
  <c r="Q6" i="5"/>
  <c r="Q7" i="5"/>
  <c r="Q8" i="5"/>
  <c r="Q9" i="5"/>
  <c r="T9" i="5" s="1"/>
  <c r="Q10" i="5"/>
  <c r="T10" i="5" s="1"/>
  <c r="Q11" i="5"/>
  <c r="T11" i="5" s="1"/>
  <c r="Q12" i="5"/>
  <c r="U12" i="5" s="1"/>
  <c r="Q16" i="5"/>
  <c r="Q17" i="5"/>
  <c r="T17" i="5" s="1"/>
  <c r="Q18" i="5"/>
  <c r="T18" i="5" s="1"/>
  <c r="Q28" i="5"/>
  <c r="Q29" i="5"/>
  <c r="Q30" i="5"/>
  <c r="Q34" i="5"/>
  <c r="T34" i="5" s="1"/>
  <c r="AD34" i="5" s="1"/>
  <c r="Q35" i="5"/>
  <c r="T35" i="5" s="1"/>
  <c r="Q36" i="5"/>
  <c r="T36" i="5" s="1"/>
  <c r="Q37" i="5"/>
  <c r="U37" i="5" s="1"/>
  <c r="Q38" i="5"/>
  <c r="T38" i="5" s="1"/>
  <c r="Q39" i="5"/>
  <c r="T39" i="5" s="1"/>
  <c r="Q40" i="5"/>
  <c r="U40" i="5" s="1"/>
  <c r="Q41" i="5"/>
  <c r="T41" i="5" s="1"/>
  <c r="Q42" i="5"/>
  <c r="U42" i="5" s="1"/>
  <c r="Q46" i="5"/>
  <c r="U46" i="5" s="1"/>
  <c r="Q47" i="5"/>
  <c r="U47" i="5" s="1"/>
  <c r="Q48" i="5"/>
  <c r="T48" i="5" s="1"/>
  <c r="Q49" i="5"/>
  <c r="Q50" i="5"/>
  <c r="Q51" i="5"/>
  <c r="Q52" i="5"/>
  <c r="Q53" i="5"/>
  <c r="T53" i="5" s="1"/>
  <c r="Q54" i="5"/>
  <c r="T54" i="5" s="1"/>
  <c r="Q58" i="5"/>
  <c r="T58" i="5" s="1"/>
  <c r="AD58" i="5" s="1"/>
  <c r="Q59" i="5"/>
  <c r="U59" i="5" s="1"/>
  <c r="Q63" i="5"/>
  <c r="U63" i="5" s="1"/>
  <c r="Q64" i="5"/>
  <c r="T64" i="5" s="1"/>
  <c r="Q65" i="5"/>
  <c r="T65" i="5" s="1"/>
  <c r="Q66" i="5"/>
  <c r="U66" i="5" s="1"/>
  <c r="Q67" i="5"/>
  <c r="U67" i="5" s="1"/>
  <c r="Q68" i="5"/>
  <c r="U68" i="5" s="1"/>
  <c r="Q69" i="5"/>
  <c r="U69" i="5" s="1"/>
  <c r="Q73" i="5"/>
  <c r="T73" i="5" s="1"/>
  <c r="Q74" i="5"/>
  <c r="Q75" i="5"/>
  <c r="Q79" i="5"/>
  <c r="Q80" i="5"/>
  <c r="T80" i="5" s="1"/>
  <c r="Q81" i="5"/>
  <c r="T81" i="5" s="1"/>
  <c r="Q82" i="5"/>
  <c r="T82" i="5" s="1"/>
  <c r="Q83" i="5"/>
  <c r="T83" i="5" s="1"/>
  <c r="Q84" i="5"/>
  <c r="U84" i="5" s="1"/>
  <c r="Q85" i="5"/>
  <c r="T85" i="5" s="1"/>
  <c r="Q86" i="5"/>
  <c r="T86" i="5" s="1"/>
  <c r="Q87" i="5"/>
  <c r="U87" i="5" s="1"/>
  <c r="Q88" i="5"/>
  <c r="U88" i="5" s="1"/>
  <c r="Q92" i="5"/>
  <c r="U92" i="5" s="1"/>
  <c r="Q93" i="5"/>
  <c r="U93" i="5" s="1"/>
  <c r="Q94" i="5"/>
  <c r="U94" i="5" s="1"/>
  <c r="Q95" i="5"/>
  <c r="T95" i="5" s="1"/>
  <c r="Q96" i="5"/>
  <c r="Q97" i="5"/>
  <c r="Q101" i="5"/>
  <c r="Q102" i="5"/>
  <c r="Q103" i="5"/>
  <c r="T103" i="5" s="1"/>
  <c r="Q104" i="5"/>
  <c r="T104" i="5" s="1"/>
  <c r="Q105" i="5"/>
  <c r="T105" i="5" s="1"/>
  <c r="Q106" i="5"/>
  <c r="U106" i="5" s="1"/>
  <c r="Q107" i="5"/>
  <c r="U107" i="5" s="1"/>
  <c r="Q108" i="5"/>
  <c r="T108" i="5" s="1"/>
  <c r="Q109" i="5"/>
  <c r="T109" i="5" s="1"/>
  <c r="Q3" i="5"/>
  <c r="T3" i="5" s="1"/>
  <c r="AC8" i="14" l="1"/>
  <c r="AD8" i="14" s="1"/>
  <c r="AC5" i="14"/>
  <c r="AD5" i="14" s="1"/>
  <c r="AD4" i="13"/>
  <c r="AC4" i="13"/>
  <c r="AC5" i="12"/>
  <c r="AD5" i="12" s="1"/>
  <c r="AD6" i="11"/>
  <c r="AC9" i="11"/>
  <c r="AD9" i="11" s="1"/>
  <c r="AN12" i="5"/>
  <c r="AL12" i="5"/>
  <c r="AJ12" i="5"/>
  <c r="V4" i="2"/>
  <c r="U4" i="2"/>
  <c r="AK12" i="5"/>
  <c r="T87" i="5"/>
  <c r="V87" i="5" s="1"/>
  <c r="T84" i="5"/>
  <c r="V84" i="5" s="1"/>
  <c r="T59" i="5"/>
  <c r="V59" i="5" s="1"/>
  <c r="T16" i="5"/>
  <c r="AC16" i="5" s="1"/>
  <c r="T12" i="5"/>
  <c r="V12" i="5" s="1"/>
  <c r="U3" i="5"/>
  <c r="V3" i="5" s="1"/>
  <c r="U109" i="5"/>
  <c r="V109" i="5" s="1"/>
  <c r="U108" i="5"/>
  <c r="V108" i="5" s="1"/>
  <c r="T92" i="5"/>
  <c r="AD92" i="5" s="1"/>
  <c r="AI13" i="5"/>
  <c r="T63" i="5"/>
  <c r="V63" i="5" s="1"/>
  <c r="U36" i="5"/>
  <c r="V36" i="5" s="1"/>
  <c r="U35" i="5"/>
  <c r="V35" i="5" s="1"/>
  <c r="U34" i="5"/>
  <c r="V34" i="5" s="1"/>
  <c r="AE34" i="5" s="1"/>
  <c r="T69" i="5"/>
  <c r="V69" i="5" s="1"/>
  <c r="T67" i="5"/>
  <c r="V67" i="5" s="1"/>
  <c r="U65" i="5"/>
  <c r="V65" i="5" s="1"/>
  <c r="T46" i="5"/>
  <c r="V46" i="5" s="1"/>
  <c r="AE46" i="5" s="1"/>
  <c r="T68" i="5"/>
  <c r="V68" i="5" s="1"/>
  <c r="V86" i="5"/>
  <c r="U64" i="5"/>
  <c r="V64" i="5" s="1"/>
  <c r="T47" i="5"/>
  <c r="V47" i="5" s="1"/>
  <c r="U39" i="5"/>
  <c r="V39" i="5" s="1"/>
  <c r="T42" i="5"/>
  <c r="V42" i="5" s="1"/>
  <c r="T40" i="5"/>
  <c r="V40" i="5" s="1"/>
  <c r="T107" i="5"/>
  <c r="V107" i="5" s="1"/>
  <c r="T37" i="5"/>
  <c r="V37" i="5" s="1"/>
  <c r="T106" i="5"/>
  <c r="V106" i="5" s="1"/>
  <c r="U18" i="5"/>
  <c r="T94" i="5"/>
  <c r="V94" i="5" s="1"/>
  <c r="T93" i="5"/>
  <c r="V93" i="5" s="1"/>
  <c r="U85" i="5"/>
  <c r="V85" i="5" s="1"/>
  <c r="AL13" i="5"/>
  <c r="U81" i="5"/>
  <c r="V81" i="5" s="1"/>
  <c r="U17" i="5"/>
  <c r="U83" i="5"/>
  <c r="V83" i="5" s="1"/>
  <c r="T66" i="5"/>
  <c r="V66" i="5" s="1"/>
  <c r="U82" i="5"/>
  <c r="V82" i="5" s="1"/>
  <c r="U16" i="5"/>
  <c r="U41" i="5"/>
  <c r="V41" i="5" s="1"/>
  <c r="T88" i="5"/>
  <c r="V88" i="5" s="1"/>
  <c r="U38" i="5"/>
  <c r="V38" i="5" s="1"/>
  <c r="AI12" i="5"/>
  <c r="T30" i="5"/>
  <c r="U30" i="5"/>
  <c r="T102" i="5"/>
  <c r="U102" i="5"/>
  <c r="U8" i="5"/>
  <c r="T8" i="5"/>
  <c r="T79" i="5"/>
  <c r="U79" i="5"/>
  <c r="T51" i="5"/>
  <c r="U51" i="5"/>
  <c r="AM13" i="5"/>
  <c r="T75" i="5"/>
  <c r="U75" i="5"/>
  <c r="T50" i="5"/>
  <c r="U50" i="5"/>
  <c r="T6" i="5"/>
  <c r="U6" i="5"/>
  <c r="T49" i="5"/>
  <c r="U49" i="5"/>
  <c r="AC34" i="5"/>
  <c r="U105" i="5"/>
  <c r="V105" i="5" s="1"/>
  <c r="U104" i="5"/>
  <c r="V104" i="5" s="1"/>
  <c r="U58" i="5"/>
  <c r="V58" i="5" s="1"/>
  <c r="U11" i="5"/>
  <c r="V11" i="5" s="1"/>
  <c r="U103" i="5"/>
  <c r="V103" i="5" s="1"/>
  <c r="U54" i="5"/>
  <c r="V54" i="5" s="1"/>
  <c r="U10" i="5"/>
  <c r="V10" i="5" s="1"/>
  <c r="AC58" i="5"/>
  <c r="U53" i="5"/>
  <c r="V53" i="5" s="1"/>
  <c r="U9" i="5"/>
  <c r="V9" i="5" s="1"/>
  <c r="U52" i="5"/>
  <c r="T52" i="5"/>
  <c r="V52" i="5" s="1"/>
  <c r="T29" i="5"/>
  <c r="U29" i="5"/>
  <c r="T97" i="5"/>
  <c r="U97" i="5"/>
  <c r="T74" i="5"/>
  <c r="U74" i="5"/>
  <c r="AD73" i="5"/>
  <c r="AC73" i="5"/>
  <c r="U80" i="5"/>
  <c r="V80" i="5" s="1"/>
  <c r="T101" i="5"/>
  <c r="U101" i="5"/>
  <c r="T7" i="5"/>
  <c r="U7" i="5"/>
  <c r="T28" i="5"/>
  <c r="U28" i="5"/>
  <c r="T96" i="5"/>
  <c r="U96" i="5"/>
  <c r="T5" i="5"/>
  <c r="U5" i="5"/>
  <c r="AD3" i="5"/>
  <c r="AC3" i="5"/>
  <c r="AM12" i="5"/>
  <c r="U95" i="5"/>
  <c r="V95" i="5" s="1"/>
  <c r="U73" i="5"/>
  <c r="V73" i="5" s="1"/>
  <c r="U48" i="5"/>
  <c r="V48" i="5" s="1"/>
  <c r="U4" i="5"/>
  <c r="V4" i="5" s="1"/>
  <c r="AJ13" i="5"/>
  <c r="X17" i="6"/>
  <c r="V17" i="6"/>
  <c r="W17" i="6"/>
  <c r="V11" i="6"/>
  <c r="V19" i="6"/>
  <c r="V10" i="6"/>
  <c r="V3" i="6"/>
  <c r="V27" i="6"/>
  <c r="W3" i="6"/>
  <c r="W10" i="6"/>
  <c r="U19" i="6"/>
  <c r="U18" i="6"/>
  <c r="V18" i="6" s="1"/>
  <c r="AD7" i="6"/>
  <c r="AE7" i="6"/>
  <c r="V33" i="6"/>
  <c r="V24" i="6"/>
  <c r="AG7" i="6"/>
  <c r="T12" i="6"/>
  <c r="U11" i="6"/>
  <c r="X10" i="6"/>
  <c r="T20" i="6"/>
  <c r="V20" i="6" s="1"/>
  <c r="V37" i="7"/>
  <c r="W24" i="7"/>
  <c r="AC32" i="7"/>
  <c r="T36" i="7"/>
  <c r="Y24" i="7"/>
  <c r="Z24" i="7"/>
  <c r="T20" i="7"/>
  <c r="AE27" i="9"/>
  <c r="AG2" i="9"/>
  <c r="AF2" i="9"/>
  <c r="AE14" i="9"/>
  <c r="Z2" i="9"/>
  <c r="AD7" i="9"/>
  <c r="AE7" i="9" s="1"/>
  <c r="AB2" i="9"/>
  <c r="AC2" i="9"/>
  <c r="U16" i="9"/>
  <c r="AE16" i="9" s="1"/>
  <c r="AD19" i="9"/>
  <c r="AE19" i="9" s="1"/>
  <c r="AD3" i="9"/>
  <c r="AE3" i="9" s="1"/>
  <c r="U6" i="9"/>
  <c r="AE6" i="9" s="1"/>
  <c r="AD27" i="9"/>
  <c r="U15" i="9"/>
  <c r="AE15" i="9" s="1"/>
  <c r="AD31" i="9"/>
  <c r="AE31" i="9" s="1"/>
  <c r="U23" i="9"/>
  <c r="AE23" i="9" s="1"/>
  <c r="X91" i="10"/>
  <c r="W91" i="10"/>
  <c r="V88" i="10"/>
  <c r="V10" i="10"/>
  <c r="Y3" i="10"/>
  <c r="Z3" i="10"/>
  <c r="V67" i="10"/>
  <c r="V21" i="10"/>
  <c r="V96" i="10"/>
  <c r="X26" i="10"/>
  <c r="W26" i="10"/>
  <c r="Y83" i="10"/>
  <c r="Z83" i="10"/>
  <c r="V12" i="10"/>
  <c r="V68" i="10"/>
  <c r="Y53" i="10"/>
  <c r="X83" i="10"/>
  <c r="W57" i="10"/>
  <c r="U58" i="10"/>
  <c r="V58" i="10" s="1"/>
  <c r="U26" i="10"/>
  <c r="V26" i="10" s="1"/>
  <c r="U21" i="10"/>
  <c r="U79" i="10"/>
  <c r="V79" i="10" s="1"/>
  <c r="U76" i="10"/>
  <c r="V76" i="10" s="1"/>
  <c r="U15" i="10"/>
  <c r="T94" i="10"/>
  <c r="V94" i="10" s="1"/>
  <c r="U68" i="10"/>
  <c r="U47" i="10"/>
  <c r="V47" i="10" s="1"/>
  <c r="U44" i="10"/>
  <c r="V44" i="10" s="1"/>
  <c r="U18" i="10"/>
  <c r="V18" i="10" s="1"/>
  <c r="T15" i="10"/>
  <c r="U7" i="10"/>
  <c r="V7" i="10" s="1"/>
  <c r="U4" i="10"/>
  <c r="V4" i="10" s="1"/>
  <c r="U91" i="10"/>
  <c r="V91" i="10" s="1"/>
  <c r="U50" i="10"/>
  <c r="V50" i="10" s="1"/>
  <c r="U10" i="10"/>
  <c r="AB15" i="10"/>
  <c r="T86" i="10"/>
  <c r="V86" i="10" s="1"/>
  <c r="AD15" i="10"/>
  <c r="U72" i="10"/>
  <c r="V72" i="10" s="1"/>
  <c r="U23" i="10"/>
  <c r="V23" i="10" s="1"/>
  <c r="U20" i="10"/>
  <c r="V20" i="10" s="1"/>
  <c r="U96" i="10"/>
  <c r="U93" i="10"/>
  <c r="V93" i="10" s="1"/>
  <c r="U75" i="10"/>
  <c r="V75" i="10" s="1"/>
  <c r="T46" i="10"/>
  <c r="V46" i="10" s="1"/>
  <c r="U12" i="10"/>
  <c r="T6" i="10"/>
  <c r="V6" i="10" s="1"/>
  <c r="W3" i="10"/>
  <c r="W71" i="10"/>
  <c r="U99" i="10"/>
  <c r="V99" i="10" s="1"/>
  <c r="U67" i="10"/>
  <c r="T54" i="10"/>
  <c r="V54" i="10" s="1"/>
  <c r="U43" i="10"/>
  <c r="V43" i="10" s="1"/>
  <c r="U32" i="10"/>
  <c r="V32" i="10" s="1"/>
  <c r="T62" i="10"/>
  <c r="V62" i="10" s="1"/>
  <c r="T38" i="10"/>
  <c r="V38" i="10" s="1"/>
  <c r="T4" i="11"/>
  <c r="T4" i="15"/>
  <c r="AC4" i="15"/>
  <c r="W8" i="16"/>
  <c r="T4" i="16"/>
  <c r="Y8" i="16"/>
  <c r="AC4" i="16"/>
  <c r="U4" i="16"/>
  <c r="U8" i="17"/>
  <c r="V8" i="17"/>
  <c r="W8" i="17"/>
  <c r="T8" i="17"/>
  <c r="Y8" i="17"/>
  <c r="AC10" i="17"/>
  <c r="AD10" i="17" s="1"/>
  <c r="T4" i="18"/>
  <c r="AE4" i="19"/>
  <c r="AF4" i="19"/>
  <c r="AC9" i="19"/>
  <c r="AD9" i="19" s="1"/>
  <c r="Y4" i="19"/>
  <c r="AA4" i="19"/>
  <c r="AB4" i="19"/>
  <c r="AD8" i="19"/>
  <c r="W8" i="19"/>
  <c r="AD5" i="19"/>
  <c r="Z8" i="19"/>
  <c r="AA8" i="19"/>
  <c r="AB8" i="19"/>
  <c r="AC10" i="19"/>
  <c r="AD10" i="19" s="1"/>
  <c r="AC5" i="18"/>
  <c r="AD5" i="18" s="1"/>
  <c r="AC9" i="17"/>
  <c r="AD9" i="17" s="1"/>
  <c r="AC5" i="16"/>
  <c r="AD5" i="16" s="1"/>
  <c r="AF4" i="16" s="1"/>
  <c r="U97" i="10"/>
  <c r="V97" i="10" s="1"/>
  <c r="U73" i="10"/>
  <c r="V73" i="10" s="1"/>
  <c r="U57" i="10"/>
  <c r="V57" i="10" s="1"/>
  <c r="U49" i="10"/>
  <c r="V49" i="10" s="1"/>
  <c r="U33" i="10"/>
  <c r="V33" i="10" s="1"/>
  <c r="U17" i="10"/>
  <c r="V17" i="10" s="1"/>
  <c r="U9" i="10"/>
  <c r="V9" i="10" s="1"/>
  <c r="AC16" i="8"/>
  <c r="T4" i="8"/>
  <c r="AB4" i="8" s="1"/>
  <c r="T16" i="8"/>
  <c r="T15" i="8"/>
  <c r="T14" i="8"/>
  <c r="AB14" i="8" s="1"/>
  <c r="T10" i="8"/>
  <c r="T9" i="8"/>
  <c r="AB9" i="8" s="1"/>
  <c r="AC9" i="8"/>
  <c r="AC15" i="8"/>
  <c r="AC10" i="8"/>
  <c r="AC14" i="8"/>
  <c r="AC4" i="8"/>
  <c r="V19" i="7"/>
  <c r="V27" i="7"/>
  <c r="V17" i="7"/>
  <c r="V25" i="7"/>
  <c r="V20" i="7"/>
  <c r="V12" i="7"/>
  <c r="V36" i="7"/>
  <c r="V24" i="7"/>
  <c r="U35" i="7"/>
  <c r="V35" i="7" s="1"/>
  <c r="U27" i="7"/>
  <c r="U19" i="7"/>
  <c r="U11" i="7"/>
  <c r="V11" i="7" s="1"/>
  <c r="U33" i="7"/>
  <c r="V33" i="7" s="1"/>
  <c r="U25" i="7"/>
  <c r="U17" i="7"/>
  <c r="V26" i="6"/>
  <c r="V34" i="6"/>
  <c r="V31" i="6"/>
  <c r="V32" i="6"/>
  <c r="T36" i="6"/>
  <c r="V36" i="6" s="1"/>
  <c r="T35" i="6"/>
  <c r="V35" i="6" s="1"/>
  <c r="U5" i="6"/>
  <c r="V5" i="6" s="1"/>
  <c r="U12" i="6"/>
  <c r="U25" i="6"/>
  <c r="V25" i="6" s="1"/>
  <c r="U13" i="6"/>
  <c r="V13" i="6" s="1"/>
  <c r="U4" i="6"/>
  <c r="V4" i="6" s="1"/>
  <c r="AC92" i="5" l="1"/>
  <c r="V92" i="5"/>
  <c r="AD63" i="5"/>
  <c r="AC63" i="5"/>
  <c r="AD16" i="5"/>
  <c r="AD46" i="5"/>
  <c r="AF46" i="5"/>
  <c r="AC46" i="5"/>
  <c r="AF34" i="5"/>
  <c r="V29" i="5"/>
  <c r="V8" i="5"/>
  <c r="V50" i="5"/>
  <c r="AF16" i="5"/>
  <c r="AE92" i="5"/>
  <c r="AF92" i="5"/>
  <c r="V75" i="5"/>
  <c r="AF63" i="5"/>
  <c r="AE63" i="5"/>
  <c r="AF3" i="5"/>
  <c r="AE3" i="5"/>
  <c r="V51" i="5"/>
  <c r="V5" i="5"/>
  <c r="AF73" i="5"/>
  <c r="AE73" i="5"/>
  <c r="AD79" i="5"/>
  <c r="AC79" i="5"/>
  <c r="V79" i="5"/>
  <c r="V96" i="5"/>
  <c r="AD28" i="5"/>
  <c r="V28" i="5"/>
  <c r="AC28" i="5"/>
  <c r="V49" i="5"/>
  <c r="V74" i="5"/>
  <c r="AF58" i="5"/>
  <c r="AE58" i="5"/>
  <c r="V102" i="5"/>
  <c r="V7" i="5"/>
  <c r="V97" i="5"/>
  <c r="AC101" i="5"/>
  <c r="AD101" i="5"/>
  <c r="V101" i="5"/>
  <c r="V6" i="5"/>
  <c r="V30" i="5"/>
  <c r="Y3" i="6"/>
  <c r="Z3" i="6"/>
  <c r="Z10" i="6"/>
  <c r="Y10" i="6"/>
  <c r="Z31" i="6"/>
  <c r="Y31" i="6"/>
  <c r="Z17" i="6"/>
  <c r="Y17" i="6"/>
  <c r="Y24" i="6"/>
  <c r="Z24" i="6"/>
  <c r="V12" i="6"/>
  <c r="AF17" i="7"/>
  <c r="AE17" i="7"/>
  <c r="AF24" i="7"/>
  <c r="AE24" i="7"/>
  <c r="AD15" i="8"/>
  <c r="AA9" i="8"/>
  <c r="AA4" i="8"/>
  <c r="AD4" i="8"/>
  <c r="AF4" i="8" s="1"/>
  <c r="AD9" i="8"/>
  <c r="AA14" i="8"/>
  <c r="Z26" i="10"/>
  <c r="Y26" i="10"/>
  <c r="Z91" i="10"/>
  <c r="Y91" i="10"/>
  <c r="Z57" i="10"/>
  <c r="Y57" i="10"/>
  <c r="X15" i="10"/>
  <c r="W15" i="10"/>
  <c r="V15" i="10"/>
  <c r="AD4" i="15"/>
  <c r="AE4" i="15" s="1"/>
  <c r="AB4" i="15"/>
  <c r="AA4" i="15"/>
  <c r="AD4" i="16"/>
  <c r="AE4" i="16" s="1"/>
  <c r="AB4" i="16"/>
  <c r="AA4" i="16"/>
  <c r="AB8" i="17"/>
  <c r="AA8" i="17"/>
  <c r="AD8" i="17"/>
  <c r="AD4" i="18"/>
  <c r="AB4" i="18"/>
  <c r="AA4" i="18"/>
  <c r="AE8" i="19"/>
  <c r="AF8" i="19"/>
  <c r="AD14" i="8"/>
  <c r="AD10" i="8"/>
  <c r="AD16" i="8"/>
  <c r="AF9" i="8"/>
  <c r="AE9" i="8"/>
  <c r="AF79" i="5" l="1"/>
  <c r="AE79" i="5"/>
  <c r="AE101" i="5"/>
  <c r="AF101" i="5"/>
  <c r="AE28" i="5"/>
  <c r="AF28" i="5"/>
  <c r="AE4" i="8"/>
  <c r="Y15" i="10"/>
  <c r="Z15" i="10"/>
  <c r="AE8" i="17"/>
  <c r="AF8" i="17"/>
  <c r="AF4" i="18"/>
  <c r="AE4" i="18"/>
  <c r="AF14" i="8"/>
  <c r="AE14" i="8"/>
</calcChain>
</file>

<file path=xl/sharedStrings.xml><?xml version="1.0" encoding="utf-8"?>
<sst xmlns="http://schemas.openxmlformats.org/spreadsheetml/2006/main" count="494" uniqueCount="80">
  <si>
    <t>Dati originali</t>
  </si>
  <si>
    <t>ERR</t>
  </si>
  <si>
    <t>STD</t>
  </si>
  <si>
    <t>BAL</t>
  </si>
  <si>
    <t>NOAUG</t>
  </si>
  <si>
    <t>ERR0</t>
  </si>
  <si>
    <t>STD0</t>
  </si>
  <si>
    <t>ERR1</t>
  </si>
  <si>
    <t>STD1</t>
  </si>
  <si>
    <t>ERR2</t>
  </si>
  <si>
    <t>STD2</t>
  </si>
  <si>
    <t>COPIO LE COSE QUI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</si>
  <si>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</si>
  <si>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</si>
  <si>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</si>
  <si>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</si>
  <si>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</si>
  <si>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</si>
  <si>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</si>
  <si>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</si>
  <si>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</si>
  <si>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g=0.0001</t>
  </si>
  <si>
    <t>g=0.1</t>
  </si>
  <si>
    <t>c0</t>
  </si>
  <si>
    <t>c1</t>
  </si>
  <si>
    <t>c2</t>
  </si>
  <si>
    <t>g=0.05</t>
  </si>
  <si>
    <t>g=0.006</t>
  </si>
  <si>
    <t>g=0.00158</t>
  </si>
  <si>
    <t>g=0.00079</t>
  </si>
  <si>
    <t>g=0.012</t>
  </si>
  <si>
    <t>g=0.000199</t>
  </si>
  <si>
    <t>g=0.025</t>
  </si>
  <si>
    <t>g=0.003</t>
  </si>
  <si>
    <t>g=0.00039</t>
  </si>
  <si>
    <t>ERR_0_i</t>
  </si>
  <si>
    <t>ERR_1_i</t>
  </si>
  <si>
    <t>ERR_2_i</t>
  </si>
  <si>
    <t>LIST of Best ERR 10%</t>
  </si>
  <si>
    <t>n=11 -&gt; 1.1 -&gt; 2</t>
  </si>
  <si>
    <t>BEST</t>
  </si>
  <si>
    <t>LIST of BEST ERR 20%</t>
  </si>
  <si>
    <t>n=11 -&gt; 2.2 -&gt; 3</t>
  </si>
  <si>
    <t>tau=10%</t>
  </si>
  <si>
    <t>tau=20%</t>
  </si>
  <si>
    <t>eps=0.1</t>
  </si>
  <si>
    <t>eps=0.0056</t>
  </si>
  <si>
    <t>eps=0.0003</t>
  </si>
  <si>
    <t>eps=1.778</t>
  </si>
  <si>
    <t>eps=10^-6</t>
  </si>
  <si>
    <t>n=5 -&gt; 0.5 -&gt; 1</t>
  </si>
  <si>
    <t>n=5 -&gt; 1 -&gt; 1</t>
  </si>
  <si>
    <t>eps=0.003</t>
  </si>
  <si>
    <t>ADV</t>
  </si>
  <si>
    <t>ERR0_STD</t>
  </si>
  <si>
    <t>ERR1_STD</t>
  </si>
  <si>
    <t>ERR2_STD</t>
  </si>
  <si>
    <t>DIFF</t>
  </si>
  <si>
    <t>CLSDIV</t>
  </si>
  <si>
    <t>NOCLSDIV</t>
  </si>
  <si>
    <t>n=5-&gt;1-&gt;1</t>
  </si>
  <si>
    <t>DIFF Without retest</t>
  </si>
  <si>
    <t>DIFF With try</t>
  </si>
  <si>
    <t>DIFF with try and temp2</t>
  </si>
  <si>
    <t>ERR_0</t>
  </si>
  <si>
    <t>ERR_1</t>
  </si>
  <si>
    <t>ERR_2</t>
  </si>
  <si>
    <t>IMB</t>
  </si>
  <si>
    <t>g=0.0063</t>
  </si>
  <si>
    <t>g=0.00078</t>
  </si>
  <si>
    <t>g=0.0125</t>
  </si>
  <si>
    <t>g=0.0003</t>
  </si>
  <si>
    <t>n = 11 -&gt; 1.1 -&gt; 2</t>
  </si>
  <si>
    <t>n = 11 -&gt; 2.2 -&gt; 3</t>
  </si>
  <si>
    <t>MIT</t>
  </si>
  <si>
    <t xml:space="preserve">c1 </t>
  </si>
  <si>
    <t>STDAUG</t>
  </si>
  <si>
    <t>PARBS</t>
  </si>
  <si>
    <t>ONLYMIN</t>
  </si>
  <si>
    <t>ERRO0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</si>
</sst>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topLeftCell="A21" workbookViewId="0">
      <selection activeCell="G33" sqref="G33:P33"/>
    </sheetView>
  </sheetViews>
  <sheetFormatPr defaultRowHeight="14.4" x14ac:dyDescent="0.3"/>
  <cols>
    <col min="1" max="1" width="9.88671875" customWidth="1"/>
  </cols>
  <sheetData>
    <row r="1" spans="1:16" x14ac:dyDescent="0.3">
      <c r="A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</v>
      </c>
      <c r="N1" t="s">
        <v>17</v>
      </c>
      <c r="O1" t="s">
        <v>19</v>
      </c>
      <c r="P1" t="s">
        <v>20</v>
      </c>
    </row>
    <row r="2" spans="1:16" x14ac:dyDescent="0.3">
      <c r="B2" t="s">
        <v>3</v>
      </c>
    </row>
    <row r="3" spans="1:16" x14ac:dyDescent="0.3">
      <c r="C3" t="s">
        <v>4</v>
      </c>
      <c r="G3">
        <v>23.666666666666668</v>
      </c>
      <c r="H3">
        <v>2.0816659994661331</v>
      </c>
      <c r="I3">
        <v>14.833333333333334</v>
      </c>
      <c r="J3">
        <v>2.46644143115812</v>
      </c>
      <c r="K3">
        <v>30.666666666666668</v>
      </c>
      <c r="L3">
        <v>5.7735026918962511</v>
      </c>
      <c r="M3">
        <v>23.055555555555554</v>
      </c>
      <c r="N3">
        <v>1.9317042945237457</v>
      </c>
      <c r="O3">
        <v>8.2222222222222214</v>
      </c>
      <c r="P3">
        <v>3.8345408726083114</v>
      </c>
    </row>
    <row r="4" spans="1:16" x14ac:dyDescent="0.3">
      <c r="C4" t="s">
        <v>2</v>
      </c>
      <c r="F4" t="s">
        <v>21</v>
      </c>
      <c r="G4">
        <v>17</v>
      </c>
      <c r="H4">
        <v>1.5</v>
      </c>
      <c r="I4">
        <v>12.833333333333334</v>
      </c>
      <c r="J4">
        <v>3.0138568866708555</v>
      </c>
      <c r="K4">
        <v>29.5</v>
      </c>
      <c r="L4">
        <v>3.9686269665968861</v>
      </c>
      <c r="M4">
        <v>19.777777777777775</v>
      </c>
      <c r="N4">
        <v>2.0838888148345602</v>
      </c>
      <c r="O4">
        <v>6.9444444444444438</v>
      </c>
      <c r="P4">
        <v>2.523959264800121</v>
      </c>
    </row>
    <row r="5" spans="1:16" x14ac:dyDescent="0.3">
      <c r="E5" t="s">
        <v>43</v>
      </c>
      <c r="F5" t="s">
        <v>33</v>
      </c>
    </row>
    <row r="6" spans="1:16" x14ac:dyDescent="0.3">
      <c r="E6" t="s">
        <v>44</v>
      </c>
      <c r="F6" t="s">
        <v>33</v>
      </c>
    </row>
    <row r="7" spans="1:16" x14ac:dyDescent="0.3">
      <c r="C7" t="s">
        <v>53</v>
      </c>
    </row>
    <row r="8" spans="1:16" x14ac:dyDescent="0.3">
      <c r="D8" t="s">
        <v>58</v>
      </c>
    </row>
    <row r="9" spans="1:16" x14ac:dyDescent="0.3">
      <c r="E9" t="s">
        <v>43</v>
      </c>
      <c r="F9" t="s">
        <v>52</v>
      </c>
    </row>
    <row r="10" spans="1:16" x14ac:dyDescent="0.3">
      <c r="E10" t="s">
        <v>44</v>
      </c>
      <c r="F10" t="s">
        <v>52</v>
      </c>
    </row>
    <row r="11" spans="1:16" x14ac:dyDescent="0.3">
      <c r="D11" t="s">
        <v>59</v>
      </c>
    </row>
    <row r="12" spans="1:16" x14ac:dyDescent="0.3">
      <c r="E12" t="s">
        <v>43</v>
      </c>
      <c r="F12" t="s">
        <v>49</v>
      </c>
    </row>
    <row r="13" spans="1:16" x14ac:dyDescent="0.3">
      <c r="E13" t="s">
        <v>44</v>
      </c>
      <c r="F13" t="s">
        <v>49</v>
      </c>
    </row>
    <row r="14" spans="1:16" x14ac:dyDescent="0.3">
      <c r="C14" t="s">
        <v>57</v>
      </c>
    </row>
    <row r="16" spans="1:16" x14ac:dyDescent="0.3">
      <c r="B16" t="s">
        <v>67</v>
      </c>
    </row>
    <row r="17" spans="1:16" x14ac:dyDescent="0.3">
      <c r="C17" t="s">
        <v>4</v>
      </c>
    </row>
    <row r="19" spans="1:16" x14ac:dyDescent="0.3">
      <c r="C19" t="s">
        <v>2</v>
      </c>
      <c r="F19" t="s">
        <v>21</v>
      </c>
    </row>
    <row r="20" spans="1:16" x14ac:dyDescent="0.3">
      <c r="E20" t="s">
        <v>43</v>
      </c>
      <c r="F20" t="s">
        <v>21</v>
      </c>
    </row>
    <row r="21" spans="1:16" x14ac:dyDescent="0.3">
      <c r="E21" t="s">
        <v>44</v>
      </c>
      <c r="F21" t="s">
        <v>21</v>
      </c>
    </row>
    <row r="22" spans="1:16" x14ac:dyDescent="0.3">
      <c r="A22" t="s">
        <v>74</v>
      </c>
    </row>
    <row r="23" spans="1:16" x14ac:dyDescent="0.3">
      <c r="B23" t="s">
        <v>3</v>
      </c>
    </row>
    <row r="24" spans="1:16" x14ac:dyDescent="0.3">
      <c r="C24" t="s">
        <v>4</v>
      </c>
      <c r="G24">
        <v>23.214285714285715</v>
      </c>
      <c r="H24">
        <v>2.6435005651777832</v>
      </c>
      <c r="I24">
        <v>11.071428571428571</v>
      </c>
      <c r="J24">
        <v>1.336306209562119</v>
      </c>
      <c r="K24">
        <v>35.642857142857146</v>
      </c>
      <c r="L24">
        <v>4.5434411125112195</v>
      </c>
      <c r="M24">
        <v>23.309523809523807</v>
      </c>
      <c r="N24">
        <v>1.5257923607235448</v>
      </c>
      <c r="O24">
        <v>12.238095238095239</v>
      </c>
      <c r="P24">
        <v>2.088010622527662</v>
      </c>
    </row>
    <row r="25" spans="1:16" x14ac:dyDescent="0.3">
      <c r="C25" t="s">
        <v>76</v>
      </c>
      <c r="F25" t="s">
        <v>21</v>
      </c>
      <c r="G25">
        <v>17.833333333333332</v>
      </c>
      <c r="H25">
        <v>3.125166662222457</v>
      </c>
      <c r="I25">
        <v>8.5833333333333339</v>
      </c>
      <c r="J25">
        <v>1.2416387021459434</v>
      </c>
      <c r="K25">
        <v>28.583333333333332</v>
      </c>
      <c r="L25">
        <v>3.6799003609699281</v>
      </c>
      <c r="M25">
        <v>18.333333333333332</v>
      </c>
      <c r="N25">
        <v>1.7763883459298975</v>
      </c>
      <c r="O25">
        <v>9.75</v>
      </c>
      <c r="P25">
        <v>1.0632758605157719</v>
      </c>
    </row>
    <row r="26" spans="1:16" x14ac:dyDescent="0.3">
      <c r="C26" t="s">
        <v>57</v>
      </c>
    </row>
    <row r="27" spans="1:16" x14ac:dyDescent="0.3">
      <c r="D27" t="s">
        <v>76</v>
      </c>
    </row>
    <row r="28" spans="1:16" x14ac:dyDescent="0.3">
      <c r="D28" t="s">
        <v>78</v>
      </c>
    </row>
    <row r="29" spans="1:16" x14ac:dyDescent="0.3">
      <c r="E29" t="s">
        <v>76</v>
      </c>
    </row>
    <row r="31" spans="1:16" x14ac:dyDescent="0.3">
      <c r="B31" t="s">
        <v>77</v>
      </c>
    </row>
    <row r="32" spans="1:16" x14ac:dyDescent="0.3">
      <c r="C32" t="s">
        <v>4</v>
      </c>
      <c r="G32">
        <v>19.583333333333332</v>
      </c>
      <c r="H32">
        <v>2.3540744819709287</v>
      </c>
      <c r="I32">
        <v>13.916666666666666</v>
      </c>
      <c r="J32">
        <v>2.5380438661825075</v>
      </c>
      <c r="K32">
        <v>23</v>
      </c>
      <c r="L32">
        <v>5.196152422706632</v>
      </c>
      <c r="M32">
        <v>18.833333333333332</v>
      </c>
      <c r="N32">
        <v>1.8737959096740264</v>
      </c>
      <c r="O32">
        <v>4.916666666666667</v>
      </c>
      <c r="P32">
        <v>2.1337239225770932</v>
      </c>
    </row>
    <row r="33" spans="3:16" x14ac:dyDescent="0.3">
      <c r="C33" t="s">
        <v>76</v>
      </c>
      <c r="F33" t="s">
        <v>21</v>
      </c>
      <c r="G33">
        <v>21.1</v>
      </c>
      <c r="H33">
        <v>3.8307962618755846</v>
      </c>
      <c r="I33">
        <v>11.9</v>
      </c>
      <c r="J33">
        <v>3.7316216314090598</v>
      </c>
      <c r="K33">
        <v>24.4</v>
      </c>
      <c r="L33">
        <v>3.2093613071762355</v>
      </c>
      <c r="M33">
        <v>19.133333333333333</v>
      </c>
      <c r="N33">
        <v>1.8234582528810472</v>
      </c>
      <c r="O33">
        <v>7.2333333333333343</v>
      </c>
      <c r="P33">
        <v>3.1898275815473136</v>
      </c>
    </row>
    <row r="34" spans="3:16" x14ac:dyDescent="0.3">
      <c r="C34" t="s">
        <v>57</v>
      </c>
    </row>
    <row r="35" spans="3:16" x14ac:dyDescent="0.3">
      <c r="D35" t="s">
        <v>78</v>
      </c>
    </row>
    <row r="36" spans="3:16" x14ac:dyDescent="0.3">
      <c r="E36" t="s">
        <v>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18A-8B26-4E93-B497-B59E55EFEC0E}">
  <dimension ref="A2:AF11"/>
  <sheetViews>
    <sheetView workbookViewId="0">
      <selection activeCell="B4" sqref="B4:O11"/>
    </sheetView>
  </sheetViews>
  <sheetFormatPr defaultRowHeight="14.4" x14ac:dyDescent="0.3"/>
  <sheetData>
    <row r="2" spans="1:32" x14ac:dyDescent="0.3">
      <c r="A2" t="s">
        <v>61</v>
      </c>
      <c r="Q2" t="s">
        <v>12</v>
      </c>
      <c r="R2" t="s">
        <v>13</v>
      </c>
      <c r="S2" t="s">
        <v>14</v>
      </c>
      <c r="T2" t="s">
        <v>16</v>
      </c>
      <c r="U2" t="s">
        <v>64</v>
      </c>
      <c r="V2" t="s">
        <v>54</v>
      </c>
      <c r="W2" t="s">
        <v>65</v>
      </c>
      <c r="X2" t="s">
        <v>55</v>
      </c>
      <c r="Y2" t="s">
        <v>66</v>
      </c>
      <c r="Z2" t="s">
        <v>56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75</v>
      </c>
      <c r="K3" t="s">
        <v>25</v>
      </c>
    </row>
    <row r="4" spans="1:32" x14ac:dyDescent="0.3">
      <c r="Q4" t="e">
        <f>AVERAGE(C4,D4)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AVERAGE(Q4:Q5)</f>
        <v>#DIV/0!</v>
      </c>
      <c r="V4" t="e">
        <f>_xlfn.STDEV.S(Q4:Q5)</f>
        <v>#DIV/0!</v>
      </c>
      <c r="W4" t="e">
        <f>AVERAGE(R4:R5)</f>
        <v>#DIV/0!</v>
      </c>
      <c r="X4" t="e">
        <f>_xlfn.STDEV.S(R4:R5)</f>
        <v>#DIV/0!</v>
      </c>
      <c r="Y4" t="e">
        <f>AVERAGE(S4:S5)</f>
        <v>#DIV/0!</v>
      </c>
      <c r="Z4" t="e">
        <f>_xlfn.STDEV.S(S4:S5)</f>
        <v>#DIV/0!</v>
      </c>
      <c r="AA4" t="e">
        <f>AVERAGE(T4:T5)</f>
        <v>#DIV/0!</v>
      </c>
      <c r="AB4" t="e">
        <f>_xlfn.STDEV.S(T4:T5)</f>
        <v>#DIV/0!</v>
      </c>
      <c r="AC4" t="e">
        <f>MIN(Q4:S4)</f>
        <v>#DIV/0!</v>
      </c>
      <c r="AD4" t="e">
        <f>(1/3)*(T4-AC4)</f>
        <v>#DIV/0!</v>
      </c>
      <c r="AE4" t="e">
        <f>AVERAGE(AD4:AD5)</f>
        <v>#DIV/0!</v>
      </c>
      <c r="AF4" t="e">
        <f>_xlfn.STDEV.S(AD4:AD5)</f>
        <v>#DIV/0!</v>
      </c>
    </row>
    <row r="5" spans="1:32" x14ac:dyDescent="0.3">
      <c r="Q5" t="e">
        <f t="shared" ref="Q5:Q11" si="0">AVERAGE(C5,D5)</f>
        <v>#DIV/0!</v>
      </c>
      <c r="R5" t="e">
        <f t="shared" ref="R5:R11" si="1">AVERAGE(H5,I5)</f>
        <v>#DIV/0!</v>
      </c>
      <c r="S5" t="e">
        <f t="shared" ref="S5:S11" si="2">AVERAGE(M5,N5)</f>
        <v>#DIV/0!</v>
      </c>
      <c r="T5" t="e">
        <f t="shared" ref="T5:T11" si="3">AVERAGE(Q5:S5)</f>
        <v>#DIV/0!</v>
      </c>
      <c r="AC5" t="e">
        <f t="shared" ref="AC5:AC11" si="4">MIN(Q5:S5)</f>
        <v>#DIV/0!</v>
      </c>
      <c r="AD5" t="e">
        <f t="shared" ref="AD5:AD11" si="5">(1/3)*(T5-AC5)</f>
        <v>#DIV/0!</v>
      </c>
    </row>
    <row r="7" spans="1:32" x14ac:dyDescent="0.3">
      <c r="A7" t="s">
        <v>23</v>
      </c>
    </row>
    <row r="8" spans="1:32" x14ac:dyDescent="0.3">
      <c r="Q8" t="e">
        <f t="shared" si="0"/>
        <v>#DIV/0!</v>
      </c>
      <c r="R8" t="e">
        <f t="shared" si="1"/>
        <v>#DIV/0!</v>
      </c>
      <c r="S8" t="e">
        <f t="shared" si="2"/>
        <v>#DIV/0!</v>
      </c>
      <c r="T8" t="e">
        <f t="shared" si="3"/>
        <v>#DIV/0!</v>
      </c>
      <c r="U8" t="e">
        <f>AVERAGE(Q8:Q11)</f>
        <v>#DIV/0!</v>
      </c>
      <c r="V8" t="e">
        <f>_xlfn.STDEV.S(Q8:Q11)</f>
        <v>#DIV/0!</v>
      </c>
      <c r="W8" t="e">
        <f>AVERAGE(R8:R11)</f>
        <v>#DIV/0!</v>
      </c>
      <c r="X8" t="e">
        <f>_xlfn.STDEV.S(R8:R11)</f>
        <v>#DIV/0!</v>
      </c>
      <c r="Y8" t="e">
        <f>AVERAGE(S8:S11)</f>
        <v>#DIV/0!</v>
      </c>
      <c r="Z8" t="e">
        <f>_xlfn.STDEV.S(S8:S11)</f>
        <v>#DIV/0!</v>
      </c>
      <c r="AA8" t="e">
        <f>AVERAGE(T8:T11)</f>
        <v>#DIV/0!</v>
      </c>
      <c r="AB8" t="e">
        <f>_xlfn.STDEV.S(T8:T11)</f>
        <v>#DIV/0!</v>
      </c>
      <c r="AC8" t="e">
        <f t="shared" si="4"/>
        <v>#DIV/0!</v>
      </c>
      <c r="AD8" t="e">
        <f t="shared" si="5"/>
        <v>#DIV/0!</v>
      </c>
      <c r="AE8" t="e">
        <f>AVERAGE(AD8:AD11)</f>
        <v>#DIV/0!</v>
      </c>
      <c r="AF8" t="e">
        <f>_xlfn.STDEV.S(AD8:AD11)</f>
        <v>#DIV/0!</v>
      </c>
    </row>
    <row r="9" spans="1:32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AC9" t="e">
        <f t="shared" si="4"/>
        <v>#DIV/0!</v>
      </c>
      <c r="AD9" t="e">
        <f t="shared" si="5"/>
        <v>#DIV/0!</v>
      </c>
    </row>
    <row r="10" spans="1:32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AC10" t="e">
        <f t="shared" si="4"/>
        <v>#DIV/0!</v>
      </c>
      <c r="AD10" t="e">
        <f t="shared" si="5"/>
        <v>#DIV/0!</v>
      </c>
    </row>
    <row r="11" spans="1:32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AC11" t="e">
        <f t="shared" si="4"/>
        <v>#DIV/0!</v>
      </c>
      <c r="AD11" t="e">
        <f t="shared" si="5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7A7D-364E-47EE-A0F3-0D888512E587}">
  <dimension ref="A2:AF5"/>
  <sheetViews>
    <sheetView workbookViewId="0">
      <selection activeCell="B4" sqref="B4:O5"/>
    </sheetView>
  </sheetViews>
  <sheetFormatPr defaultRowHeight="14.4" x14ac:dyDescent="0.3"/>
  <sheetData>
    <row r="2" spans="1:32" x14ac:dyDescent="0.3">
      <c r="A2" t="s">
        <v>61</v>
      </c>
      <c r="Q2" t="s">
        <v>12</v>
      </c>
      <c r="R2" t="s">
        <v>13</v>
      </c>
      <c r="S2" t="s">
        <v>14</v>
      </c>
      <c r="T2" t="s">
        <v>16</v>
      </c>
      <c r="U2" t="s">
        <v>64</v>
      </c>
      <c r="V2" t="s">
        <v>54</v>
      </c>
      <c r="W2" t="s">
        <v>65</v>
      </c>
      <c r="X2" t="s">
        <v>55</v>
      </c>
      <c r="Y2" t="s">
        <v>66</v>
      </c>
      <c r="Z2" t="s">
        <v>56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75</v>
      </c>
      <c r="K3" t="s">
        <v>25</v>
      </c>
    </row>
    <row r="4" spans="1:32" x14ac:dyDescent="0.3">
      <c r="Q4" t="e">
        <f>AVERAGE(C4,D4)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_xlfn.STDEV.S(AD4,AD5)</f>
        <v>#DIV/0!</v>
      </c>
    </row>
    <row r="5" spans="1:32" x14ac:dyDescent="0.3">
      <c r="Q5" t="e">
        <f>AVERAGE(C5,D5)</f>
        <v>#DIV/0!</v>
      </c>
      <c r="R5" t="e">
        <f>AVERAGE(H5,I5)</f>
        <v>#DIV/0!</v>
      </c>
      <c r="S5" t="e">
        <f>AVERAGE(M5,N5)</f>
        <v>#DIV/0!</v>
      </c>
      <c r="T5" t="e">
        <f>AVERAGE(Q5:S5)</f>
        <v>#DIV/0!</v>
      </c>
      <c r="AC5" t="e">
        <f>MIN(Q5:S5)</f>
        <v>#DIV/0!</v>
      </c>
      <c r="AD5" t="e">
        <f>(1/3)*(T5-AC5)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7D71-588A-4985-8ACA-35F7A9B1AF58}">
  <dimension ref="A2:AF10"/>
  <sheetViews>
    <sheetView workbookViewId="0">
      <selection activeCell="B4" sqref="B4:O10"/>
    </sheetView>
  </sheetViews>
  <sheetFormatPr defaultRowHeight="14.4" x14ac:dyDescent="0.3"/>
  <sheetData>
    <row r="2" spans="1:32" x14ac:dyDescent="0.3">
      <c r="A2" t="s">
        <v>61</v>
      </c>
      <c r="Q2" t="s">
        <v>12</v>
      </c>
      <c r="R2" t="s">
        <v>13</v>
      </c>
      <c r="S2" t="s">
        <v>14</v>
      </c>
      <c r="T2" t="s">
        <v>16</v>
      </c>
      <c r="U2" t="s">
        <v>64</v>
      </c>
      <c r="V2" t="s">
        <v>54</v>
      </c>
      <c r="W2" t="s">
        <v>65</v>
      </c>
      <c r="X2" t="s">
        <v>55</v>
      </c>
      <c r="Y2" t="s">
        <v>66</v>
      </c>
      <c r="Z2" t="s">
        <v>56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75</v>
      </c>
      <c r="K3" t="s">
        <v>25</v>
      </c>
    </row>
    <row r="7" spans="1:32" x14ac:dyDescent="0.3">
      <c r="A7" t="s">
        <v>23</v>
      </c>
    </row>
    <row r="8" spans="1:32" x14ac:dyDescent="0.3">
      <c r="Q8" t="e">
        <f>AVERAGE(C8,D8)</f>
        <v>#DIV/0!</v>
      </c>
      <c r="R8" t="e">
        <f>AVERAGE(H8:I8)</f>
        <v>#DIV/0!</v>
      </c>
      <c r="S8" t="e">
        <f>AVERAGE(M8,N8)</f>
        <v>#DIV/0!</v>
      </c>
      <c r="T8" t="e">
        <f>AVERAGE(Q8:S8)</f>
        <v>#DIV/0!</v>
      </c>
      <c r="U8" t="e">
        <f>AVERAGE(Q8,Q9:Q10)</f>
        <v>#DIV/0!</v>
      </c>
      <c r="V8" t="e">
        <f>_xlfn.STDEV.S(Q8,Q9:Q10)</f>
        <v>#DIV/0!</v>
      </c>
      <c r="W8" t="e">
        <f>AVERAGE(R8,R9:R10)</f>
        <v>#DIV/0!</v>
      </c>
      <c r="X8" t="e">
        <f>_xlfn.STDEV.S(R8,R9:R10)</f>
        <v>#DIV/0!</v>
      </c>
      <c r="Y8" t="e">
        <f>AVERAGE(S8,S9:S10)</f>
        <v>#DIV/0!</v>
      </c>
      <c r="Z8" t="e">
        <f>_xlfn.STDEV.S(S8,S9:S10)</f>
        <v>#DIV/0!</v>
      </c>
      <c r="AA8" t="e">
        <f>AVERAGE(T8,T9:T10)</f>
        <v>#DIV/0!</v>
      </c>
      <c r="AB8" t="e">
        <f>_xlfn.STDEV.S(T8,T9:T10)</f>
        <v>#DIV/0!</v>
      </c>
      <c r="AC8" t="e">
        <f>MIN(Q8:S8)</f>
        <v>#DIV/0!</v>
      </c>
      <c r="AD8" t="e">
        <f>(1/3)*(T8-AC8)</f>
        <v>#DIV/0!</v>
      </c>
      <c r="AE8" t="e">
        <f>AVERAGE(AD8,AD9:AD10)</f>
        <v>#DIV/0!</v>
      </c>
      <c r="AF8" t="e">
        <f>_xlfn.STDEV.S(AD8,AD9:AD10)</f>
        <v>#DIV/0!</v>
      </c>
    </row>
    <row r="9" spans="1:32" x14ac:dyDescent="0.3">
      <c r="Q9" t="e">
        <f>AVERAGE(C9,D9)</f>
        <v>#DIV/0!</v>
      </c>
      <c r="R9" t="e">
        <f>AVERAGE(H9:I9)</f>
        <v>#DIV/0!</v>
      </c>
      <c r="S9" t="e">
        <f>AVERAGE(M9,N9)</f>
        <v>#DIV/0!</v>
      </c>
      <c r="T9" t="e">
        <f>AVERAGE(Q9:S9)</f>
        <v>#DIV/0!</v>
      </c>
      <c r="AC9" t="e">
        <f>MIN(Q9:S9)</f>
        <v>#DIV/0!</v>
      </c>
      <c r="AD9" t="e">
        <f>(1/3)*(T9-AC9)</f>
        <v>#DIV/0!</v>
      </c>
    </row>
    <row r="10" spans="1:32" x14ac:dyDescent="0.3">
      <c r="Q10" t="e">
        <f>AVERAGE(C10,D10)</f>
        <v>#DIV/0!</v>
      </c>
      <c r="R10" t="e">
        <f>AVERAGE(H10:I10)</f>
        <v>#DIV/0!</v>
      </c>
      <c r="S10" t="e">
        <f>AVERAGE(M10,N10)</f>
        <v>#DIV/0!</v>
      </c>
      <c r="T10" t="e">
        <f>AVERAGE(Q10:S10)</f>
        <v>#DIV/0!</v>
      </c>
      <c r="AC10" t="e">
        <f>MIN(Q10:S10)</f>
        <v>#DIV/0!</v>
      </c>
      <c r="AD10" t="e">
        <f>(1/3)*(T10-AC10)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68C5-0EAB-4233-98F5-D346BC512EB4}">
  <dimension ref="A2:AF12"/>
  <sheetViews>
    <sheetView workbookViewId="0">
      <selection activeCell="B4" sqref="B4:O12"/>
    </sheetView>
  </sheetViews>
  <sheetFormatPr defaultRowHeight="14.4" x14ac:dyDescent="0.3"/>
  <sheetData>
    <row r="2" spans="1:32" x14ac:dyDescent="0.3">
      <c r="A2" t="s">
        <v>61</v>
      </c>
      <c r="Q2" t="s">
        <v>12</v>
      </c>
      <c r="R2" t="s">
        <v>13</v>
      </c>
      <c r="S2" t="s">
        <v>14</v>
      </c>
      <c r="T2" t="s">
        <v>16</v>
      </c>
      <c r="U2" t="s">
        <v>64</v>
      </c>
      <c r="V2" t="s">
        <v>54</v>
      </c>
      <c r="W2" t="s">
        <v>65</v>
      </c>
      <c r="X2" t="s">
        <v>55</v>
      </c>
      <c r="Y2" t="s">
        <v>66</v>
      </c>
      <c r="Z2" t="s">
        <v>56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75</v>
      </c>
      <c r="K3" t="s">
        <v>25</v>
      </c>
    </row>
    <row r="4" spans="1:32" x14ac:dyDescent="0.3">
      <c r="Q4" t="e">
        <f>AVERAGE(C4,D4)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_xlfn.STDEV.S(AD5,AD4)</f>
        <v>#DIV/0!</v>
      </c>
    </row>
    <row r="5" spans="1:32" x14ac:dyDescent="0.3">
      <c r="Q5" t="e">
        <f t="shared" ref="Q5:Q12" si="0">AVERAGE(C5,D5)</f>
        <v>#DIV/0!</v>
      </c>
      <c r="R5" t="e">
        <f t="shared" ref="R5:R12" si="1">AVERAGE(H5,I5)</f>
        <v>#DIV/0!</v>
      </c>
      <c r="S5" t="e">
        <f t="shared" ref="S5:S12" si="2">AVERAGE(M5,N5)</f>
        <v>#DIV/0!</v>
      </c>
      <c r="T5" t="e">
        <f t="shared" ref="T5:T12" si="3">AVERAGE(Q5:S5)</f>
        <v>#DIV/0!</v>
      </c>
      <c r="AC5" t="e">
        <f t="shared" ref="AC5:AC12" si="4">MIN(Q5:S5)</f>
        <v>#DIV/0!</v>
      </c>
      <c r="AD5" t="e">
        <f t="shared" ref="AD5:AD12" si="5">(1/3)*(T5-AC5)</f>
        <v>#DIV/0!</v>
      </c>
    </row>
    <row r="7" spans="1:32" x14ac:dyDescent="0.3">
      <c r="A7" t="s">
        <v>23</v>
      </c>
    </row>
    <row r="8" spans="1:32" x14ac:dyDescent="0.3">
      <c r="Q8" t="e">
        <f t="shared" si="0"/>
        <v>#DIV/0!</v>
      </c>
      <c r="R8" t="e">
        <f t="shared" si="1"/>
        <v>#DIV/0!</v>
      </c>
      <c r="S8" t="e">
        <f t="shared" si="2"/>
        <v>#DIV/0!</v>
      </c>
      <c r="T8" t="e">
        <f t="shared" si="3"/>
        <v>#DIV/0!</v>
      </c>
      <c r="U8" t="e">
        <f>AVERAGE(Q8,Q9:Q12)</f>
        <v>#DIV/0!</v>
      </c>
      <c r="V8" t="e">
        <f>_xlfn.STDEV.S(Q8,Q9:Q12)</f>
        <v>#DIV/0!</v>
      </c>
      <c r="W8" t="e">
        <f>AVERAGE(R8,R9:R12)</f>
        <v>#DIV/0!</v>
      </c>
      <c r="X8" t="e">
        <f>_xlfn.STDEV.S(R8,R9:R12)</f>
        <v>#DIV/0!</v>
      </c>
      <c r="Y8" t="e">
        <f>AVERAGE(S8,S9:S12)</f>
        <v>#DIV/0!</v>
      </c>
      <c r="Z8" t="e">
        <f>_xlfn.STDEV.S(S8,S9:S12)</f>
        <v>#DIV/0!</v>
      </c>
      <c r="AA8" t="e">
        <f>AVERAGE(T8,T9:T12)</f>
        <v>#DIV/0!</v>
      </c>
      <c r="AB8" t="e">
        <f>_xlfn.STDEV.S(T8,T9:T12)</f>
        <v>#DIV/0!</v>
      </c>
      <c r="AC8" t="e">
        <f t="shared" si="4"/>
        <v>#DIV/0!</v>
      </c>
      <c r="AD8" t="e">
        <f t="shared" si="5"/>
        <v>#DIV/0!</v>
      </c>
      <c r="AE8" t="e">
        <f>AVERAGE(AD8:AD12)</f>
        <v>#DIV/0!</v>
      </c>
      <c r="AF8" t="e">
        <f>_xlfn.STDEV.S(AD8:AD12)</f>
        <v>#DIV/0!</v>
      </c>
    </row>
    <row r="9" spans="1:32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AC9" t="e">
        <f t="shared" si="4"/>
        <v>#DIV/0!</v>
      </c>
      <c r="AD9" t="e">
        <f t="shared" si="5"/>
        <v>#DIV/0!</v>
      </c>
    </row>
    <row r="10" spans="1:32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AC10" t="e">
        <f t="shared" si="4"/>
        <v>#DIV/0!</v>
      </c>
      <c r="AD10" t="e">
        <f t="shared" si="5"/>
        <v>#DIV/0!</v>
      </c>
    </row>
    <row r="11" spans="1:32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AC11" t="e">
        <f t="shared" si="4"/>
        <v>#DIV/0!</v>
      </c>
      <c r="AD11" t="e">
        <f t="shared" si="5"/>
        <v>#DIV/0!</v>
      </c>
    </row>
    <row r="12" spans="1:32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AC12" t="e">
        <f t="shared" si="4"/>
        <v>#DIV/0!</v>
      </c>
      <c r="AD12" t="e">
        <f t="shared" si="5"/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B137-6F6F-47C7-80DB-2FF2B4BCD957}">
  <dimension ref="A2:AF5"/>
  <sheetViews>
    <sheetView workbookViewId="0">
      <selection activeCell="B4" sqref="B4:O5"/>
    </sheetView>
  </sheetViews>
  <sheetFormatPr defaultRowHeight="14.4" x14ac:dyDescent="0.3"/>
  <sheetData>
    <row r="2" spans="1:32" x14ac:dyDescent="0.3">
      <c r="Q2" t="s">
        <v>12</v>
      </c>
      <c r="R2" t="s">
        <v>13</v>
      </c>
      <c r="S2" t="s">
        <v>14</v>
      </c>
      <c r="T2" t="s">
        <v>16</v>
      </c>
      <c r="U2" t="s">
        <v>64</v>
      </c>
      <c r="V2" t="s">
        <v>54</v>
      </c>
      <c r="W2" t="s">
        <v>65</v>
      </c>
      <c r="X2" t="s">
        <v>55</v>
      </c>
      <c r="Y2" t="s">
        <v>66</v>
      </c>
      <c r="Z2" t="s">
        <v>56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75</v>
      </c>
      <c r="K3" t="s">
        <v>25</v>
      </c>
    </row>
    <row r="4" spans="1:32" x14ac:dyDescent="0.3">
      <c r="Q4" t="e">
        <f>AVERAGE(D4,C4)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_xlfn.STDEV.S(AD5,AD4)</f>
        <v>#DIV/0!</v>
      </c>
    </row>
    <row r="5" spans="1:32" x14ac:dyDescent="0.3">
      <c r="Q5" t="e">
        <f t="shared" ref="Q5" si="0">AVERAGE(D5,C5)</f>
        <v>#DIV/0!</v>
      </c>
      <c r="R5" t="e">
        <f t="shared" ref="R5" si="1">AVERAGE(H5,I5)</f>
        <v>#DIV/0!</v>
      </c>
      <c r="S5" t="e">
        <f t="shared" ref="S5" si="2">AVERAGE(M5,N5)</f>
        <v>#DIV/0!</v>
      </c>
      <c r="T5" t="e">
        <f t="shared" ref="T5" si="3">AVERAGE(Q5:S5)</f>
        <v>#DIV/0!</v>
      </c>
      <c r="AC5" t="e">
        <f t="shared" ref="AC5" si="4">MIN(Q5:S5)</f>
        <v>#DIV/0!</v>
      </c>
      <c r="AD5" t="e">
        <f t="shared" ref="AD5" si="5">(1/3)*(T5-AC5)</f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D673-4552-407C-AD95-3B60150A1024}">
  <dimension ref="A2:AF8"/>
  <sheetViews>
    <sheetView topLeftCell="K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61</v>
      </c>
      <c r="Q2" t="s">
        <v>12</v>
      </c>
      <c r="R2" t="s">
        <v>13</v>
      </c>
      <c r="S2" t="s">
        <v>14</v>
      </c>
      <c r="T2" t="s">
        <v>16</v>
      </c>
      <c r="U2" t="s">
        <v>64</v>
      </c>
      <c r="V2" t="s">
        <v>54</v>
      </c>
      <c r="W2" t="s">
        <v>65</v>
      </c>
      <c r="X2" t="s">
        <v>55</v>
      </c>
      <c r="Y2" t="s">
        <v>66</v>
      </c>
      <c r="Z2" t="s">
        <v>56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75</v>
      </c>
      <c r="K3" t="s">
        <v>25</v>
      </c>
    </row>
    <row r="4" spans="1:32" x14ac:dyDescent="0.3">
      <c r="B4">
        <v>75</v>
      </c>
      <c r="C4">
        <v>25</v>
      </c>
      <c r="D4">
        <v>15</v>
      </c>
      <c r="E4">
        <v>85</v>
      </c>
      <c r="G4">
        <v>87</v>
      </c>
      <c r="H4">
        <v>13</v>
      </c>
      <c r="I4">
        <v>11</v>
      </c>
      <c r="J4">
        <v>89</v>
      </c>
      <c r="L4">
        <v>83</v>
      </c>
      <c r="M4">
        <v>17</v>
      </c>
      <c r="N4">
        <v>29</v>
      </c>
      <c r="O4">
        <v>71</v>
      </c>
      <c r="Q4">
        <f>AVERAGE(C4:D4)</f>
        <v>20</v>
      </c>
      <c r="R4">
        <f>AVERAGE(H4:I4)</f>
        <v>12</v>
      </c>
      <c r="S4">
        <f>AVERAGE(M4:N4)</f>
        <v>23</v>
      </c>
      <c r="T4">
        <f>AVERAGE(Q4:S4)</f>
        <v>18.333333333333332</v>
      </c>
      <c r="U4">
        <f>AVERAGE(Q4:Q8)</f>
        <v>21.1</v>
      </c>
      <c r="V4">
        <f>_xlfn.STDEV.S(Q4:Q8)</f>
        <v>3.8307962618755846</v>
      </c>
      <c r="W4">
        <f>AVERAGE(R4:R8)</f>
        <v>11.9</v>
      </c>
      <c r="X4">
        <f>_xlfn.STDEV.S(R4:R8)</f>
        <v>3.7316216314090598</v>
      </c>
      <c r="Y4">
        <f>AVERAGE(S4:S8)</f>
        <v>24.4</v>
      </c>
      <c r="Z4">
        <f>_xlfn.STDEV.S(S4:S8)</f>
        <v>3.2093613071762355</v>
      </c>
      <c r="AA4">
        <f>AVERAGE(T4:T8)</f>
        <v>19.133333333333333</v>
      </c>
      <c r="AB4">
        <f>_xlfn.STDEV.S(T4:T8)</f>
        <v>1.8234582528810472</v>
      </c>
      <c r="AC4">
        <f>MIN(Q4:S4)</f>
        <v>12</v>
      </c>
      <c r="AD4">
        <f>T4-AC4</f>
        <v>6.3333333333333321</v>
      </c>
      <c r="AE4">
        <f>AVERAGE(AD4:AD8)</f>
        <v>7.2333333333333343</v>
      </c>
      <c r="AF4">
        <f>_xlfn.STDEV.S(AD4:AD8)</f>
        <v>3.1898275815473136</v>
      </c>
    </row>
    <row r="5" spans="1:32" x14ac:dyDescent="0.3">
      <c r="B5">
        <v>77</v>
      </c>
      <c r="C5">
        <v>23</v>
      </c>
      <c r="D5">
        <v>30</v>
      </c>
      <c r="E5">
        <v>70</v>
      </c>
      <c r="G5">
        <v>95</v>
      </c>
      <c r="H5">
        <v>5</v>
      </c>
      <c r="I5">
        <v>12</v>
      </c>
      <c r="J5">
        <v>88</v>
      </c>
      <c r="L5">
        <v>77</v>
      </c>
      <c r="M5">
        <v>23</v>
      </c>
      <c r="N5">
        <v>31</v>
      </c>
      <c r="O5">
        <v>69</v>
      </c>
      <c r="Q5">
        <f t="shared" ref="Q5:Q8" si="0">AVERAGE(C5:D5)</f>
        <v>26.5</v>
      </c>
      <c r="R5">
        <f t="shared" ref="R5:R8" si="1">AVERAGE(H5:I5)</f>
        <v>8.5</v>
      </c>
      <c r="S5">
        <f t="shared" ref="S5:S8" si="2">AVERAGE(M5:N5)</f>
        <v>27</v>
      </c>
      <c r="T5">
        <f t="shared" ref="T5:T8" si="3">AVERAGE(Q5:S5)</f>
        <v>20.666666666666668</v>
      </c>
      <c r="AC5">
        <f t="shared" ref="AC5:AC8" si="4">MIN(Q5:S5)</f>
        <v>8.5</v>
      </c>
      <c r="AD5">
        <f t="shared" ref="AD5:AD8" si="5">T5-AC5</f>
        <v>12.166666666666668</v>
      </c>
    </row>
    <row r="6" spans="1:32" x14ac:dyDescent="0.3">
      <c r="A6" t="s">
        <v>23</v>
      </c>
      <c r="B6">
        <v>74</v>
      </c>
      <c r="C6">
        <v>26</v>
      </c>
      <c r="D6">
        <v>10</v>
      </c>
      <c r="E6">
        <v>90</v>
      </c>
      <c r="G6">
        <v>87</v>
      </c>
      <c r="H6">
        <v>13</v>
      </c>
      <c r="I6">
        <v>22</v>
      </c>
      <c r="J6">
        <v>78</v>
      </c>
      <c r="L6">
        <v>81</v>
      </c>
      <c r="M6">
        <v>19</v>
      </c>
      <c r="N6">
        <v>37</v>
      </c>
      <c r="O6">
        <v>63</v>
      </c>
      <c r="Q6">
        <f t="shared" si="0"/>
        <v>18</v>
      </c>
      <c r="R6">
        <f t="shared" si="1"/>
        <v>17.5</v>
      </c>
      <c r="S6">
        <f t="shared" si="2"/>
        <v>28</v>
      </c>
      <c r="T6">
        <f t="shared" si="3"/>
        <v>21.166666666666668</v>
      </c>
      <c r="AC6">
        <f t="shared" si="4"/>
        <v>17.5</v>
      </c>
      <c r="AD6">
        <f t="shared" si="5"/>
        <v>3.6666666666666679</v>
      </c>
    </row>
    <row r="7" spans="1:32" x14ac:dyDescent="0.3">
      <c r="B7">
        <v>69</v>
      </c>
      <c r="C7">
        <v>31</v>
      </c>
      <c r="D7">
        <v>16</v>
      </c>
      <c r="E7">
        <v>84</v>
      </c>
      <c r="G7">
        <v>94</v>
      </c>
      <c r="H7">
        <v>6</v>
      </c>
      <c r="I7">
        <v>20</v>
      </c>
      <c r="J7">
        <v>80</v>
      </c>
      <c r="L7">
        <v>83</v>
      </c>
      <c r="M7">
        <v>17</v>
      </c>
      <c r="N7">
        <v>23</v>
      </c>
      <c r="O7">
        <v>77</v>
      </c>
      <c r="Q7">
        <f t="shared" si="0"/>
        <v>23.5</v>
      </c>
      <c r="R7">
        <f t="shared" si="1"/>
        <v>13</v>
      </c>
      <c r="S7">
        <f t="shared" si="2"/>
        <v>20</v>
      </c>
      <c r="T7">
        <f t="shared" si="3"/>
        <v>18.833333333333332</v>
      </c>
      <c r="AC7">
        <f t="shared" si="4"/>
        <v>13</v>
      </c>
      <c r="AD7">
        <f t="shared" si="5"/>
        <v>5.8333333333333321</v>
      </c>
    </row>
    <row r="8" spans="1:32" x14ac:dyDescent="0.3">
      <c r="B8">
        <v>71</v>
      </c>
      <c r="C8">
        <v>29</v>
      </c>
      <c r="D8">
        <v>6</v>
      </c>
      <c r="E8">
        <v>94</v>
      </c>
      <c r="G8">
        <v>94</v>
      </c>
      <c r="H8">
        <v>6</v>
      </c>
      <c r="I8">
        <v>11</v>
      </c>
      <c r="J8">
        <v>89</v>
      </c>
      <c r="L8">
        <v>90</v>
      </c>
      <c r="M8">
        <v>10</v>
      </c>
      <c r="N8">
        <v>38</v>
      </c>
      <c r="O8">
        <v>62</v>
      </c>
      <c r="Q8">
        <f t="shared" si="0"/>
        <v>17.5</v>
      </c>
      <c r="R8">
        <f t="shared" si="1"/>
        <v>8.5</v>
      </c>
      <c r="S8">
        <f t="shared" si="2"/>
        <v>24</v>
      </c>
      <c r="T8">
        <f t="shared" si="3"/>
        <v>16.666666666666668</v>
      </c>
      <c r="AC8">
        <f t="shared" si="4"/>
        <v>8.5</v>
      </c>
      <c r="AD8">
        <f t="shared" si="5"/>
        <v>8.1666666666666679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CF4A-6F3D-4BA0-B506-17E3C93FB04B}">
  <dimension ref="A2:AF9"/>
  <sheetViews>
    <sheetView topLeftCell="M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61</v>
      </c>
      <c r="Q2" t="s">
        <v>12</v>
      </c>
      <c r="R2" t="s">
        <v>13</v>
      </c>
      <c r="S2" t="s">
        <v>14</v>
      </c>
      <c r="T2" t="s">
        <v>16</v>
      </c>
      <c r="U2" t="s">
        <v>64</v>
      </c>
      <c r="V2" t="s">
        <v>54</v>
      </c>
      <c r="W2" t="s">
        <v>65</v>
      </c>
      <c r="X2" t="s">
        <v>55</v>
      </c>
      <c r="Y2" t="s">
        <v>66</v>
      </c>
      <c r="Z2" t="s">
        <v>56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75</v>
      </c>
      <c r="K3" t="s">
        <v>25</v>
      </c>
    </row>
    <row r="4" spans="1:32" x14ac:dyDescent="0.3">
      <c r="B4">
        <v>60</v>
      </c>
      <c r="C4">
        <v>40</v>
      </c>
      <c r="D4">
        <v>7</v>
      </c>
      <c r="E4">
        <v>93</v>
      </c>
      <c r="G4">
        <v>86</v>
      </c>
      <c r="H4">
        <v>14</v>
      </c>
      <c r="I4">
        <v>13</v>
      </c>
      <c r="J4">
        <v>87</v>
      </c>
      <c r="L4">
        <v>87</v>
      </c>
      <c r="M4">
        <v>13</v>
      </c>
      <c r="N4">
        <v>20</v>
      </c>
      <c r="O4">
        <v>80</v>
      </c>
      <c r="Q4">
        <f>AVERAGE(C4,D4)</f>
        <v>23.5</v>
      </c>
      <c r="R4">
        <f>AVERAGE(H4,I4)</f>
        <v>13.5</v>
      </c>
      <c r="S4">
        <f>AVERAGE(M4,N4)</f>
        <v>16.5</v>
      </c>
      <c r="T4">
        <f>AVERAGE(Q4:S4)</f>
        <v>17.833333333333332</v>
      </c>
      <c r="U4">
        <f>AVERAGE(Q4:Q9)</f>
        <v>19.583333333333332</v>
      </c>
      <c r="V4">
        <f>_xlfn.STDEV.S(Q4:Q9)</f>
        <v>2.3540744819709287</v>
      </c>
      <c r="W4">
        <f>AVERAGE(R4:R9)</f>
        <v>13.916666666666666</v>
      </c>
      <c r="X4">
        <f>_xlfn.STDEV.S(R4:R9)</f>
        <v>2.5380438661825075</v>
      </c>
      <c r="Y4">
        <f>AVERAGE(S4:S10)</f>
        <v>23</v>
      </c>
      <c r="Z4">
        <f>_xlfn.STDEV.S(S4:S9)</f>
        <v>5.196152422706632</v>
      </c>
      <c r="AA4">
        <f>AVERAGE(T4:T9)</f>
        <v>18.833333333333332</v>
      </c>
      <c r="AB4">
        <f>_xlfn.STDEV.S(T4:T9)</f>
        <v>1.8737959096740264</v>
      </c>
      <c r="AC4">
        <f>MIN(Q4:S4)</f>
        <v>13.5</v>
      </c>
      <c r="AD4">
        <f>T4-AC4</f>
        <v>4.3333333333333321</v>
      </c>
      <c r="AE4">
        <f>AVERAGE(AD4:AD9)</f>
        <v>4.916666666666667</v>
      </c>
      <c r="AF4">
        <f>_xlfn.STDEV.S(AD4:AD9)</f>
        <v>2.1337239225770932</v>
      </c>
    </row>
    <row r="5" spans="1:32" x14ac:dyDescent="0.3">
      <c r="B5">
        <v>73</v>
      </c>
      <c r="C5">
        <v>27</v>
      </c>
      <c r="D5">
        <v>15</v>
      </c>
      <c r="E5">
        <v>85</v>
      </c>
      <c r="G5">
        <v>84</v>
      </c>
      <c r="H5">
        <v>16</v>
      </c>
      <c r="I5">
        <v>18</v>
      </c>
      <c r="J5">
        <v>82</v>
      </c>
      <c r="L5">
        <v>78</v>
      </c>
      <c r="M5">
        <v>22</v>
      </c>
      <c r="N5">
        <v>23</v>
      </c>
      <c r="O5">
        <v>77</v>
      </c>
      <c r="Q5">
        <f t="shared" ref="Q5:Q9" si="0">AVERAGE(C5,D5)</f>
        <v>21</v>
      </c>
      <c r="R5">
        <f t="shared" ref="R5:R9" si="1">AVERAGE(H5,I5)</f>
        <v>17</v>
      </c>
      <c r="S5">
        <f t="shared" ref="S5:S9" si="2">AVERAGE(M5,N5)</f>
        <v>22.5</v>
      </c>
      <c r="T5">
        <f t="shared" ref="T5:T9" si="3">AVERAGE(Q5:S5)</f>
        <v>20.166666666666668</v>
      </c>
      <c r="AC5">
        <f t="shared" ref="AC5:AC9" si="4">MIN(Q5:S5)</f>
        <v>17</v>
      </c>
      <c r="AD5">
        <f t="shared" ref="AD5:AD9" si="5">T5-AC5</f>
        <v>3.1666666666666679</v>
      </c>
    </row>
    <row r="6" spans="1:32" x14ac:dyDescent="0.3">
      <c r="A6" t="s">
        <v>23</v>
      </c>
      <c r="B6">
        <v>67</v>
      </c>
      <c r="C6">
        <v>33</v>
      </c>
      <c r="D6">
        <v>6</v>
      </c>
      <c r="E6">
        <v>94</v>
      </c>
      <c r="G6">
        <v>91</v>
      </c>
      <c r="H6">
        <v>9</v>
      </c>
      <c r="I6">
        <v>10</v>
      </c>
      <c r="J6">
        <v>90</v>
      </c>
      <c r="L6">
        <v>80</v>
      </c>
      <c r="M6">
        <v>20</v>
      </c>
      <c r="N6">
        <v>30</v>
      </c>
      <c r="O6">
        <v>70</v>
      </c>
      <c r="Q6">
        <f t="shared" si="0"/>
        <v>19.5</v>
      </c>
      <c r="R6">
        <f t="shared" si="1"/>
        <v>9.5</v>
      </c>
      <c r="S6">
        <f t="shared" si="2"/>
        <v>25</v>
      </c>
      <c r="T6">
        <f t="shared" si="3"/>
        <v>18</v>
      </c>
      <c r="AC6">
        <f t="shared" si="4"/>
        <v>9.5</v>
      </c>
      <c r="AD6">
        <f t="shared" si="5"/>
        <v>8.5</v>
      </c>
    </row>
    <row r="7" spans="1:32" x14ac:dyDescent="0.3">
      <c r="B7">
        <v>71</v>
      </c>
      <c r="C7">
        <v>29</v>
      </c>
      <c r="D7">
        <v>8</v>
      </c>
      <c r="E7">
        <v>92</v>
      </c>
      <c r="G7">
        <v>85</v>
      </c>
      <c r="H7">
        <v>15</v>
      </c>
      <c r="I7">
        <v>14</v>
      </c>
      <c r="J7">
        <v>86</v>
      </c>
      <c r="L7">
        <v>72</v>
      </c>
      <c r="M7">
        <v>28</v>
      </c>
      <c r="N7">
        <v>26</v>
      </c>
      <c r="O7">
        <v>74</v>
      </c>
      <c r="Q7">
        <f t="shared" si="0"/>
        <v>18.5</v>
      </c>
      <c r="R7">
        <f t="shared" si="1"/>
        <v>14.5</v>
      </c>
      <c r="S7">
        <f t="shared" si="2"/>
        <v>27</v>
      </c>
      <c r="T7">
        <f t="shared" si="3"/>
        <v>20</v>
      </c>
      <c r="AC7">
        <f t="shared" si="4"/>
        <v>14.5</v>
      </c>
      <c r="AD7">
        <f t="shared" si="5"/>
        <v>5.5</v>
      </c>
    </row>
    <row r="8" spans="1:32" x14ac:dyDescent="0.3">
      <c r="B8">
        <v>82</v>
      </c>
      <c r="C8">
        <v>18</v>
      </c>
      <c r="D8">
        <v>18</v>
      </c>
      <c r="E8">
        <v>82</v>
      </c>
      <c r="G8">
        <v>81</v>
      </c>
      <c r="H8">
        <v>19</v>
      </c>
      <c r="I8">
        <v>12</v>
      </c>
      <c r="J8">
        <v>88</v>
      </c>
      <c r="L8">
        <v>79</v>
      </c>
      <c r="M8">
        <v>21</v>
      </c>
      <c r="N8">
        <v>38</v>
      </c>
      <c r="O8">
        <v>62</v>
      </c>
      <c r="Q8">
        <f t="shared" si="0"/>
        <v>18</v>
      </c>
      <c r="R8">
        <f t="shared" si="1"/>
        <v>15.5</v>
      </c>
      <c r="S8">
        <f t="shared" si="2"/>
        <v>29.5</v>
      </c>
      <c r="T8">
        <f t="shared" si="3"/>
        <v>21</v>
      </c>
      <c r="AC8">
        <f t="shared" si="4"/>
        <v>15.5</v>
      </c>
      <c r="AD8">
        <f t="shared" si="5"/>
        <v>5.5</v>
      </c>
    </row>
    <row r="9" spans="1:32" x14ac:dyDescent="0.3">
      <c r="B9">
        <v>76</v>
      </c>
      <c r="C9">
        <v>24</v>
      </c>
      <c r="D9">
        <v>10</v>
      </c>
      <c r="E9">
        <v>90</v>
      </c>
      <c r="G9">
        <v>86</v>
      </c>
      <c r="H9">
        <v>14</v>
      </c>
      <c r="I9">
        <v>13</v>
      </c>
      <c r="J9">
        <v>87</v>
      </c>
      <c r="L9">
        <v>85</v>
      </c>
      <c r="M9">
        <v>15</v>
      </c>
      <c r="N9">
        <v>20</v>
      </c>
      <c r="O9">
        <v>80</v>
      </c>
      <c r="Q9">
        <f t="shared" si="0"/>
        <v>17</v>
      </c>
      <c r="R9">
        <f t="shared" si="1"/>
        <v>13.5</v>
      </c>
      <c r="S9">
        <f t="shared" si="2"/>
        <v>17.5</v>
      </c>
      <c r="T9">
        <f t="shared" si="3"/>
        <v>16</v>
      </c>
      <c r="AC9">
        <f t="shared" si="4"/>
        <v>13.5</v>
      </c>
      <c r="AD9">
        <f t="shared" si="5"/>
        <v>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91D-5E11-4BE7-9F8B-616A902FA88F}">
  <dimension ref="A2:AF9"/>
  <sheetViews>
    <sheetView topLeftCell="N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61</v>
      </c>
      <c r="Q2" t="s">
        <v>12</v>
      </c>
      <c r="R2" t="s">
        <v>13</v>
      </c>
      <c r="S2" t="s">
        <v>14</v>
      </c>
      <c r="T2" t="s">
        <v>16</v>
      </c>
      <c r="U2" t="s">
        <v>64</v>
      </c>
      <c r="V2" t="s">
        <v>54</v>
      </c>
      <c r="W2" t="s">
        <v>65</v>
      </c>
      <c r="X2" t="s">
        <v>55</v>
      </c>
      <c r="Y2" t="s">
        <v>66</v>
      </c>
      <c r="Z2" t="s">
        <v>56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75</v>
      </c>
      <c r="K3" t="s">
        <v>25</v>
      </c>
    </row>
    <row r="4" spans="1:32" x14ac:dyDescent="0.3">
      <c r="B4">
        <v>82</v>
      </c>
      <c r="C4">
        <v>18</v>
      </c>
      <c r="D4">
        <v>12</v>
      </c>
      <c r="E4">
        <v>88</v>
      </c>
      <c r="G4">
        <v>99</v>
      </c>
      <c r="H4">
        <v>1</v>
      </c>
      <c r="I4">
        <v>14</v>
      </c>
      <c r="J4">
        <v>86</v>
      </c>
      <c r="L4">
        <v>80</v>
      </c>
      <c r="M4">
        <v>20</v>
      </c>
      <c r="N4">
        <v>33</v>
      </c>
      <c r="O4">
        <v>67</v>
      </c>
      <c r="Q4">
        <f>AVERAGE(C4,D4)</f>
        <v>15</v>
      </c>
      <c r="R4">
        <f>AVERAGE(H4,I4)</f>
        <v>7.5</v>
      </c>
      <c r="S4">
        <f>AVERAGE(M4,N4)</f>
        <v>26.5</v>
      </c>
      <c r="T4">
        <f>AVERAGE(Q4:S4)</f>
        <v>16.333333333333332</v>
      </c>
      <c r="U4">
        <f>AVERAGE(Q4:Q9)</f>
        <v>17.833333333333332</v>
      </c>
      <c r="V4">
        <f>_xlfn.STDEV.S(Q4:Q9)</f>
        <v>3.125166662222457</v>
      </c>
      <c r="W4">
        <f>AVERAGE(R4:R9)</f>
        <v>8.5833333333333339</v>
      </c>
      <c r="X4">
        <f>_xlfn.STDEV.S(R4:R9)</f>
        <v>1.2416387021459434</v>
      </c>
      <c r="Y4">
        <f>AVERAGE(S4:S9)</f>
        <v>28.583333333333332</v>
      </c>
      <c r="Z4">
        <f>_xlfn.STDEV.S(S4:S9)</f>
        <v>3.6799003609699281</v>
      </c>
      <c r="AA4">
        <f>AVERAGE(T4:T9)</f>
        <v>18.333333333333332</v>
      </c>
      <c r="AB4">
        <f>_xlfn.STDEV.S(T4:T9)</f>
        <v>1.7763883459298975</v>
      </c>
      <c r="AC4">
        <f>MIN(Q4:S4)</f>
        <v>7.5</v>
      </c>
      <c r="AD4">
        <f>T4-AC4</f>
        <v>8.8333333333333321</v>
      </c>
      <c r="AE4">
        <f>AVERAGE(AD4:AD9)</f>
        <v>9.75</v>
      </c>
      <c r="AF4">
        <f>_xlfn.STDEV.S(AD4:AD9)</f>
        <v>1.0632758605157719</v>
      </c>
    </row>
    <row r="5" spans="1:32" x14ac:dyDescent="0.3">
      <c r="B5">
        <v>70</v>
      </c>
      <c r="C5">
        <v>30</v>
      </c>
      <c r="D5">
        <v>17</v>
      </c>
      <c r="E5">
        <v>83</v>
      </c>
      <c r="G5">
        <v>92</v>
      </c>
      <c r="H5">
        <v>8</v>
      </c>
      <c r="I5">
        <v>12</v>
      </c>
      <c r="J5">
        <v>88</v>
      </c>
      <c r="L5">
        <v>85</v>
      </c>
      <c r="M5">
        <v>15</v>
      </c>
      <c r="N5">
        <v>39</v>
      </c>
      <c r="O5">
        <v>61</v>
      </c>
      <c r="Q5">
        <f t="shared" ref="Q5:Q9" si="0">AVERAGE(C5,D5)</f>
        <v>23.5</v>
      </c>
      <c r="R5">
        <f t="shared" ref="R5:R9" si="1">AVERAGE(H5,I5)</f>
        <v>10</v>
      </c>
      <c r="S5">
        <f t="shared" ref="S5:S9" si="2">AVERAGE(M5,N5)</f>
        <v>27</v>
      </c>
      <c r="T5">
        <f t="shared" ref="T5:T9" si="3">AVERAGE(Q5:S5)</f>
        <v>20.166666666666668</v>
      </c>
      <c r="AC5">
        <f t="shared" ref="AC5:AC9" si="4">MIN(Q5:S5)</f>
        <v>10</v>
      </c>
      <c r="AD5">
        <f t="shared" ref="AD5:AD9" si="5">T5-AC5</f>
        <v>10.166666666666668</v>
      </c>
    </row>
    <row r="6" spans="1:32" x14ac:dyDescent="0.3">
      <c r="A6" t="s">
        <v>23</v>
      </c>
      <c r="B6">
        <v>82</v>
      </c>
      <c r="C6">
        <v>18</v>
      </c>
      <c r="D6">
        <v>13</v>
      </c>
      <c r="E6">
        <v>87</v>
      </c>
      <c r="G6">
        <v>96</v>
      </c>
      <c r="H6">
        <v>4</v>
      </c>
      <c r="I6">
        <v>11</v>
      </c>
      <c r="J6">
        <v>89</v>
      </c>
      <c r="L6">
        <v>75</v>
      </c>
      <c r="M6">
        <v>25</v>
      </c>
      <c r="N6">
        <v>40</v>
      </c>
      <c r="O6">
        <v>60</v>
      </c>
      <c r="Q6">
        <f t="shared" si="0"/>
        <v>15.5</v>
      </c>
      <c r="R6">
        <f t="shared" si="1"/>
        <v>7.5</v>
      </c>
      <c r="S6">
        <f t="shared" si="2"/>
        <v>32.5</v>
      </c>
      <c r="T6">
        <f t="shared" si="3"/>
        <v>18.5</v>
      </c>
      <c r="AC6">
        <f t="shared" si="4"/>
        <v>7.5</v>
      </c>
      <c r="AD6">
        <f t="shared" si="5"/>
        <v>11</v>
      </c>
    </row>
    <row r="7" spans="1:32" x14ac:dyDescent="0.3">
      <c r="B7">
        <v>82</v>
      </c>
      <c r="C7">
        <v>18</v>
      </c>
      <c r="D7">
        <v>20</v>
      </c>
      <c r="E7">
        <v>80</v>
      </c>
      <c r="G7">
        <v>93</v>
      </c>
      <c r="H7">
        <v>7</v>
      </c>
      <c r="I7">
        <v>11</v>
      </c>
      <c r="J7">
        <v>89</v>
      </c>
      <c r="L7">
        <v>76</v>
      </c>
      <c r="M7">
        <v>24</v>
      </c>
      <c r="N7">
        <v>39</v>
      </c>
      <c r="O7">
        <v>61</v>
      </c>
      <c r="Q7">
        <f t="shared" si="0"/>
        <v>19</v>
      </c>
      <c r="R7">
        <f t="shared" si="1"/>
        <v>9</v>
      </c>
      <c r="S7">
        <f t="shared" si="2"/>
        <v>31.5</v>
      </c>
      <c r="T7">
        <f t="shared" si="3"/>
        <v>19.833333333333332</v>
      </c>
      <c r="AC7">
        <f t="shared" si="4"/>
        <v>9</v>
      </c>
      <c r="AD7">
        <f t="shared" si="5"/>
        <v>10.833333333333332</v>
      </c>
    </row>
    <row r="8" spans="1:32" x14ac:dyDescent="0.3">
      <c r="B8">
        <v>79</v>
      </c>
      <c r="C8">
        <v>21</v>
      </c>
      <c r="D8">
        <v>14</v>
      </c>
      <c r="E8">
        <v>86</v>
      </c>
      <c r="G8">
        <v>95</v>
      </c>
      <c r="H8">
        <v>5</v>
      </c>
      <c r="I8">
        <v>10</v>
      </c>
      <c r="J8">
        <v>90</v>
      </c>
      <c r="L8">
        <v>86</v>
      </c>
      <c r="M8">
        <v>14</v>
      </c>
      <c r="N8">
        <v>32</v>
      </c>
      <c r="O8">
        <v>68</v>
      </c>
      <c r="Q8">
        <f t="shared" si="0"/>
        <v>17.5</v>
      </c>
      <c r="R8">
        <f t="shared" si="1"/>
        <v>7.5</v>
      </c>
      <c r="S8">
        <f t="shared" si="2"/>
        <v>23</v>
      </c>
      <c r="T8">
        <f t="shared" si="3"/>
        <v>16</v>
      </c>
      <c r="AC8">
        <f t="shared" si="4"/>
        <v>7.5</v>
      </c>
      <c r="AD8">
        <f t="shared" si="5"/>
        <v>8.5</v>
      </c>
    </row>
    <row r="9" spans="1:32" x14ac:dyDescent="0.3">
      <c r="B9">
        <v>78</v>
      </c>
      <c r="C9">
        <v>22</v>
      </c>
      <c r="D9">
        <v>11</v>
      </c>
      <c r="E9">
        <v>89</v>
      </c>
      <c r="G9">
        <v>93</v>
      </c>
      <c r="H9">
        <v>7</v>
      </c>
      <c r="I9">
        <v>13</v>
      </c>
      <c r="J9">
        <v>87</v>
      </c>
      <c r="L9">
        <v>76</v>
      </c>
      <c r="M9">
        <v>24</v>
      </c>
      <c r="N9">
        <v>38</v>
      </c>
      <c r="O9">
        <v>62</v>
      </c>
      <c r="Q9">
        <f t="shared" si="0"/>
        <v>16.5</v>
      </c>
      <c r="R9">
        <f t="shared" si="1"/>
        <v>10</v>
      </c>
      <c r="S9">
        <f t="shared" si="2"/>
        <v>31</v>
      </c>
      <c r="T9">
        <f t="shared" si="3"/>
        <v>19.166666666666668</v>
      </c>
      <c r="AC9">
        <f t="shared" si="4"/>
        <v>10</v>
      </c>
      <c r="AD9">
        <f t="shared" si="5"/>
        <v>9.1666666666666679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926-3ADF-46D7-8F68-CEFFC1D24F6E}">
  <dimension ref="A2:AF10"/>
  <sheetViews>
    <sheetView topLeftCell="M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61</v>
      </c>
      <c r="Q2" t="s">
        <v>12</v>
      </c>
      <c r="R2" t="s">
        <v>13</v>
      </c>
      <c r="S2" t="s">
        <v>14</v>
      </c>
      <c r="T2" t="s">
        <v>16</v>
      </c>
      <c r="U2" t="s">
        <v>64</v>
      </c>
      <c r="V2" t="s">
        <v>54</v>
      </c>
      <c r="W2" t="s">
        <v>65</v>
      </c>
      <c r="X2" t="s">
        <v>55</v>
      </c>
      <c r="Y2" t="s">
        <v>66</v>
      </c>
      <c r="Z2" t="s">
        <v>56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75</v>
      </c>
      <c r="K3" t="s">
        <v>25</v>
      </c>
    </row>
    <row r="4" spans="1:32" x14ac:dyDescent="0.3">
      <c r="B4">
        <v>55</v>
      </c>
      <c r="C4">
        <v>45</v>
      </c>
      <c r="D4">
        <v>10</v>
      </c>
      <c r="E4">
        <v>90</v>
      </c>
      <c r="G4">
        <v>91</v>
      </c>
      <c r="H4">
        <v>9</v>
      </c>
      <c r="I4">
        <v>17</v>
      </c>
      <c r="J4">
        <v>83</v>
      </c>
      <c r="L4">
        <v>80</v>
      </c>
      <c r="M4">
        <v>20</v>
      </c>
      <c r="N4">
        <v>44</v>
      </c>
      <c r="O4">
        <v>56</v>
      </c>
      <c r="Q4">
        <f>AVERAGE(C4,D4)</f>
        <v>27.5</v>
      </c>
      <c r="R4">
        <f>AVERAGE(H4,I4)</f>
        <v>13</v>
      </c>
      <c r="S4">
        <f>AVERAGE(M4,N4)</f>
        <v>32</v>
      </c>
      <c r="T4">
        <f>AVERAGE(Q4:S4)</f>
        <v>24.166666666666668</v>
      </c>
      <c r="U4">
        <f>AVERAGE(Q4:Q10)</f>
        <v>23.214285714285715</v>
      </c>
      <c r="V4">
        <f>_xlfn.STDEV.S(Q4:Q10)</f>
        <v>2.6435005651777832</v>
      </c>
      <c r="W4">
        <f>AVERAGE(R4:R10)</f>
        <v>11.071428571428571</v>
      </c>
      <c r="X4">
        <f>_xlfn.STDEV.S(R4:R10)</f>
        <v>1.336306209562119</v>
      </c>
      <c r="Y4">
        <f>AVERAGE(S4:S10)</f>
        <v>35.642857142857146</v>
      </c>
      <c r="Z4">
        <f>_xlfn.STDEV.S(S4:S10)</f>
        <v>4.5434411125112195</v>
      </c>
      <c r="AA4">
        <f>AVERAGE(T4:T10)</f>
        <v>23.309523809523807</v>
      </c>
      <c r="AB4">
        <f>_xlfn.STDEV.S(T4:T10)</f>
        <v>1.5257923607235448</v>
      </c>
      <c r="AC4">
        <f>MIN(Q4:S4)</f>
        <v>13</v>
      </c>
      <c r="AD4">
        <f>T4-AC4</f>
        <v>11.166666666666668</v>
      </c>
      <c r="AE4">
        <f>AVERAGE(AD4:AD10)</f>
        <v>12.238095238095239</v>
      </c>
      <c r="AF4">
        <f>_xlfn.STDEV.S(AD4:AD10)</f>
        <v>2.088010622527662</v>
      </c>
    </row>
    <row r="5" spans="1:32" x14ac:dyDescent="0.3">
      <c r="B5">
        <v>63</v>
      </c>
      <c r="C5">
        <v>37</v>
      </c>
      <c r="D5">
        <v>10</v>
      </c>
      <c r="E5">
        <v>90</v>
      </c>
      <c r="G5">
        <v>92</v>
      </c>
      <c r="H5">
        <v>8</v>
      </c>
      <c r="I5">
        <v>14</v>
      </c>
      <c r="J5">
        <v>86</v>
      </c>
      <c r="L5">
        <v>81</v>
      </c>
      <c r="M5">
        <v>19</v>
      </c>
      <c r="N5">
        <v>37</v>
      </c>
      <c r="O5">
        <v>63</v>
      </c>
      <c r="Q5">
        <f t="shared" ref="Q5:Q10" si="0">AVERAGE(C5,D5)</f>
        <v>23.5</v>
      </c>
      <c r="R5">
        <f t="shared" ref="R5:R10" si="1">AVERAGE(H5,I5)</f>
        <v>11</v>
      </c>
      <c r="S5">
        <f t="shared" ref="S5:S10" si="2">AVERAGE(M5,N5)</f>
        <v>28</v>
      </c>
      <c r="T5">
        <f t="shared" ref="T5:T10" si="3">AVERAGE(Q5:S5)</f>
        <v>20.833333333333332</v>
      </c>
      <c r="AC5">
        <f t="shared" ref="AC5:AC10" si="4">MIN(Q5:S5)</f>
        <v>11</v>
      </c>
      <c r="AD5">
        <f t="shared" ref="AD5:AD10" si="5">T5-AC5</f>
        <v>9.8333333333333321</v>
      </c>
    </row>
    <row r="6" spans="1:32" x14ac:dyDescent="0.3">
      <c r="B6">
        <v>66</v>
      </c>
      <c r="C6">
        <v>34</v>
      </c>
      <c r="D6">
        <v>13</v>
      </c>
      <c r="E6">
        <v>87</v>
      </c>
      <c r="G6">
        <v>92</v>
      </c>
      <c r="H6">
        <v>8</v>
      </c>
      <c r="I6">
        <v>11</v>
      </c>
      <c r="J6">
        <v>89</v>
      </c>
      <c r="L6">
        <v>71</v>
      </c>
      <c r="M6">
        <v>29</v>
      </c>
      <c r="N6">
        <v>51</v>
      </c>
      <c r="O6">
        <v>49</v>
      </c>
      <c r="Q6">
        <f t="shared" si="0"/>
        <v>23.5</v>
      </c>
      <c r="R6">
        <f t="shared" si="1"/>
        <v>9.5</v>
      </c>
      <c r="S6">
        <f t="shared" si="2"/>
        <v>40</v>
      </c>
      <c r="T6">
        <f t="shared" si="3"/>
        <v>24.333333333333332</v>
      </c>
      <c r="AC6">
        <f t="shared" si="4"/>
        <v>9.5</v>
      </c>
      <c r="AD6">
        <f t="shared" si="5"/>
        <v>14.833333333333332</v>
      </c>
    </row>
    <row r="7" spans="1:32" x14ac:dyDescent="0.3">
      <c r="B7">
        <v>76</v>
      </c>
      <c r="C7">
        <v>24</v>
      </c>
      <c r="D7">
        <v>21</v>
      </c>
      <c r="E7">
        <v>79</v>
      </c>
      <c r="G7">
        <v>86</v>
      </c>
      <c r="H7">
        <v>14</v>
      </c>
      <c r="I7">
        <v>10</v>
      </c>
      <c r="J7">
        <v>90</v>
      </c>
      <c r="L7">
        <v>75</v>
      </c>
      <c r="M7">
        <v>25</v>
      </c>
      <c r="N7">
        <v>56</v>
      </c>
      <c r="O7">
        <v>44</v>
      </c>
      <c r="Q7">
        <f t="shared" si="0"/>
        <v>22.5</v>
      </c>
      <c r="R7">
        <f t="shared" si="1"/>
        <v>12</v>
      </c>
      <c r="S7">
        <f t="shared" si="2"/>
        <v>40.5</v>
      </c>
      <c r="T7">
        <f t="shared" si="3"/>
        <v>25</v>
      </c>
      <c r="AC7">
        <f t="shared" si="4"/>
        <v>12</v>
      </c>
      <c r="AD7">
        <f t="shared" si="5"/>
        <v>13</v>
      </c>
    </row>
    <row r="8" spans="1:32" x14ac:dyDescent="0.3">
      <c r="B8">
        <v>73</v>
      </c>
      <c r="C8">
        <v>27</v>
      </c>
      <c r="D8">
        <v>10</v>
      </c>
      <c r="E8">
        <v>90</v>
      </c>
      <c r="G8">
        <v>89</v>
      </c>
      <c r="H8">
        <v>11</v>
      </c>
      <c r="I8">
        <v>13</v>
      </c>
      <c r="J8">
        <v>87</v>
      </c>
      <c r="L8">
        <v>84</v>
      </c>
      <c r="M8">
        <v>16</v>
      </c>
      <c r="N8">
        <v>53</v>
      </c>
      <c r="O8">
        <v>47</v>
      </c>
      <c r="Q8">
        <f t="shared" si="0"/>
        <v>18.5</v>
      </c>
      <c r="R8">
        <f t="shared" si="1"/>
        <v>12</v>
      </c>
      <c r="S8">
        <f t="shared" si="2"/>
        <v>34.5</v>
      </c>
      <c r="T8">
        <f t="shared" si="3"/>
        <v>21.666666666666668</v>
      </c>
      <c r="AC8">
        <f t="shared" si="4"/>
        <v>12</v>
      </c>
      <c r="AD8">
        <f t="shared" si="5"/>
        <v>9.6666666666666679</v>
      </c>
    </row>
    <row r="9" spans="1:32" x14ac:dyDescent="0.3">
      <c r="B9">
        <v>63</v>
      </c>
      <c r="C9">
        <v>37</v>
      </c>
      <c r="D9">
        <v>9</v>
      </c>
      <c r="E9">
        <v>91</v>
      </c>
      <c r="G9">
        <v>90</v>
      </c>
      <c r="H9">
        <v>10</v>
      </c>
      <c r="I9">
        <v>11</v>
      </c>
      <c r="J9">
        <v>89</v>
      </c>
      <c r="L9">
        <v>74</v>
      </c>
      <c r="M9">
        <v>26</v>
      </c>
      <c r="N9">
        <v>46</v>
      </c>
      <c r="O9">
        <v>54</v>
      </c>
      <c r="Q9">
        <f t="shared" si="0"/>
        <v>23</v>
      </c>
      <c r="R9">
        <f t="shared" si="1"/>
        <v>10.5</v>
      </c>
      <c r="S9">
        <f t="shared" si="2"/>
        <v>36</v>
      </c>
      <c r="T9">
        <f t="shared" si="3"/>
        <v>23.166666666666668</v>
      </c>
      <c r="AC9">
        <f t="shared" si="4"/>
        <v>10.5</v>
      </c>
      <c r="AD9">
        <f t="shared" si="5"/>
        <v>12.666666666666668</v>
      </c>
    </row>
    <row r="10" spans="1:32" x14ac:dyDescent="0.3">
      <c r="B10">
        <v>62</v>
      </c>
      <c r="C10">
        <v>38</v>
      </c>
      <c r="D10">
        <v>10</v>
      </c>
      <c r="E10">
        <v>90</v>
      </c>
      <c r="G10">
        <v>91</v>
      </c>
      <c r="H10">
        <v>9</v>
      </c>
      <c r="I10">
        <v>10</v>
      </c>
      <c r="J10">
        <v>90</v>
      </c>
      <c r="L10">
        <v>80</v>
      </c>
      <c r="M10">
        <v>20</v>
      </c>
      <c r="N10">
        <v>57</v>
      </c>
      <c r="O10">
        <v>43</v>
      </c>
      <c r="Q10">
        <f t="shared" si="0"/>
        <v>24</v>
      </c>
      <c r="R10">
        <f t="shared" si="1"/>
        <v>9.5</v>
      </c>
      <c r="S10">
        <f t="shared" si="2"/>
        <v>38.5</v>
      </c>
      <c r="T10">
        <f t="shared" si="3"/>
        <v>24</v>
      </c>
      <c r="AC10">
        <f t="shared" si="4"/>
        <v>9.5</v>
      </c>
      <c r="AD10">
        <f t="shared" si="5"/>
        <v>14.5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6F53-9387-444E-890F-DCD3D83EC80C}">
  <dimension ref="A1:AH99"/>
  <sheetViews>
    <sheetView workbookViewId="0">
      <selection activeCell="B3" sqref="B3:O99"/>
    </sheetView>
  </sheetViews>
  <sheetFormatPr defaultRowHeight="14.4" x14ac:dyDescent="0.3"/>
  <cols>
    <col min="28" max="28" width="23.21875" customWidth="1"/>
    <col min="32" max="32" width="19.33203125" customWidth="1"/>
  </cols>
  <sheetData>
    <row r="1" spans="1:34" x14ac:dyDescent="0.3">
      <c r="A1" t="s">
        <v>22</v>
      </c>
    </row>
    <row r="2" spans="1:34" x14ac:dyDescent="0.3">
      <c r="A2" t="s">
        <v>23</v>
      </c>
      <c r="F2" t="s">
        <v>24</v>
      </c>
      <c r="K2" t="s">
        <v>25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1</v>
      </c>
      <c r="X2" t="s">
        <v>17</v>
      </c>
      <c r="Y2" t="s">
        <v>19</v>
      </c>
      <c r="Z2" t="s">
        <v>20</v>
      </c>
      <c r="AB2" t="s">
        <v>38</v>
      </c>
      <c r="AC2" t="s">
        <v>1</v>
      </c>
      <c r="AD2" t="s">
        <v>19</v>
      </c>
      <c r="AF2" t="s">
        <v>41</v>
      </c>
      <c r="AG2" t="s">
        <v>1</v>
      </c>
      <c r="AH2" t="s">
        <v>19</v>
      </c>
    </row>
    <row r="3" spans="1:34" x14ac:dyDescent="0.3">
      <c r="Q3" t="e">
        <f>AVERAGE(C3,D3)</f>
        <v>#DIV/0!</v>
      </c>
      <c r="R3" t="e">
        <f>AVERAGE(H3,I3)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W3" t="e">
        <f>AVERAGE(T3:T12)</f>
        <v>#DIV/0!</v>
      </c>
      <c r="X3" t="e">
        <f>_xlfn.STDEV.S(T3:T12)</f>
        <v>#DIV/0!</v>
      </c>
      <c r="Y3" t="e">
        <f>AVERAGE(V3:V12)</f>
        <v>#DIV/0!</v>
      </c>
      <c r="Z3" t="e">
        <f>_xlfn.STDEV.S(V3:V12)</f>
        <v>#DIV/0!</v>
      </c>
      <c r="AB3" t="s">
        <v>72</v>
      </c>
      <c r="AF3" t="s">
        <v>73</v>
      </c>
    </row>
    <row r="4" spans="1:34" x14ac:dyDescent="0.3">
      <c r="Q4" t="e">
        <f t="shared" ref="Q4:Q67" si="0">AVERAGE(C4,D4)</f>
        <v>#DIV/0!</v>
      </c>
      <c r="R4" t="e">
        <f t="shared" ref="R4:R67" si="1">AVERAGE(H4,I4)</f>
        <v>#DIV/0!</v>
      </c>
      <c r="S4" t="e">
        <f t="shared" ref="S4:S67" si="2">AVERAGE(M4,N4)</f>
        <v>#DIV/0!</v>
      </c>
      <c r="T4" t="e">
        <f t="shared" ref="T4:T67" si="3">AVERAGE(Q4:S4)</f>
        <v>#DIV/0!</v>
      </c>
      <c r="U4" t="e">
        <f t="shared" ref="U4:U67" si="4">MIN(Q4:S4)</f>
        <v>#DIV/0!</v>
      </c>
      <c r="V4" t="e">
        <f t="shared" ref="V4:V67" si="5">(1/3)*(T4-U4)</f>
        <v>#DIV/0!</v>
      </c>
      <c r="AB4" t="s">
        <v>21</v>
      </c>
      <c r="AC4">
        <v>18.981481481481485</v>
      </c>
      <c r="AD4">
        <v>1.6419753086419753</v>
      </c>
      <c r="AF4" t="s">
        <v>21</v>
      </c>
      <c r="AG4">
        <v>18.981481481481485</v>
      </c>
      <c r="AH4">
        <v>1.6419753086419753</v>
      </c>
    </row>
    <row r="5" spans="1:34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  <c r="AB5" t="s">
        <v>69</v>
      </c>
      <c r="AC5">
        <v>19.333333333333336</v>
      </c>
      <c r="AD5">
        <v>1.7777777777777779</v>
      </c>
      <c r="AF5" t="s">
        <v>69</v>
      </c>
      <c r="AG5">
        <v>19.333333333333336</v>
      </c>
      <c r="AH5">
        <v>1.7777777777777779</v>
      </c>
    </row>
    <row r="6" spans="1:34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F6" t="s">
        <v>71</v>
      </c>
      <c r="AG6">
        <v>19.740740740740744</v>
      </c>
      <c r="AH6">
        <v>1.8024691358024691</v>
      </c>
    </row>
    <row r="7" spans="1:34" x14ac:dyDescent="0.3">
      <c r="Q7" t="e">
        <f t="shared" si="0"/>
        <v>#DIV/0!</v>
      </c>
      <c r="R7" t="e">
        <f t="shared" si="1"/>
        <v>#DIV/0!</v>
      </c>
      <c r="S7" t="e">
        <f t="shared" si="2"/>
        <v>#DIV/0!</v>
      </c>
      <c r="T7" t="e">
        <f t="shared" si="3"/>
        <v>#DIV/0!</v>
      </c>
      <c r="U7" t="e">
        <f t="shared" si="4"/>
        <v>#DIV/0!</v>
      </c>
      <c r="V7" t="e">
        <f t="shared" si="5"/>
        <v>#DIV/0!</v>
      </c>
    </row>
    <row r="8" spans="1:34" x14ac:dyDescent="0.3">
      <c r="Q8" t="e">
        <f t="shared" si="0"/>
        <v>#DIV/0!</v>
      </c>
      <c r="R8" t="e">
        <f t="shared" si="1"/>
        <v>#DIV/0!</v>
      </c>
      <c r="S8" t="e">
        <f t="shared" si="2"/>
        <v>#DIV/0!</v>
      </c>
      <c r="T8" t="e">
        <f t="shared" si="3"/>
        <v>#DIV/0!</v>
      </c>
      <c r="U8" t="e">
        <f t="shared" si="4"/>
        <v>#DIV/0!</v>
      </c>
      <c r="V8" t="e">
        <f t="shared" si="5"/>
        <v>#DIV/0!</v>
      </c>
    </row>
    <row r="9" spans="1:34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</row>
    <row r="10" spans="1:34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34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</row>
    <row r="12" spans="1:34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</row>
    <row r="14" spans="1:34" x14ac:dyDescent="0.3">
      <c r="A14" t="s">
        <v>21</v>
      </c>
      <c r="AB14" t="s">
        <v>5</v>
      </c>
      <c r="AC14" t="s">
        <v>6</v>
      </c>
      <c r="AD14" t="s">
        <v>7</v>
      </c>
      <c r="AE14" t="s">
        <v>8</v>
      </c>
      <c r="AF14" t="s">
        <v>9</v>
      </c>
      <c r="AG14" t="s">
        <v>10</v>
      </c>
    </row>
    <row r="15" spans="1:34" x14ac:dyDescent="0.3">
      <c r="Q15" t="e">
        <f t="shared" si="0"/>
        <v>#DIV/0!</v>
      </c>
      <c r="R15" t="e">
        <f t="shared" si="1"/>
        <v>#DIV/0!</v>
      </c>
      <c r="S15" t="e">
        <f t="shared" si="2"/>
        <v>#DIV/0!</v>
      </c>
      <c r="T15" t="e">
        <f t="shared" si="3"/>
        <v>#DIV/0!</v>
      </c>
      <c r="U15" t="e">
        <f t="shared" si="4"/>
        <v>#DIV/0!</v>
      </c>
      <c r="V15" t="e">
        <f t="shared" si="5"/>
        <v>#DIV/0!</v>
      </c>
      <c r="W15" t="e">
        <f>AVERAGE(T15:T23)</f>
        <v>#DIV/0!</v>
      </c>
      <c r="X15" t="e">
        <f>_xlfn.STDEV.S(T15:T23)</f>
        <v>#DIV/0!</v>
      </c>
      <c r="Y15" t="e">
        <f>AVERAGE(V15:V23)</f>
        <v>#DIV/0!</v>
      </c>
      <c r="Z15" t="e">
        <f>_xlfn.STDEV.S(V15:V23)</f>
        <v>#DIV/0!</v>
      </c>
      <c r="AB15" t="e">
        <f>AVERAGE(Q15:Q23)</f>
        <v>#DIV/0!</v>
      </c>
      <c r="AC15" t="e">
        <f>_xlfn.STDEV.S(Q15:Q23)</f>
        <v>#DIV/0!</v>
      </c>
      <c r="AD15" t="e">
        <f>AVERAGE(R15:R23)</f>
        <v>#DIV/0!</v>
      </c>
      <c r="AE15" t="e">
        <f>_xlfn.STDEV.S(R15:R23)</f>
        <v>#DIV/0!</v>
      </c>
      <c r="AF15" t="e">
        <f>AVERAGE(S15:S23)</f>
        <v>#DIV/0!</v>
      </c>
      <c r="AG15" t="e">
        <f>_xlfn.STDEV.S(S15:S23)</f>
        <v>#DIV/0!</v>
      </c>
    </row>
    <row r="16" spans="1:34" x14ac:dyDescent="0.3">
      <c r="Q16" t="e">
        <f t="shared" si="0"/>
        <v>#DIV/0!</v>
      </c>
      <c r="R16" t="e">
        <f t="shared" si="1"/>
        <v>#DIV/0!</v>
      </c>
      <c r="S16" t="e">
        <f t="shared" si="2"/>
        <v>#DIV/0!</v>
      </c>
      <c r="T16" t="e">
        <f t="shared" si="3"/>
        <v>#DIV/0!</v>
      </c>
      <c r="U16" t="e">
        <f t="shared" si="4"/>
        <v>#DIV/0!</v>
      </c>
      <c r="V16" t="e">
        <f t="shared" si="5"/>
        <v>#DIV/0!</v>
      </c>
    </row>
    <row r="17" spans="1:26" x14ac:dyDescent="0.3">
      <c r="Q17" t="e">
        <f t="shared" si="0"/>
        <v>#DIV/0!</v>
      </c>
      <c r="R17" t="e">
        <f t="shared" si="1"/>
        <v>#DIV/0!</v>
      </c>
      <c r="S17" t="e">
        <f t="shared" si="2"/>
        <v>#DIV/0!</v>
      </c>
      <c r="T17" t="e">
        <f t="shared" si="3"/>
        <v>#DIV/0!</v>
      </c>
      <c r="U17" t="e">
        <f t="shared" si="4"/>
        <v>#DIV/0!</v>
      </c>
      <c r="V17" t="e">
        <f t="shared" si="5"/>
        <v>#DIV/0!</v>
      </c>
    </row>
    <row r="18" spans="1:26" x14ac:dyDescent="0.3">
      <c r="Q18" t="e">
        <f t="shared" si="0"/>
        <v>#DIV/0!</v>
      </c>
      <c r="R18" t="e">
        <f t="shared" si="1"/>
        <v>#DIV/0!</v>
      </c>
      <c r="S18" t="e">
        <f t="shared" si="2"/>
        <v>#DIV/0!</v>
      </c>
      <c r="T18" t="e">
        <f t="shared" si="3"/>
        <v>#DIV/0!</v>
      </c>
      <c r="U18" t="e">
        <f t="shared" si="4"/>
        <v>#DIV/0!</v>
      </c>
      <c r="V18" t="e">
        <f t="shared" si="5"/>
        <v>#DIV/0!</v>
      </c>
    </row>
    <row r="19" spans="1:26" x14ac:dyDescent="0.3">
      <c r="Q19" t="e">
        <f t="shared" si="0"/>
        <v>#DIV/0!</v>
      </c>
      <c r="R19" t="e">
        <f t="shared" si="1"/>
        <v>#DIV/0!</v>
      </c>
      <c r="S19" t="e">
        <f t="shared" si="2"/>
        <v>#DIV/0!</v>
      </c>
      <c r="T19" t="e">
        <f t="shared" si="3"/>
        <v>#DIV/0!</v>
      </c>
      <c r="U19" t="e">
        <f t="shared" si="4"/>
        <v>#DIV/0!</v>
      </c>
      <c r="V19" t="e">
        <f t="shared" si="5"/>
        <v>#DIV/0!</v>
      </c>
    </row>
    <row r="20" spans="1:26" x14ac:dyDescent="0.3">
      <c r="Q20" t="e">
        <f t="shared" si="0"/>
        <v>#DIV/0!</v>
      </c>
      <c r="R20" t="e">
        <f t="shared" si="1"/>
        <v>#DIV/0!</v>
      </c>
      <c r="S20" t="e">
        <f t="shared" si="2"/>
        <v>#DIV/0!</v>
      </c>
      <c r="T20" t="e">
        <f t="shared" si="3"/>
        <v>#DIV/0!</v>
      </c>
      <c r="U20" t="e">
        <f t="shared" si="4"/>
        <v>#DIV/0!</v>
      </c>
      <c r="V20" t="e">
        <f t="shared" si="5"/>
        <v>#DIV/0!</v>
      </c>
    </row>
    <row r="21" spans="1:26" x14ac:dyDescent="0.3">
      <c r="Q21" t="e">
        <f t="shared" si="0"/>
        <v>#DIV/0!</v>
      </c>
      <c r="R21" t="e">
        <f t="shared" si="1"/>
        <v>#DIV/0!</v>
      </c>
      <c r="S21" t="e">
        <f t="shared" si="2"/>
        <v>#DIV/0!</v>
      </c>
      <c r="T21" t="e">
        <f t="shared" si="3"/>
        <v>#DIV/0!</v>
      </c>
      <c r="U21" t="e">
        <f t="shared" si="4"/>
        <v>#DIV/0!</v>
      </c>
      <c r="V21" t="e">
        <f t="shared" si="5"/>
        <v>#DIV/0!</v>
      </c>
    </row>
    <row r="22" spans="1:26" x14ac:dyDescent="0.3">
      <c r="Q22" t="e">
        <f t="shared" si="0"/>
        <v>#DIV/0!</v>
      </c>
      <c r="R22" t="e">
        <f t="shared" si="1"/>
        <v>#DIV/0!</v>
      </c>
      <c r="S22" t="e">
        <f t="shared" si="2"/>
        <v>#DIV/0!</v>
      </c>
      <c r="T22" t="e">
        <f t="shared" si="3"/>
        <v>#DIV/0!</v>
      </c>
      <c r="U22" t="e">
        <f t="shared" si="4"/>
        <v>#DIV/0!</v>
      </c>
      <c r="V22" t="e">
        <f t="shared" si="5"/>
        <v>#DIV/0!</v>
      </c>
    </row>
    <row r="23" spans="1:26" x14ac:dyDescent="0.3">
      <c r="Q23" t="e">
        <f t="shared" si="0"/>
        <v>#DIV/0!</v>
      </c>
      <c r="R23" t="e">
        <f t="shared" si="1"/>
        <v>#DIV/0!</v>
      </c>
      <c r="S23" t="e">
        <f t="shared" si="2"/>
        <v>#DIV/0!</v>
      </c>
      <c r="T23" t="e">
        <f t="shared" si="3"/>
        <v>#DIV/0!</v>
      </c>
      <c r="U23" t="e">
        <f t="shared" si="4"/>
        <v>#DIV/0!</v>
      </c>
      <c r="V23" t="e">
        <f t="shared" si="5"/>
        <v>#DIV/0!</v>
      </c>
    </row>
    <row r="25" spans="1:26" x14ac:dyDescent="0.3">
      <c r="A25" t="s">
        <v>26</v>
      </c>
    </row>
    <row r="26" spans="1:26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 t="shared" si="5"/>
        <v>#DIV/0!</v>
      </c>
      <c r="W26" t="e">
        <f>AVERAGE(T26:T28)</f>
        <v>#DIV/0!</v>
      </c>
      <c r="X26" t="e">
        <f>_xlfn.STDEV.S(T26:T28)</f>
        <v>#DIV/0!</v>
      </c>
      <c r="Y26" t="e">
        <f>AVERAGE(V26:V28)</f>
        <v>#DIV/0!</v>
      </c>
      <c r="Z26" t="e">
        <f>_xlfn.STDEV.S(V26:V28)</f>
        <v>#DIV/0!</v>
      </c>
    </row>
    <row r="27" spans="1:26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 t="shared" si="5"/>
        <v>#DIV/0!</v>
      </c>
    </row>
    <row r="28" spans="1:26" x14ac:dyDescent="0.3">
      <c r="Q28" t="e">
        <f t="shared" si="0"/>
        <v>#DIV/0!</v>
      </c>
      <c r="R28" t="e">
        <f t="shared" si="1"/>
        <v>#DIV/0!</v>
      </c>
      <c r="S28" t="e">
        <f t="shared" si="2"/>
        <v>#DIV/0!</v>
      </c>
      <c r="T28" t="e">
        <f t="shared" si="3"/>
        <v>#DIV/0!</v>
      </c>
      <c r="U28" t="e">
        <f t="shared" si="4"/>
        <v>#DIV/0!</v>
      </c>
      <c r="V28" t="e">
        <f t="shared" si="5"/>
        <v>#DIV/0!</v>
      </c>
    </row>
    <row r="30" spans="1:26" x14ac:dyDescent="0.3">
      <c r="A30" t="s">
        <v>68</v>
      </c>
    </row>
    <row r="31" spans="1:26" x14ac:dyDescent="0.3">
      <c r="Q31" t="e">
        <f t="shared" si="0"/>
        <v>#DIV/0!</v>
      </c>
      <c r="R31" t="e">
        <f t="shared" si="1"/>
        <v>#DIV/0!</v>
      </c>
      <c r="S31" t="e">
        <f t="shared" si="2"/>
        <v>#DIV/0!</v>
      </c>
      <c r="T31" t="e">
        <f t="shared" si="3"/>
        <v>#DIV/0!</v>
      </c>
      <c r="U31" t="e">
        <f t="shared" si="4"/>
        <v>#DIV/0!</v>
      </c>
      <c r="V31" t="e">
        <f t="shared" si="5"/>
        <v>#DIV/0!</v>
      </c>
      <c r="W31" t="e">
        <f>AVERAGE(T31:T39)</f>
        <v>#DIV/0!</v>
      </c>
      <c r="X31" t="e">
        <f>_xlfn.STDEV.S(T31:T39)</f>
        <v>#DIV/0!</v>
      </c>
      <c r="Y31" t="e">
        <f>AVERAGE(V31:V39)</f>
        <v>#DIV/0!</v>
      </c>
      <c r="Z31" t="e">
        <f>_xlfn.STDEV.S(V31:V39)</f>
        <v>#DIV/0!</v>
      </c>
    </row>
    <row r="32" spans="1:26" x14ac:dyDescent="0.3">
      <c r="Q32" t="e">
        <f t="shared" si="0"/>
        <v>#DIV/0!</v>
      </c>
      <c r="R32" t="e">
        <f t="shared" si="1"/>
        <v>#DIV/0!</v>
      </c>
      <c r="S32" t="e">
        <f t="shared" si="2"/>
        <v>#DIV/0!</v>
      </c>
      <c r="T32" t="e">
        <f t="shared" si="3"/>
        <v>#DIV/0!</v>
      </c>
      <c r="U32" t="e">
        <f t="shared" si="4"/>
        <v>#DIV/0!</v>
      </c>
      <c r="V32" t="e">
        <f t="shared" si="5"/>
        <v>#DIV/0!</v>
      </c>
    </row>
    <row r="33" spans="1:26" x14ac:dyDescent="0.3">
      <c r="Q33" t="e">
        <f t="shared" si="0"/>
        <v>#DIV/0!</v>
      </c>
      <c r="R33" t="e">
        <f t="shared" si="1"/>
        <v>#DIV/0!</v>
      </c>
      <c r="S33" t="e">
        <f t="shared" si="2"/>
        <v>#DIV/0!</v>
      </c>
      <c r="T33" t="e">
        <f t="shared" si="3"/>
        <v>#DIV/0!</v>
      </c>
      <c r="U33" t="e">
        <f t="shared" si="4"/>
        <v>#DIV/0!</v>
      </c>
      <c r="V33" t="e">
        <f t="shared" si="5"/>
        <v>#DIV/0!</v>
      </c>
    </row>
    <row r="34" spans="1:26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</row>
    <row r="35" spans="1:26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:26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:26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  <row r="38" spans="1:26" x14ac:dyDescent="0.3">
      <c r="Q38" t="e">
        <f t="shared" si="0"/>
        <v>#DIV/0!</v>
      </c>
      <c r="R38" t="e">
        <f t="shared" si="1"/>
        <v>#DIV/0!</v>
      </c>
      <c r="S38" t="e">
        <f t="shared" si="2"/>
        <v>#DIV/0!</v>
      </c>
      <c r="T38" t="e">
        <f t="shared" si="3"/>
        <v>#DIV/0!</v>
      </c>
      <c r="U38" t="e">
        <f t="shared" si="4"/>
        <v>#DIV/0!</v>
      </c>
      <c r="V38" t="e">
        <f t="shared" si="5"/>
        <v>#DIV/0!</v>
      </c>
    </row>
    <row r="39" spans="1:26" x14ac:dyDescent="0.3">
      <c r="Q39" t="e">
        <f t="shared" si="0"/>
        <v>#DIV/0!</v>
      </c>
      <c r="R39" t="e">
        <f t="shared" si="1"/>
        <v>#DIV/0!</v>
      </c>
      <c r="S39" t="e">
        <f t="shared" si="2"/>
        <v>#DIV/0!</v>
      </c>
      <c r="T39" t="e">
        <f t="shared" si="3"/>
        <v>#DIV/0!</v>
      </c>
      <c r="U39" t="e">
        <f t="shared" si="4"/>
        <v>#DIV/0!</v>
      </c>
      <c r="V39" t="e">
        <f t="shared" si="5"/>
        <v>#DIV/0!</v>
      </c>
    </row>
    <row r="41" spans="1:26" x14ac:dyDescent="0.3">
      <c r="A41" t="s">
        <v>28</v>
      </c>
    </row>
    <row r="42" spans="1:26" x14ac:dyDescent="0.3">
      <c r="Q42" t="e">
        <f t="shared" si="0"/>
        <v>#DIV/0!</v>
      </c>
      <c r="R42" t="e">
        <f t="shared" si="1"/>
        <v>#DIV/0!</v>
      </c>
      <c r="S42" t="e">
        <f t="shared" si="2"/>
        <v>#DIV/0!</v>
      </c>
      <c r="T42" t="e">
        <f t="shared" si="3"/>
        <v>#DIV/0!</v>
      </c>
      <c r="U42" t="e">
        <f t="shared" si="4"/>
        <v>#DIV/0!</v>
      </c>
      <c r="V42" t="e">
        <f t="shared" si="5"/>
        <v>#DIV/0!</v>
      </c>
      <c r="W42" t="e">
        <f>AVERAGE(T42:T50)</f>
        <v>#DIV/0!</v>
      </c>
      <c r="X42" t="e">
        <f>_xlfn.STDEV.S(T42:T50)</f>
        <v>#DIV/0!</v>
      </c>
      <c r="Y42" t="e">
        <f>AVERAGE(V42:V50)</f>
        <v>#DIV/0!</v>
      </c>
      <c r="Z42" t="e">
        <f>_xlfn.STDEV.S(V42:V50)</f>
        <v>#DIV/0!</v>
      </c>
    </row>
    <row r="43" spans="1:26" x14ac:dyDescent="0.3">
      <c r="Q43" t="e">
        <f t="shared" si="0"/>
        <v>#DIV/0!</v>
      </c>
      <c r="R43" t="e">
        <f t="shared" si="1"/>
        <v>#DIV/0!</v>
      </c>
      <c r="S43" t="e">
        <f t="shared" si="2"/>
        <v>#DIV/0!</v>
      </c>
      <c r="T43" t="e">
        <f t="shared" si="3"/>
        <v>#DIV/0!</v>
      </c>
      <c r="U43" t="e">
        <f t="shared" si="4"/>
        <v>#DIV/0!</v>
      </c>
      <c r="V43" t="e">
        <f t="shared" si="5"/>
        <v>#DIV/0!</v>
      </c>
    </row>
    <row r="44" spans="1:26" x14ac:dyDescent="0.3">
      <c r="Q44" t="e">
        <f t="shared" si="0"/>
        <v>#DIV/0!</v>
      </c>
      <c r="R44" t="e">
        <f t="shared" si="1"/>
        <v>#DIV/0!</v>
      </c>
      <c r="S44" t="e">
        <f t="shared" si="2"/>
        <v>#DIV/0!</v>
      </c>
      <c r="T44" t="e">
        <f t="shared" si="3"/>
        <v>#DIV/0!</v>
      </c>
      <c r="U44" t="e">
        <f t="shared" si="4"/>
        <v>#DIV/0!</v>
      </c>
      <c r="V44" t="e">
        <f t="shared" si="5"/>
        <v>#DIV/0!</v>
      </c>
    </row>
    <row r="45" spans="1:26" x14ac:dyDescent="0.3">
      <c r="Q45" t="e">
        <f t="shared" si="0"/>
        <v>#DIV/0!</v>
      </c>
      <c r="R45" t="e">
        <f t="shared" si="1"/>
        <v>#DIV/0!</v>
      </c>
      <c r="S45" t="e">
        <f t="shared" si="2"/>
        <v>#DIV/0!</v>
      </c>
      <c r="T45" t="e">
        <f t="shared" si="3"/>
        <v>#DIV/0!</v>
      </c>
      <c r="U45" t="e">
        <f t="shared" si="4"/>
        <v>#DIV/0!</v>
      </c>
      <c r="V45" t="e">
        <f t="shared" si="5"/>
        <v>#DIV/0!</v>
      </c>
    </row>
    <row r="46" spans="1:26" x14ac:dyDescent="0.3">
      <c r="Q46" t="e">
        <f t="shared" si="0"/>
        <v>#DIV/0!</v>
      </c>
      <c r="R46" t="e">
        <f t="shared" si="1"/>
        <v>#DIV/0!</v>
      </c>
      <c r="S46" t="e">
        <f t="shared" si="2"/>
        <v>#DIV/0!</v>
      </c>
      <c r="T46" t="e">
        <f t="shared" si="3"/>
        <v>#DIV/0!</v>
      </c>
      <c r="U46" t="e">
        <f t="shared" si="4"/>
        <v>#DIV/0!</v>
      </c>
      <c r="V46" t="e">
        <f t="shared" si="5"/>
        <v>#DIV/0!</v>
      </c>
    </row>
    <row r="47" spans="1:26" x14ac:dyDescent="0.3">
      <c r="Q47" t="e">
        <f t="shared" si="0"/>
        <v>#DIV/0!</v>
      </c>
      <c r="R47" t="e">
        <f t="shared" si="1"/>
        <v>#DIV/0!</v>
      </c>
      <c r="S47" t="e">
        <f t="shared" si="2"/>
        <v>#DIV/0!</v>
      </c>
      <c r="T47" t="e">
        <f t="shared" si="3"/>
        <v>#DIV/0!</v>
      </c>
      <c r="U47" t="e">
        <f t="shared" si="4"/>
        <v>#DIV/0!</v>
      </c>
      <c r="V47" t="e">
        <f t="shared" si="5"/>
        <v>#DIV/0!</v>
      </c>
    </row>
    <row r="48" spans="1:26" x14ac:dyDescent="0.3">
      <c r="Q48" t="e">
        <f t="shared" si="0"/>
        <v>#DIV/0!</v>
      </c>
      <c r="R48" t="e">
        <f t="shared" si="1"/>
        <v>#DIV/0!</v>
      </c>
      <c r="S48" t="e">
        <f t="shared" si="2"/>
        <v>#DIV/0!</v>
      </c>
      <c r="T48" t="e">
        <f t="shared" si="3"/>
        <v>#DIV/0!</v>
      </c>
      <c r="U48" t="e">
        <f t="shared" si="4"/>
        <v>#DIV/0!</v>
      </c>
      <c r="V48" t="e">
        <f t="shared" si="5"/>
        <v>#DIV/0!</v>
      </c>
    </row>
    <row r="49" spans="1:26" x14ac:dyDescent="0.3">
      <c r="Q49" t="e">
        <f t="shared" si="0"/>
        <v>#DIV/0!</v>
      </c>
      <c r="R49" t="e">
        <f t="shared" si="1"/>
        <v>#DIV/0!</v>
      </c>
      <c r="S49" t="e">
        <f t="shared" si="2"/>
        <v>#DIV/0!</v>
      </c>
      <c r="T49" t="e">
        <f t="shared" si="3"/>
        <v>#DIV/0!</v>
      </c>
      <c r="U49" t="e">
        <f t="shared" si="4"/>
        <v>#DIV/0!</v>
      </c>
      <c r="V49" t="e">
        <f t="shared" si="5"/>
        <v>#DIV/0!</v>
      </c>
    </row>
    <row r="50" spans="1:26" x14ac:dyDescent="0.3">
      <c r="Q50" t="e">
        <f t="shared" si="0"/>
        <v>#DIV/0!</v>
      </c>
      <c r="R50" t="e">
        <f t="shared" si="1"/>
        <v>#DIV/0!</v>
      </c>
      <c r="S50" t="e">
        <f t="shared" si="2"/>
        <v>#DIV/0!</v>
      </c>
      <c r="T50" t="e">
        <f t="shared" si="3"/>
        <v>#DIV/0!</v>
      </c>
      <c r="U50" t="e">
        <f t="shared" si="4"/>
        <v>#DIV/0!</v>
      </c>
      <c r="V50" t="e">
        <f t="shared" si="5"/>
        <v>#DIV/0!</v>
      </c>
    </row>
    <row r="52" spans="1:26" x14ac:dyDescent="0.3">
      <c r="A52" t="s">
        <v>69</v>
      </c>
    </row>
    <row r="53" spans="1:26" x14ac:dyDescent="0.3">
      <c r="Q53" t="e">
        <f t="shared" si="0"/>
        <v>#DIV/0!</v>
      </c>
      <c r="R53" t="e">
        <f t="shared" si="1"/>
        <v>#DIV/0!</v>
      </c>
      <c r="S53" t="e">
        <f t="shared" si="2"/>
        <v>#DIV/0!</v>
      </c>
      <c r="T53" t="e">
        <f t="shared" si="3"/>
        <v>#DIV/0!</v>
      </c>
      <c r="U53" t="e">
        <f t="shared" si="4"/>
        <v>#DIV/0!</v>
      </c>
      <c r="V53" t="e">
        <f t="shared" si="5"/>
        <v>#DIV/0!</v>
      </c>
      <c r="W53" t="e">
        <f>AVERAGE(T53:T54)</f>
        <v>#DIV/0!</v>
      </c>
      <c r="X53" t="e">
        <f>_xlfn.STDEV.S(T53,T54)</f>
        <v>#DIV/0!</v>
      </c>
      <c r="Y53" t="e">
        <f>AVERAGE(V53:V54)</f>
        <v>#DIV/0!</v>
      </c>
      <c r="Z53" t="e">
        <f>_xlfn.STDEV.S(V53,V54)</f>
        <v>#DIV/0!</v>
      </c>
    </row>
    <row r="54" spans="1:26" x14ac:dyDescent="0.3">
      <c r="Q54" t="e">
        <f t="shared" si="0"/>
        <v>#DIV/0!</v>
      </c>
      <c r="R54" t="e">
        <f t="shared" si="1"/>
        <v>#DIV/0!</v>
      </c>
      <c r="S54" t="e">
        <f t="shared" si="2"/>
        <v>#DIV/0!</v>
      </c>
      <c r="T54" t="e">
        <f t="shared" si="3"/>
        <v>#DIV/0!</v>
      </c>
      <c r="U54" t="e">
        <f t="shared" si="4"/>
        <v>#DIV/0!</v>
      </c>
      <c r="V54" t="e">
        <f t="shared" si="5"/>
        <v>#DIV/0!</v>
      </c>
    </row>
    <row r="56" spans="1:26" x14ac:dyDescent="0.3">
      <c r="A56" t="s">
        <v>70</v>
      </c>
    </row>
    <row r="57" spans="1:26" x14ac:dyDescent="0.3">
      <c r="Q57" t="e">
        <f t="shared" si="0"/>
        <v>#DIV/0!</v>
      </c>
      <c r="R57" t="e">
        <f t="shared" si="1"/>
        <v>#DIV/0!</v>
      </c>
      <c r="S57" t="e">
        <f t="shared" si="2"/>
        <v>#DIV/0!</v>
      </c>
      <c r="T57" t="e">
        <f t="shared" si="3"/>
        <v>#DIV/0!</v>
      </c>
      <c r="U57" t="e">
        <f t="shared" si="4"/>
        <v>#DIV/0!</v>
      </c>
      <c r="V57" t="e">
        <f t="shared" si="5"/>
        <v>#DIV/0!</v>
      </c>
      <c r="W57" t="e">
        <f>AVERAGE(T57:T63)</f>
        <v>#DIV/0!</v>
      </c>
      <c r="X57" t="e">
        <f>_xlfn.STDEV.S(T57:T63)</f>
        <v>#DIV/0!</v>
      </c>
      <c r="Y57" t="e">
        <f>AVERAGE(V57:V63)</f>
        <v>#DIV/0!</v>
      </c>
      <c r="Z57" t="e">
        <f>_xlfn.STDEV.S(V57:V63)</f>
        <v>#DIV/0!</v>
      </c>
    </row>
    <row r="58" spans="1:26" x14ac:dyDescent="0.3">
      <c r="Q58" t="e">
        <f t="shared" si="0"/>
        <v>#DIV/0!</v>
      </c>
      <c r="R58" t="e">
        <f t="shared" si="1"/>
        <v>#DIV/0!</v>
      </c>
      <c r="S58" t="e">
        <f t="shared" si="2"/>
        <v>#DIV/0!</v>
      </c>
      <c r="T58" t="e">
        <f t="shared" si="3"/>
        <v>#DIV/0!</v>
      </c>
      <c r="U58" t="e">
        <f t="shared" si="4"/>
        <v>#DIV/0!</v>
      </c>
      <c r="V58" t="e">
        <f t="shared" si="5"/>
        <v>#DIV/0!</v>
      </c>
    </row>
    <row r="59" spans="1:26" x14ac:dyDescent="0.3">
      <c r="Q59" t="e">
        <f t="shared" si="0"/>
        <v>#DIV/0!</v>
      </c>
      <c r="R59" t="e">
        <f t="shared" si="1"/>
        <v>#DIV/0!</v>
      </c>
      <c r="S59" t="e">
        <f t="shared" si="2"/>
        <v>#DIV/0!</v>
      </c>
      <c r="T59" t="e">
        <f t="shared" si="3"/>
        <v>#DIV/0!</v>
      </c>
      <c r="U59" t="e">
        <f t="shared" si="4"/>
        <v>#DIV/0!</v>
      </c>
      <c r="V59" t="e">
        <f t="shared" si="5"/>
        <v>#DIV/0!</v>
      </c>
    </row>
    <row r="60" spans="1:26" x14ac:dyDescent="0.3">
      <c r="Q60" t="e">
        <f t="shared" si="0"/>
        <v>#DIV/0!</v>
      </c>
      <c r="R60" t="e">
        <f t="shared" si="1"/>
        <v>#DIV/0!</v>
      </c>
      <c r="S60" t="e">
        <f t="shared" si="2"/>
        <v>#DIV/0!</v>
      </c>
      <c r="T60" t="e">
        <f t="shared" si="3"/>
        <v>#DIV/0!</v>
      </c>
      <c r="U60" t="e">
        <f t="shared" si="4"/>
        <v>#DIV/0!</v>
      </c>
      <c r="V60" t="e">
        <f t="shared" si="5"/>
        <v>#DIV/0!</v>
      </c>
    </row>
    <row r="61" spans="1:26" x14ac:dyDescent="0.3">
      <c r="Q61" t="e">
        <f t="shared" si="0"/>
        <v>#DIV/0!</v>
      </c>
      <c r="R61" t="e">
        <f t="shared" si="1"/>
        <v>#DIV/0!</v>
      </c>
      <c r="S61" t="e">
        <f t="shared" si="2"/>
        <v>#DIV/0!</v>
      </c>
      <c r="T61" t="e">
        <f t="shared" si="3"/>
        <v>#DIV/0!</v>
      </c>
      <c r="U61" t="e">
        <f t="shared" si="4"/>
        <v>#DIV/0!</v>
      </c>
      <c r="V61" t="e">
        <f t="shared" si="5"/>
        <v>#DIV/0!</v>
      </c>
    </row>
    <row r="62" spans="1:26" x14ac:dyDescent="0.3">
      <c r="Q62" t="e">
        <f t="shared" si="0"/>
        <v>#DIV/0!</v>
      </c>
      <c r="R62" t="e">
        <f t="shared" si="1"/>
        <v>#DIV/0!</v>
      </c>
      <c r="S62" t="e">
        <f t="shared" si="2"/>
        <v>#DIV/0!</v>
      </c>
      <c r="T62" t="e">
        <f t="shared" si="3"/>
        <v>#DIV/0!</v>
      </c>
      <c r="U62" t="e">
        <f t="shared" si="4"/>
        <v>#DIV/0!</v>
      </c>
      <c r="V62" t="e">
        <f t="shared" si="5"/>
        <v>#DIV/0!</v>
      </c>
    </row>
    <row r="63" spans="1:26" x14ac:dyDescent="0.3">
      <c r="Q63" t="e">
        <f t="shared" si="0"/>
        <v>#DIV/0!</v>
      </c>
      <c r="R63" t="e">
        <f t="shared" si="1"/>
        <v>#DIV/0!</v>
      </c>
      <c r="S63" t="e">
        <f t="shared" si="2"/>
        <v>#DIV/0!</v>
      </c>
      <c r="T63" t="e">
        <f t="shared" si="3"/>
        <v>#DIV/0!</v>
      </c>
      <c r="U63" t="e">
        <f t="shared" si="4"/>
        <v>#DIV/0!</v>
      </c>
      <c r="V63" t="e">
        <f t="shared" si="5"/>
        <v>#DIV/0!</v>
      </c>
    </row>
    <row r="65" spans="1:26" x14ac:dyDescent="0.3">
      <c r="A65" t="s">
        <v>31</v>
      </c>
    </row>
    <row r="66" spans="1:26" x14ac:dyDescent="0.3">
      <c r="Q66" t="e">
        <f t="shared" si="0"/>
        <v>#DIV/0!</v>
      </c>
      <c r="R66" t="e">
        <f t="shared" si="1"/>
        <v>#DIV/0!</v>
      </c>
      <c r="S66" t="e">
        <f t="shared" si="2"/>
        <v>#DIV/0!</v>
      </c>
      <c r="T66" t="e">
        <f t="shared" si="3"/>
        <v>#DIV/0!</v>
      </c>
      <c r="U66" t="e">
        <f t="shared" si="4"/>
        <v>#DIV/0!</v>
      </c>
      <c r="V66" t="e">
        <f t="shared" si="5"/>
        <v>#DIV/0!</v>
      </c>
      <c r="W66" t="e">
        <f>AVERAGE(T66:T68)</f>
        <v>#DIV/0!</v>
      </c>
      <c r="X66" t="e">
        <f>_xlfn.STDEV.S(T66:T68)</f>
        <v>#DIV/0!</v>
      </c>
      <c r="Y66" t="e">
        <f>AVERAGE(V66:V68)</f>
        <v>#DIV/0!</v>
      </c>
      <c r="Z66" t="e">
        <f>_xlfn.STDEV.S(V66:V68)</f>
        <v>#DIV/0!</v>
      </c>
    </row>
    <row r="67" spans="1:26" x14ac:dyDescent="0.3">
      <c r="Q67" t="e">
        <f t="shared" si="0"/>
        <v>#DIV/0!</v>
      </c>
      <c r="R67" t="e">
        <f t="shared" si="1"/>
        <v>#DIV/0!</v>
      </c>
      <c r="S67" t="e">
        <f t="shared" si="2"/>
        <v>#DIV/0!</v>
      </c>
      <c r="T67" t="e">
        <f t="shared" si="3"/>
        <v>#DIV/0!</v>
      </c>
      <c r="U67" t="e">
        <f t="shared" si="4"/>
        <v>#DIV/0!</v>
      </c>
      <c r="V67" t="e">
        <f t="shared" si="5"/>
        <v>#DIV/0!</v>
      </c>
    </row>
    <row r="68" spans="1:26" x14ac:dyDescent="0.3">
      <c r="Q68" t="e">
        <f t="shared" ref="Q68:Q99" si="6">AVERAGE(C68,D68)</f>
        <v>#DIV/0!</v>
      </c>
      <c r="R68" t="e">
        <f t="shared" ref="R68:R99" si="7">AVERAGE(H68,I68)</f>
        <v>#DIV/0!</v>
      </c>
      <c r="S68" t="e">
        <f t="shared" ref="S68:S99" si="8">AVERAGE(M68,N68)</f>
        <v>#DIV/0!</v>
      </c>
      <c r="T68" t="e">
        <f t="shared" ref="T68:T99" si="9">AVERAGE(Q68:S68)</f>
        <v>#DIV/0!</v>
      </c>
      <c r="U68" t="e">
        <f t="shared" ref="U68:U99" si="10">MIN(Q68:S68)</f>
        <v>#DIV/0!</v>
      </c>
      <c r="V68" t="e">
        <f t="shared" ref="V68:V99" si="11">(1/3)*(T68-U68)</f>
        <v>#DIV/0!</v>
      </c>
    </row>
    <row r="70" spans="1:26" x14ac:dyDescent="0.3">
      <c r="A70" t="s">
        <v>32</v>
      </c>
    </row>
    <row r="71" spans="1:26" x14ac:dyDescent="0.3">
      <c r="Q71" t="e">
        <f t="shared" si="6"/>
        <v>#DIV/0!</v>
      </c>
      <c r="R71" t="e">
        <f t="shared" si="7"/>
        <v>#DIV/0!</v>
      </c>
      <c r="S71" t="e">
        <f t="shared" si="8"/>
        <v>#DIV/0!</v>
      </c>
      <c r="T71" t="e">
        <f t="shared" si="9"/>
        <v>#DIV/0!</v>
      </c>
      <c r="U71" t="e">
        <f t="shared" si="10"/>
        <v>#DIV/0!</v>
      </c>
      <c r="V71" t="e">
        <f t="shared" si="11"/>
        <v>#DIV/0!</v>
      </c>
      <c r="W71" t="e">
        <f>AVERAGE(T71:T80)</f>
        <v>#DIV/0!</v>
      </c>
      <c r="X71" t="e">
        <f>_xlfn.STDEV.S(T71:T80)</f>
        <v>#DIV/0!</v>
      </c>
      <c r="Y71" t="e">
        <f>AVERAGE(V71:V80)</f>
        <v>#DIV/0!</v>
      </c>
      <c r="Z71" t="e">
        <f>_xlfn.STDEV.S(V71:V80)</f>
        <v>#DIV/0!</v>
      </c>
    </row>
    <row r="72" spans="1:26" x14ac:dyDescent="0.3">
      <c r="Q72" t="e">
        <f t="shared" si="6"/>
        <v>#DIV/0!</v>
      </c>
      <c r="R72" t="e">
        <f t="shared" si="7"/>
        <v>#DIV/0!</v>
      </c>
      <c r="S72" t="e">
        <f t="shared" si="8"/>
        <v>#DIV/0!</v>
      </c>
      <c r="T72" t="e">
        <f t="shared" si="9"/>
        <v>#DIV/0!</v>
      </c>
      <c r="U72" t="e">
        <f t="shared" si="10"/>
        <v>#DIV/0!</v>
      </c>
      <c r="V72" t="e">
        <f t="shared" si="11"/>
        <v>#DIV/0!</v>
      </c>
    </row>
    <row r="73" spans="1:26" x14ac:dyDescent="0.3">
      <c r="Q73" t="e">
        <f t="shared" si="6"/>
        <v>#DIV/0!</v>
      </c>
      <c r="R73" t="e">
        <f t="shared" si="7"/>
        <v>#DIV/0!</v>
      </c>
      <c r="S73" t="e">
        <f t="shared" si="8"/>
        <v>#DIV/0!</v>
      </c>
      <c r="T73" t="e">
        <f t="shared" si="9"/>
        <v>#DIV/0!</v>
      </c>
      <c r="U73" t="e">
        <f t="shared" si="10"/>
        <v>#DIV/0!</v>
      </c>
      <c r="V73" t="e">
        <f t="shared" si="11"/>
        <v>#DIV/0!</v>
      </c>
    </row>
    <row r="74" spans="1:26" x14ac:dyDescent="0.3">
      <c r="Q74" t="e">
        <f t="shared" si="6"/>
        <v>#DIV/0!</v>
      </c>
      <c r="R74" t="e">
        <f t="shared" si="7"/>
        <v>#DIV/0!</v>
      </c>
      <c r="S74" t="e">
        <f t="shared" si="8"/>
        <v>#DIV/0!</v>
      </c>
      <c r="T74" t="e">
        <f t="shared" si="9"/>
        <v>#DIV/0!</v>
      </c>
      <c r="U74" t="e">
        <f t="shared" si="10"/>
        <v>#DIV/0!</v>
      </c>
      <c r="V74" t="e">
        <f t="shared" si="11"/>
        <v>#DIV/0!</v>
      </c>
    </row>
    <row r="75" spans="1:26" x14ac:dyDescent="0.3">
      <c r="Q75" t="e">
        <f t="shared" si="6"/>
        <v>#DIV/0!</v>
      </c>
      <c r="R75" t="e">
        <f t="shared" si="7"/>
        <v>#DIV/0!</v>
      </c>
      <c r="S75" t="e">
        <f t="shared" si="8"/>
        <v>#DIV/0!</v>
      </c>
      <c r="T75" t="e">
        <f t="shared" si="9"/>
        <v>#DIV/0!</v>
      </c>
      <c r="U75" t="e">
        <f t="shared" si="10"/>
        <v>#DIV/0!</v>
      </c>
      <c r="V75" t="e">
        <f t="shared" si="11"/>
        <v>#DIV/0!</v>
      </c>
    </row>
    <row r="76" spans="1:26" x14ac:dyDescent="0.3">
      <c r="Q76" t="e">
        <f t="shared" si="6"/>
        <v>#DIV/0!</v>
      </c>
      <c r="R76" t="e">
        <f t="shared" si="7"/>
        <v>#DIV/0!</v>
      </c>
      <c r="S76" t="e">
        <f t="shared" si="8"/>
        <v>#DIV/0!</v>
      </c>
      <c r="T76" t="e">
        <f t="shared" si="9"/>
        <v>#DIV/0!</v>
      </c>
      <c r="U76" t="e">
        <f t="shared" si="10"/>
        <v>#DIV/0!</v>
      </c>
      <c r="V76" t="e">
        <f t="shared" si="11"/>
        <v>#DIV/0!</v>
      </c>
    </row>
    <row r="77" spans="1:26" x14ac:dyDescent="0.3">
      <c r="Q77" t="e">
        <f t="shared" si="6"/>
        <v>#DIV/0!</v>
      </c>
      <c r="R77" t="e">
        <f t="shared" si="7"/>
        <v>#DIV/0!</v>
      </c>
      <c r="S77" t="e">
        <f t="shared" si="8"/>
        <v>#DIV/0!</v>
      </c>
      <c r="T77" t="e">
        <f t="shared" si="9"/>
        <v>#DIV/0!</v>
      </c>
      <c r="U77" t="e">
        <f t="shared" si="10"/>
        <v>#DIV/0!</v>
      </c>
      <c r="V77" t="e">
        <f t="shared" si="11"/>
        <v>#DIV/0!</v>
      </c>
    </row>
    <row r="78" spans="1:26" x14ac:dyDescent="0.3">
      <c r="Q78" t="e">
        <f t="shared" si="6"/>
        <v>#DIV/0!</v>
      </c>
      <c r="R78" t="e">
        <f t="shared" si="7"/>
        <v>#DIV/0!</v>
      </c>
      <c r="S78" t="e">
        <f t="shared" si="8"/>
        <v>#DIV/0!</v>
      </c>
      <c r="T78" t="e">
        <f t="shared" si="9"/>
        <v>#DIV/0!</v>
      </c>
      <c r="U78" t="e">
        <f t="shared" si="10"/>
        <v>#DIV/0!</v>
      </c>
      <c r="V78" t="e">
        <f t="shared" si="11"/>
        <v>#DIV/0!</v>
      </c>
    </row>
    <row r="79" spans="1:26" x14ac:dyDescent="0.3">
      <c r="Q79" t="e">
        <f t="shared" si="6"/>
        <v>#DIV/0!</v>
      </c>
      <c r="R79" t="e">
        <f t="shared" si="7"/>
        <v>#DIV/0!</v>
      </c>
      <c r="S79" t="e">
        <f t="shared" si="8"/>
        <v>#DIV/0!</v>
      </c>
      <c r="T79" t="e">
        <f t="shared" si="9"/>
        <v>#DIV/0!</v>
      </c>
      <c r="U79" t="e">
        <f t="shared" si="10"/>
        <v>#DIV/0!</v>
      </c>
      <c r="V79" t="e">
        <f t="shared" si="11"/>
        <v>#DIV/0!</v>
      </c>
    </row>
    <row r="80" spans="1:26" x14ac:dyDescent="0.3">
      <c r="Q80" t="e">
        <f t="shared" si="6"/>
        <v>#DIV/0!</v>
      </c>
      <c r="R80" t="e">
        <f t="shared" si="7"/>
        <v>#DIV/0!</v>
      </c>
      <c r="S80" t="e">
        <f t="shared" si="8"/>
        <v>#DIV/0!</v>
      </c>
      <c r="T80" t="e">
        <f t="shared" si="9"/>
        <v>#DIV/0!</v>
      </c>
      <c r="U80" t="e">
        <f t="shared" si="10"/>
        <v>#DIV/0!</v>
      </c>
      <c r="V80" t="e">
        <f t="shared" si="11"/>
        <v>#DIV/0!</v>
      </c>
    </row>
    <row r="82" spans="1:26" x14ac:dyDescent="0.3">
      <c r="A82" t="s">
        <v>33</v>
      </c>
    </row>
    <row r="83" spans="1:26" x14ac:dyDescent="0.3">
      <c r="Q83" t="e">
        <f t="shared" si="6"/>
        <v>#DIV/0!</v>
      </c>
      <c r="R83" t="e">
        <f t="shared" si="7"/>
        <v>#DIV/0!</v>
      </c>
      <c r="S83" t="e">
        <f t="shared" si="8"/>
        <v>#DIV/0!</v>
      </c>
      <c r="T83" t="e">
        <f t="shared" si="9"/>
        <v>#DIV/0!</v>
      </c>
      <c r="U83" t="e">
        <f t="shared" si="10"/>
        <v>#DIV/0!</v>
      </c>
      <c r="V83" t="e">
        <f t="shared" si="11"/>
        <v>#DIV/0!</v>
      </c>
      <c r="W83" t="e">
        <f>AVERAGE(T83:T88)</f>
        <v>#DIV/0!</v>
      </c>
      <c r="X83" t="e">
        <f>_xlfn.STDEV.S(T83:T88)</f>
        <v>#DIV/0!</v>
      </c>
      <c r="Y83" t="e">
        <f>AVERAGE(V83:V88)</f>
        <v>#DIV/0!</v>
      </c>
      <c r="Z83" t="e">
        <f>_xlfn.STDEV.S(V83:V88)</f>
        <v>#DIV/0!</v>
      </c>
    </row>
    <row r="84" spans="1:26" x14ac:dyDescent="0.3">
      <c r="Q84" t="e">
        <f t="shared" si="6"/>
        <v>#DIV/0!</v>
      </c>
      <c r="R84" t="e">
        <f t="shared" si="7"/>
        <v>#DIV/0!</v>
      </c>
      <c r="S84" t="e">
        <f t="shared" si="8"/>
        <v>#DIV/0!</v>
      </c>
      <c r="T84" t="e">
        <f t="shared" si="9"/>
        <v>#DIV/0!</v>
      </c>
      <c r="U84" t="e">
        <f t="shared" si="10"/>
        <v>#DIV/0!</v>
      </c>
      <c r="V84" t="e">
        <f t="shared" si="11"/>
        <v>#DIV/0!</v>
      </c>
    </row>
    <row r="85" spans="1:26" x14ac:dyDescent="0.3">
      <c r="Q85" t="e">
        <f t="shared" si="6"/>
        <v>#DIV/0!</v>
      </c>
      <c r="R85" t="e">
        <f t="shared" si="7"/>
        <v>#DIV/0!</v>
      </c>
      <c r="S85" t="e">
        <f t="shared" si="8"/>
        <v>#DIV/0!</v>
      </c>
      <c r="T85" t="e">
        <f t="shared" si="9"/>
        <v>#DIV/0!</v>
      </c>
      <c r="U85" t="e">
        <f t="shared" si="10"/>
        <v>#DIV/0!</v>
      </c>
      <c r="V85" t="e">
        <f t="shared" si="11"/>
        <v>#DIV/0!</v>
      </c>
    </row>
    <row r="86" spans="1:26" x14ac:dyDescent="0.3">
      <c r="Q86" t="e">
        <f t="shared" si="6"/>
        <v>#DIV/0!</v>
      </c>
      <c r="R86" t="e">
        <f t="shared" si="7"/>
        <v>#DIV/0!</v>
      </c>
      <c r="S86" t="e">
        <f t="shared" si="8"/>
        <v>#DIV/0!</v>
      </c>
      <c r="T86" t="e">
        <f t="shared" si="9"/>
        <v>#DIV/0!</v>
      </c>
      <c r="U86" t="e">
        <f t="shared" si="10"/>
        <v>#DIV/0!</v>
      </c>
      <c r="V86" t="e">
        <f t="shared" si="11"/>
        <v>#DIV/0!</v>
      </c>
    </row>
    <row r="87" spans="1:26" x14ac:dyDescent="0.3">
      <c r="Q87" t="e">
        <f t="shared" si="6"/>
        <v>#DIV/0!</v>
      </c>
      <c r="R87" t="e">
        <f t="shared" si="7"/>
        <v>#DIV/0!</v>
      </c>
      <c r="S87" t="e">
        <f t="shared" si="8"/>
        <v>#DIV/0!</v>
      </c>
      <c r="T87" t="e">
        <f t="shared" si="9"/>
        <v>#DIV/0!</v>
      </c>
      <c r="U87" t="e">
        <f t="shared" si="10"/>
        <v>#DIV/0!</v>
      </c>
      <c r="V87" t="e">
        <f t="shared" si="11"/>
        <v>#DIV/0!</v>
      </c>
    </row>
    <row r="88" spans="1:26" x14ac:dyDescent="0.3">
      <c r="Q88" t="e">
        <f t="shared" si="6"/>
        <v>#DIV/0!</v>
      </c>
      <c r="R88" t="e">
        <f t="shared" si="7"/>
        <v>#DIV/0!</v>
      </c>
      <c r="S88" t="e">
        <f t="shared" si="8"/>
        <v>#DIV/0!</v>
      </c>
      <c r="T88" t="e">
        <f t="shared" si="9"/>
        <v>#DIV/0!</v>
      </c>
      <c r="U88" t="e">
        <f t="shared" si="10"/>
        <v>#DIV/0!</v>
      </c>
      <c r="V88" t="e">
        <f t="shared" si="11"/>
        <v>#DIV/0!</v>
      </c>
    </row>
    <row r="90" spans="1:26" x14ac:dyDescent="0.3">
      <c r="A90" t="s">
        <v>71</v>
      </c>
    </row>
    <row r="91" spans="1:26" x14ac:dyDescent="0.3">
      <c r="Q91" t="e">
        <f t="shared" si="6"/>
        <v>#DIV/0!</v>
      </c>
      <c r="R91" t="e">
        <f t="shared" si="7"/>
        <v>#DIV/0!</v>
      </c>
      <c r="S91" t="e">
        <f t="shared" si="8"/>
        <v>#DIV/0!</v>
      </c>
      <c r="T91" t="e">
        <f t="shared" si="9"/>
        <v>#DIV/0!</v>
      </c>
      <c r="U91" t="e">
        <f t="shared" si="10"/>
        <v>#DIV/0!</v>
      </c>
      <c r="V91" t="e">
        <f t="shared" si="11"/>
        <v>#DIV/0!</v>
      </c>
      <c r="W91" t="e">
        <f>AVERAGE(T91:T99)</f>
        <v>#DIV/0!</v>
      </c>
      <c r="X91" t="e">
        <f>_xlfn.STDEV.S(T91:T99)</f>
        <v>#DIV/0!</v>
      </c>
      <c r="Y91" t="e">
        <f>AVERAGE(V91:V99)</f>
        <v>#DIV/0!</v>
      </c>
      <c r="Z91" t="e">
        <f>_xlfn.STDEV.S(V91:V99)</f>
        <v>#DIV/0!</v>
      </c>
    </row>
    <row r="92" spans="1:26" x14ac:dyDescent="0.3">
      <c r="Q92" t="e">
        <f t="shared" si="6"/>
        <v>#DIV/0!</v>
      </c>
      <c r="R92" t="e">
        <f t="shared" si="7"/>
        <v>#DIV/0!</v>
      </c>
      <c r="S92" t="e">
        <f t="shared" si="8"/>
        <v>#DIV/0!</v>
      </c>
      <c r="T92" t="e">
        <f t="shared" si="9"/>
        <v>#DIV/0!</v>
      </c>
      <c r="U92" t="e">
        <f t="shared" si="10"/>
        <v>#DIV/0!</v>
      </c>
      <c r="V92" t="e">
        <f t="shared" si="11"/>
        <v>#DIV/0!</v>
      </c>
    </row>
    <row r="93" spans="1:26" x14ac:dyDescent="0.3">
      <c r="Q93" t="e">
        <f t="shared" si="6"/>
        <v>#DIV/0!</v>
      </c>
      <c r="R93" t="e">
        <f t="shared" si="7"/>
        <v>#DIV/0!</v>
      </c>
      <c r="S93" t="e">
        <f t="shared" si="8"/>
        <v>#DIV/0!</v>
      </c>
      <c r="T93" t="e">
        <f t="shared" si="9"/>
        <v>#DIV/0!</v>
      </c>
      <c r="U93" t="e">
        <f t="shared" si="10"/>
        <v>#DIV/0!</v>
      </c>
      <c r="V93" t="e">
        <f t="shared" si="11"/>
        <v>#DIV/0!</v>
      </c>
    </row>
    <row r="94" spans="1:26" x14ac:dyDescent="0.3">
      <c r="Q94" t="e">
        <f t="shared" si="6"/>
        <v>#DIV/0!</v>
      </c>
      <c r="R94" t="e">
        <f t="shared" si="7"/>
        <v>#DIV/0!</v>
      </c>
      <c r="S94" t="e">
        <f t="shared" si="8"/>
        <v>#DIV/0!</v>
      </c>
      <c r="T94" t="e">
        <f t="shared" si="9"/>
        <v>#DIV/0!</v>
      </c>
      <c r="U94" t="e">
        <f t="shared" si="10"/>
        <v>#DIV/0!</v>
      </c>
      <c r="V94" t="e">
        <f t="shared" si="11"/>
        <v>#DIV/0!</v>
      </c>
    </row>
    <row r="95" spans="1:26" x14ac:dyDescent="0.3">
      <c r="Q95" t="e">
        <f t="shared" si="6"/>
        <v>#DIV/0!</v>
      </c>
      <c r="R95" t="e">
        <f t="shared" si="7"/>
        <v>#DIV/0!</v>
      </c>
      <c r="S95" t="e">
        <f t="shared" si="8"/>
        <v>#DIV/0!</v>
      </c>
      <c r="T95" t="e">
        <f t="shared" si="9"/>
        <v>#DIV/0!</v>
      </c>
      <c r="U95" t="e">
        <f t="shared" si="10"/>
        <v>#DIV/0!</v>
      </c>
      <c r="V95" t="e">
        <f t="shared" si="11"/>
        <v>#DIV/0!</v>
      </c>
    </row>
    <row r="96" spans="1:26" x14ac:dyDescent="0.3">
      <c r="Q96" t="e">
        <f t="shared" si="6"/>
        <v>#DIV/0!</v>
      </c>
      <c r="R96" t="e">
        <f t="shared" si="7"/>
        <v>#DIV/0!</v>
      </c>
      <c r="S96" t="e">
        <f t="shared" si="8"/>
        <v>#DIV/0!</v>
      </c>
      <c r="T96" t="e">
        <f t="shared" si="9"/>
        <v>#DIV/0!</v>
      </c>
      <c r="U96" t="e">
        <f t="shared" si="10"/>
        <v>#DIV/0!</v>
      </c>
      <c r="V96" t="e">
        <f t="shared" si="11"/>
        <v>#DIV/0!</v>
      </c>
    </row>
    <row r="97" spans="17:22" x14ac:dyDescent="0.3">
      <c r="Q97" t="e">
        <f t="shared" si="6"/>
        <v>#DIV/0!</v>
      </c>
      <c r="R97" t="e">
        <f t="shared" si="7"/>
        <v>#DIV/0!</v>
      </c>
      <c r="S97" t="e">
        <f t="shared" si="8"/>
        <v>#DIV/0!</v>
      </c>
      <c r="T97" t="e">
        <f t="shared" si="9"/>
        <v>#DIV/0!</v>
      </c>
      <c r="U97" t="e">
        <f t="shared" si="10"/>
        <v>#DIV/0!</v>
      </c>
      <c r="V97" t="e">
        <f t="shared" si="11"/>
        <v>#DIV/0!</v>
      </c>
    </row>
    <row r="98" spans="17:22" x14ac:dyDescent="0.3">
      <c r="Q98" t="e">
        <f t="shared" si="6"/>
        <v>#DIV/0!</v>
      </c>
      <c r="R98" t="e">
        <f t="shared" si="7"/>
        <v>#DIV/0!</v>
      </c>
      <c r="S98" t="e">
        <f t="shared" si="8"/>
        <v>#DIV/0!</v>
      </c>
      <c r="T98" t="e">
        <f t="shared" si="9"/>
        <v>#DIV/0!</v>
      </c>
      <c r="U98" t="e">
        <f t="shared" si="10"/>
        <v>#DIV/0!</v>
      </c>
      <c r="V98" t="e">
        <f t="shared" si="11"/>
        <v>#DIV/0!</v>
      </c>
    </row>
    <row r="99" spans="17:22" x14ac:dyDescent="0.3">
      <c r="Q99" t="e">
        <f t="shared" si="6"/>
        <v>#DIV/0!</v>
      </c>
      <c r="R99" t="e">
        <f t="shared" si="7"/>
        <v>#DIV/0!</v>
      </c>
      <c r="S99" t="e">
        <f t="shared" si="8"/>
        <v>#DIV/0!</v>
      </c>
      <c r="T99" t="e">
        <f t="shared" si="9"/>
        <v>#DIV/0!</v>
      </c>
      <c r="U99" t="e">
        <f t="shared" si="10"/>
        <v>#DIV/0!</v>
      </c>
      <c r="V99" t="e">
        <f t="shared" si="11"/>
        <v>#DIV/0!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A647-64D8-47BC-AD52-3FB80D45AD9F}">
  <dimension ref="A1:AG34"/>
  <sheetViews>
    <sheetView workbookViewId="0">
      <selection activeCell="B2" sqref="B2:O34"/>
    </sheetView>
  </sheetViews>
  <sheetFormatPr defaultRowHeight="14.4" x14ac:dyDescent="0.3"/>
  <cols>
    <col min="30" max="30" width="13.44140625" customWidth="1"/>
  </cols>
  <sheetData>
    <row r="1" spans="1:33" x14ac:dyDescent="0.3">
      <c r="A1" t="s">
        <v>23</v>
      </c>
      <c r="F1" t="s">
        <v>24</v>
      </c>
      <c r="K1" t="s">
        <v>25</v>
      </c>
      <c r="R1" t="s">
        <v>12</v>
      </c>
      <c r="S1" t="s">
        <v>13</v>
      </c>
      <c r="T1" t="s">
        <v>14</v>
      </c>
      <c r="U1" t="s">
        <v>16</v>
      </c>
      <c r="V1" t="s">
        <v>64</v>
      </c>
      <c r="W1" t="s">
        <v>54</v>
      </c>
      <c r="X1" t="s">
        <v>65</v>
      </c>
      <c r="Y1" t="s">
        <v>55</v>
      </c>
      <c r="Z1" t="s">
        <v>66</v>
      </c>
      <c r="AA1" t="s">
        <v>56</v>
      </c>
      <c r="AB1" t="s">
        <v>1</v>
      </c>
      <c r="AC1" t="s">
        <v>17</v>
      </c>
      <c r="AD1" t="s">
        <v>18</v>
      </c>
      <c r="AE1" t="s">
        <v>15</v>
      </c>
      <c r="AF1" t="s">
        <v>19</v>
      </c>
      <c r="AG1" t="s">
        <v>20</v>
      </c>
    </row>
    <row r="2" spans="1:33" x14ac:dyDescent="0.3">
      <c r="R2" t="e">
        <f>AVERAGE(C2:D2)</f>
        <v>#DIV/0!</v>
      </c>
      <c r="S2" t="e">
        <f>AVERAGE(H2,I2)</f>
        <v>#DIV/0!</v>
      </c>
      <c r="T2" t="e">
        <f>AVERAGE(M2:N2)</f>
        <v>#DIV/0!</v>
      </c>
      <c r="U2" t="e">
        <f>AVERAGE(R2:T2)</f>
        <v>#DIV/0!</v>
      </c>
      <c r="V2" t="e">
        <f>AVERAGE(R2:R34)</f>
        <v>#DIV/0!</v>
      </c>
      <c r="W2" t="e">
        <f>_xlfn.STDEV.S(R2:R34)</f>
        <v>#DIV/0!</v>
      </c>
      <c r="X2" t="e">
        <f>AVERAGE(S2:S34)</f>
        <v>#DIV/0!</v>
      </c>
      <c r="Y2" t="e">
        <f>_xlfn.STDEV.S(S2:S34)</f>
        <v>#DIV/0!</v>
      </c>
      <c r="Z2" t="e">
        <f>AVERAGE(T2:T34)</f>
        <v>#DIV/0!</v>
      </c>
      <c r="AA2" t="e">
        <f>_xlfn.STDEV.S(T2:T34)</f>
        <v>#DIV/0!</v>
      </c>
      <c r="AB2" t="e">
        <f>AVERAGE(U2:U34)</f>
        <v>#DIV/0!</v>
      </c>
      <c r="AC2" t="e">
        <f>_xlfn.STDEV.S(U2:U34)</f>
        <v>#DIV/0!</v>
      </c>
      <c r="AD2" t="e">
        <f>MIN(R2:T2)</f>
        <v>#DIV/0!</v>
      </c>
      <c r="AE2" t="e">
        <f>(1/3)*(U2-AD2)</f>
        <v>#DIV/0!</v>
      </c>
      <c r="AF2" t="e">
        <f>AVERAGE(AE2:AE34)</f>
        <v>#DIV/0!</v>
      </c>
      <c r="AG2" t="e">
        <f>_xlfn.STDEV.S(AE2:AE34)</f>
        <v>#DIV/0!</v>
      </c>
    </row>
    <row r="3" spans="1:33" x14ac:dyDescent="0.3">
      <c r="R3" t="e">
        <f t="shared" ref="R3:R34" si="0">AVERAGE(C3:D3)</f>
        <v>#DIV/0!</v>
      </c>
      <c r="S3" t="e">
        <f t="shared" ref="S3:S34" si="1">AVERAGE(H3,I3)</f>
        <v>#DIV/0!</v>
      </c>
      <c r="T3" t="e">
        <f t="shared" ref="T3:T34" si="2">AVERAGE(M3:N3)</f>
        <v>#DIV/0!</v>
      </c>
      <c r="U3" t="e">
        <f t="shared" ref="U3:U34" si="3">AVERAGE(R3:T3)</f>
        <v>#DIV/0!</v>
      </c>
      <c r="AD3" t="e">
        <f t="shared" ref="AD3:AD34" si="4">MIN(R3:T3)</f>
        <v>#DIV/0!</v>
      </c>
      <c r="AE3" t="e">
        <f t="shared" ref="AE3:AE34" si="5">(1/3)*(U3-AD3)</f>
        <v>#DIV/0!</v>
      </c>
    </row>
    <row r="4" spans="1:33" x14ac:dyDescent="0.3">
      <c r="R4" t="e">
        <f t="shared" si="0"/>
        <v>#DIV/0!</v>
      </c>
      <c r="S4" t="e">
        <f t="shared" si="1"/>
        <v>#DIV/0!</v>
      </c>
      <c r="T4" t="e">
        <f t="shared" si="2"/>
        <v>#DIV/0!</v>
      </c>
      <c r="U4" t="e">
        <f t="shared" si="3"/>
        <v>#DIV/0!</v>
      </c>
      <c r="AD4" t="e">
        <f t="shared" si="4"/>
        <v>#DIV/0!</v>
      </c>
      <c r="AE4" t="e">
        <f t="shared" si="5"/>
        <v>#DIV/0!</v>
      </c>
    </row>
    <row r="5" spans="1:33" x14ac:dyDescent="0.3">
      <c r="R5" t="e">
        <f t="shared" si="0"/>
        <v>#DIV/0!</v>
      </c>
      <c r="S5" t="e">
        <f t="shared" si="1"/>
        <v>#DIV/0!</v>
      </c>
      <c r="T5" t="e">
        <f t="shared" si="2"/>
        <v>#DIV/0!</v>
      </c>
      <c r="U5" t="e">
        <f t="shared" si="3"/>
        <v>#DIV/0!</v>
      </c>
      <c r="AD5" t="e">
        <f t="shared" si="4"/>
        <v>#DIV/0!</v>
      </c>
      <c r="AE5" t="e">
        <f t="shared" si="5"/>
        <v>#DIV/0!</v>
      </c>
    </row>
    <row r="6" spans="1:33" x14ac:dyDescent="0.3">
      <c r="R6" t="e">
        <f t="shared" si="0"/>
        <v>#DIV/0!</v>
      </c>
      <c r="S6" t="e">
        <f t="shared" si="1"/>
        <v>#DIV/0!</v>
      </c>
      <c r="T6" t="e">
        <f t="shared" si="2"/>
        <v>#DIV/0!</v>
      </c>
      <c r="U6" t="e">
        <f t="shared" si="3"/>
        <v>#DIV/0!</v>
      </c>
      <c r="AD6" t="e">
        <f t="shared" si="4"/>
        <v>#DIV/0!</v>
      </c>
      <c r="AE6" t="e">
        <f t="shared" si="5"/>
        <v>#DIV/0!</v>
      </c>
    </row>
    <row r="7" spans="1:33" x14ac:dyDescent="0.3">
      <c r="R7" t="e">
        <f t="shared" si="0"/>
        <v>#DIV/0!</v>
      </c>
      <c r="S7" t="e">
        <f t="shared" si="1"/>
        <v>#DIV/0!</v>
      </c>
      <c r="T7" t="e">
        <f t="shared" si="2"/>
        <v>#DIV/0!</v>
      </c>
      <c r="U7" t="e">
        <f t="shared" si="3"/>
        <v>#DIV/0!</v>
      </c>
      <c r="AD7" t="e">
        <f t="shared" si="4"/>
        <v>#DIV/0!</v>
      </c>
      <c r="AE7" t="e">
        <f t="shared" si="5"/>
        <v>#DIV/0!</v>
      </c>
    </row>
    <row r="8" spans="1:33" x14ac:dyDescent="0.3">
      <c r="R8" t="e">
        <f t="shared" si="0"/>
        <v>#DIV/0!</v>
      </c>
      <c r="S8" t="e">
        <f t="shared" si="1"/>
        <v>#DIV/0!</v>
      </c>
      <c r="T8" t="e">
        <f t="shared" si="2"/>
        <v>#DIV/0!</v>
      </c>
      <c r="U8" t="e">
        <f t="shared" si="3"/>
        <v>#DIV/0!</v>
      </c>
      <c r="AD8" t="e">
        <f t="shared" si="4"/>
        <v>#DIV/0!</v>
      </c>
      <c r="AE8" t="e">
        <f t="shared" si="5"/>
        <v>#DIV/0!</v>
      </c>
    </row>
    <row r="9" spans="1:33" x14ac:dyDescent="0.3">
      <c r="R9" t="e">
        <f t="shared" si="0"/>
        <v>#DIV/0!</v>
      </c>
      <c r="S9" t="e">
        <f t="shared" si="1"/>
        <v>#DIV/0!</v>
      </c>
      <c r="T9" t="e">
        <f t="shared" si="2"/>
        <v>#DIV/0!</v>
      </c>
      <c r="U9" t="e">
        <f t="shared" si="3"/>
        <v>#DIV/0!</v>
      </c>
      <c r="AD9" t="e">
        <f t="shared" si="4"/>
        <v>#DIV/0!</v>
      </c>
      <c r="AE9" t="e">
        <f t="shared" si="5"/>
        <v>#DIV/0!</v>
      </c>
    </row>
    <row r="10" spans="1:33" x14ac:dyDescent="0.3">
      <c r="R10" t="e">
        <f t="shared" si="0"/>
        <v>#DIV/0!</v>
      </c>
      <c r="S10" t="e">
        <f t="shared" si="1"/>
        <v>#DIV/0!</v>
      </c>
      <c r="T10" t="e">
        <f t="shared" si="2"/>
        <v>#DIV/0!</v>
      </c>
      <c r="U10" t="e">
        <f t="shared" si="3"/>
        <v>#DIV/0!</v>
      </c>
      <c r="AD10" t="e">
        <f t="shared" si="4"/>
        <v>#DIV/0!</v>
      </c>
      <c r="AE10" t="e">
        <f t="shared" si="5"/>
        <v>#DIV/0!</v>
      </c>
    </row>
    <row r="11" spans="1:33" x14ac:dyDescent="0.3">
      <c r="R11" t="e">
        <f t="shared" si="0"/>
        <v>#DIV/0!</v>
      </c>
      <c r="S11" t="e">
        <f t="shared" si="1"/>
        <v>#DIV/0!</v>
      </c>
      <c r="T11" t="e">
        <f t="shared" si="2"/>
        <v>#DIV/0!</v>
      </c>
      <c r="U11" t="e">
        <f t="shared" si="3"/>
        <v>#DIV/0!</v>
      </c>
      <c r="AD11" t="e">
        <f t="shared" si="4"/>
        <v>#DIV/0!</v>
      </c>
      <c r="AE11" t="e">
        <f t="shared" si="5"/>
        <v>#DIV/0!</v>
      </c>
    </row>
    <row r="12" spans="1:33" x14ac:dyDescent="0.3">
      <c r="R12" t="e">
        <f t="shared" si="0"/>
        <v>#DIV/0!</v>
      </c>
      <c r="S12" t="e">
        <f t="shared" si="1"/>
        <v>#DIV/0!</v>
      </c>
      <c r="T12" t="e">
        <f t="shared" si="2"/>
        <v>#DIV/0!</v>
      </c>
      <c r="U12" t="e">
        <f t="shared" si="3"/>
        <v>#DIV/0!</v>
      </c>
      <c r="AD12" t="e">
        <f t="shared" si="4"/>
        <v>#DIV/0!</v>
      </c>
      <c r="AE12" t="e">
        <f t="shared" si="5"/>
        <v>#DIV/0!</v>
      </c>
    </row>
    <row r="13" spans="1:33" x14ac:dyDescent="0.3">
      <c r="R13" t="e">
        <f t="shared" si="0"/>
        <v>#DIV/0!</v>
      </c>
      <c r="S13" t="e">
        <f t="shared" si="1"/>
        <v>#DIV/0!</v>
      </c>
      <c r="T13" t="e">
        <f t="shared" si="2"/>
        <v>#DIV/0!</v>
      </c>
      <c r="U13" t="e">
        <f t="shared" si="3"/>
        <v>#DIV/0!</v>
      </c>
      <c r="AD13" t="e">
        <f t="shared" si="4"/>
        <v>#DIV/0!</v>
      </c>
      <c r="AE13" t="e">
        <f t="shared" si="5"/>
        <v>#DIV/0!</v>
      </c>
    </row>
    <row r="14" spans="1:33" x14ac:dyDescent="0.3">
      <c r="R14" t="e">
        <f t="shared" si="0"/>
        <v>#DIV/0!</v>
      </c>
      <c r="S14" t="e">
        <f t="shared" si="1"/>
        <v>#DIV/0!</v>
      </c>
      <c r="T14" t="e">
        <f t="shared" si="2"/>
        <v>#DIV/0!</v>
      </c>
      <c r="U14" t="e">
        <f t="shared" si="3"/>
        <v>#DIV/0!</v>
      </c>
      <c r="AD14" t="e">
        <f t="shared" si="4"/>
        <v>#DIV/0!</v>
      </c>
      <c r="AE14" t="e">
        <f t="shared" si="5"/>
        <v>#DIV/0!</v>
      </c>
    </row>
    <row r="15" spans="1:33" x14ac:dyDescent="0.3">
      <c r="R15" t="e">
        <f t="shared" si="0"/>
        <v>#DIV/0!</v>
      </c>
      <c r="S15" t="e">
        <f t="shared" si="1"/>
        <v>#DIV/0!</v>
      </c>
      <c r="T15" t="e">
        <f t="shared" si="2"/>
        <v>#DIV/0!</v>
      </c>
      <c r="U15" t="e">
        <f t="shared" si="3"/>
        <v>#DIV/0!</v>
      </c>
      <c r="AD15" t="e">
        <f t="shared" si="4"/>
        <v>#DIV/0!</v>
      </c>
      <c r="AE15" t="e">
        <f t="shared" si="5"/>
        <v>#DIV/0!</v>
      </c>
    </row>
    <row r="16" spans="1:33" x14ac:dyDescent="0.3">
      <c r="R16" t="e">
        <f t="shared" si="0"/>
        <v>#DIV/0!</v>
      </c>
      <c r="S16" t="e">
        <f t="shared" si="1"/>
        <v>#DIV/0!</v>
      </c>
      <c r="T16" t="e">
        <f t="shared" si="2"/>
        <v>#DIV/0!</v>
      </c>
      <c r="U16" t="e">
        <f t="shared" si="3"/>
        <v>#DIV/0!</v>
      </c>
      <c r="AD16" t="e">
        <f t="shared" si="4"/>
        <v>#DIV/0!</v>
      </c>
      <c r="AE16" t="e">
        <f t="shared" si="5"/>
        <v>#DIV/0!</v>
      </c>
    </row>
    <row r="17" spans="18:31" x14ac:dyDescent="0.3">
      <c r="R17" t="e">
        <f t="shared" si="0"/>
        <v>#DIV/0!</v>
      </c>
      <c r="S17" t="e">
        <f t="shared" si="1"/>
        <v>#DIV/0!</v>
      </c>
      <c r="T17" t="e">
        <f t="shared" si="2"/>
        <v>#DIV/0!</v>
      </c>
      <c r="U17" t="e">
        <f t="shared" si="3"/>
        <v>#DIV/0!</v>
      </c>
      <c r="AD17" t="e">
        <f t="shared" si="4"/>
        <v>#DIV/0!</v>
      </c>
      <c r="AE17" t="e">
        <f t="shared" si="5"/>
        <v>#DIV/0!</v>
      </c>
    </row>
    <row r="18" spans="18:31" x14ac:dyDescent="0.3">
      <c r="R18" t="e">
        <f t="shared" si="0"/>
        <v>#DIV/0!</v>
      </c>
      <c r="S18" t="e">
        <f t="shared" si="1"/>
        <v>#DIV/0!</v>
      </c>
      <c r="T18" t="e">
        <f t="shared" si="2"/>
        <v>#DIV/0!</v>
      </c>
      <c r="U18" t="e">
        <f t="shared" si="3"/>
        <v>#DIV/0!</v>
      </c>
      <c r="AD18" t="e">
        <f t="shared" si="4"/>
        <v>#DIV/0!</v>
      </c>
      <c r="AE18" t="e">
        <f t="shared" si="5"/>
        <v>#DIV/0!</v>
      </c>
    </row>
    <row r="19" spans="18:31" x14ac:dyDescent="0.3">
      <c r="R19" t="e">
        <f t="shared" si="0"/>
        <v>#DIV/0!</v>
      </c>
      <c r="S19" t="e">
        <f t="shared" si="1"/>
        <v>#DIV/0!</v>
      </c>
      <c r="T19" t="e">
        <f t="shared" si="2"/>
        <v>#DIV/0!</v>
      </c>
      <c r="U19" t="e">
        <f t="shared" si="3"/>
        <v>#DIV/0!</v>
      </c>
      <c r="AD19" t="e">
        <f t="shared" si="4"/>
        <v>#DIV/0!</v>
      </c>
      <c r="AE19" t="e">
        <f t="shared" si="5"/>
        <v>#DIV/0!</v>
      </c>
    </row>
    <row r="20" spans="18:31" x14ac:dyDescent="0.3">
      <c r="R20" t="e">
        <f t="shared" si="0"/>
        <v>#DIV/0!</v>
      </c>
      <c r="S20" t="e">
        <f t="shared" si="1"/>
        <v>#DIV/0!</v>
      </c>
      <c r="T20" t="e">
        <f t="shared" si="2"/>
        <v>#DIV/0!</v>
      </c>
      <c r="U20" t="e">
        <f t="shared" si="3"/>
        <v>#DIV/0!</v>
      </c>
      <c r="AD20" t="e">
        <f t="shared" si="4"/>
        <v>#DIV/0!</v>
      </c>
      <c r="AE20" t="e">
        <f t="shared" si="5"/>
        <v>#DIV/0!</v>
      </c>
    </row>
    <row r="21" spans="18:31" x14ac:dyDescent="0.3">
      <c r="R21" t="e">
        <f t="shared" si="0"/>
        <v>#DIV/0!</v>
      </c>
      <c r="S21" t="e">
        <f t="shared" si="1"/>
        <v>#DIV/0!</v>
      </c>
      <c r="T21" t="e">
        <f t="shared" si="2"/>
        <v>#DIV/0!</v>
      </c>
      <c r="U21" t="e">
        <f t="shared" si="3"/>
        <v>#DIV/0!</v>
      </c>
      <c r="AD21" t="e">
        <f t="shared" si="4"/>
        <v>#DIV/0!</v>
      </c>
      <c r="AE21" t="e">
        <f t="shared" si="5"/>
        <v>#DIV/0!</v>
      </c>
    </row>
    <row r="22" spans="18:31" x14ac:dyDescent="0.3">
      <c r="R22" t="e">
        <f t="shared" si="0"/>
        <v>#DIV/0!</v>
      </c>
      <c r="S22" t="e">
        <f t="shared" si="1"/>
        <v>#DIV/0!</v>
      </c>
      <c r="T22" t="e">
        <f t="shared" si="2"/>
        <v>#DIV/0!</v>
      </c>
      <c r="U22" t="e">
        <f t="shared" si="3"/>
        <v>#DIV/0!</v>
      </c>
      <c r="AD22" t="e">
        <f t="shared" si="4"/>
        <v>#DIV/0!</v>
      </c>
      <c r="AE22" t="e">
        <f t="shared" si="5"/>
        <v>#DIV/0!</v>
      </c>
    </row>
    <row r="23" spans="18:31" x14ac:dyDescent="0.3">
      <c r="R23" t="e">
        <f t="shared" si="0"/>
        <v>#DIV/0!</v>
      </c>
      <c r="S23" t="e">
        <f t="shared" si="1"/>
        <v>#DIV/0!</v>
      </c>
      <c r="T23" t="e">
        <f t="shared" si="2"/>
        <v>#DIV/0!</v>
      </c>
      <c r="U23" t="e">
        <f t="shared" si="3"/>
        <v>#DIV/0!</v>
      </c>
      <c r="AD23" t="e">
        <f t="shared" si="4"/>
        <v>#DIV/0!</v>
      </c>
      <c r="AE23" t="e">
        <f t="shared" si="5"/>
        <v>#DIV/0!</v>
      </c>
    </row>
    <row r="24" spans="18:31" x14ac:dyDescent="0.3">
      <c r="R24" t="e">
        <f t="shared" si="0"/>
        <v>#DIV/0!</v>
      </c>
      <c r="S24" t="e">
        <f t="shared" si="1"/>
        <v>#DIV/0!</v>
      </c>
      <c r="T24" t="e">
        <f t="shared" si="2"/>
        <v>#DIV/0!</v>
      </c>
      <c r="U24" t="e">
        <f t="shared" si="3"/>
        <v>#DIV/0!</v>
      </c>
      <c r="AD24" t="e">
        <f t="shared" si="4"/>
        <v>#DIV/0!</v>
      </c>
      <c r="AE24" t="e">
        <f t="shared" si="5"/>
        <v>#DIV/0!</v>
      </c>
    </row>
    <row r="25" spans="18:31" x14ac:dyDescent="0.3">
      <c r="R25" t="e">
        <f t="shared" si="0"/>
        <v>#DIV/0!</v>
      </c>
      <c r="S25" t="e">
        <f t="shared" si="1"/>
        <v>#DIV/0!</v>
      </c>
      <c r="T25" t="e">
        <f t="shared" si="2"/>
        <v>#DIV/0!</v>
      </c>
      <c r="U25" t="e">
        <f t="shared" si="3"/>
        <v>#DIV/0!</v>
      </c>
      <c r="AD25" t="e">
        <f t="shared" si="4"/>
        <v>#DIV/0!</v>
      </c>
      <c r="AE25" t="e">
        <f t="shared" si="5"/>
        <v>#DIV/0!</v>
      </c>
    </row>
    <row r="26" spans="18:31" x14ac:dyDescent="0.3">
      <c r="R26" t="e">
        <f t="shared" si="0"/>
        <v>#DIV/0!</v>
      </c>
      <c r="S26" t="e">
        <f t="shared" si="1"/>
        <v>#DIV/0!</v>
      </c>
      <c r="T26" t="e">
        <f t="shared" si="2"/>
        <v>#DIV/0!</v>
      </c>
      <c r="U26" t="e">
        <f t="shared" si="3"/>
        <v>#DIV/0!</v>
      </c>
      <c r="AD26" t="e">
        <f t="shared" si="4"/>
        <v>#DIV/0!</v>
      </c>
      <c r="AE26" t="e">
        <f t="shared" si="5"/>
        <v>#DIV/0!</v>
      </c>
    </row>
    <row r="27" spans="18:31" x14ac:dyDescent="0.3">
      <c r="R27" t="e">
        <f t="shared" si="0"/>
        <v>#DIV/0!</v>
      </c>
      <c r="S27" t="e">
        <f t="shared" si="1"/>
        <v>#DIV/0!</v>
      </c>
      <c r="T27" t="e">
        <f t="shared" si="2"/>
        <v>#DIV/0!</v>
      </c>
      <c r="U27" t="e">
        <f t="shared" si="3"/>
        <v>#DIV/0!</v>
      </c>
      <c r="AD27" t="e">
        <f t="shared" si="4"/>
        <v>#DIV/0!</v>
      </c>
      <c r="AE27" t="e">
        <f t="shared" si="5"/>
        <v>#DIV/0!</v>
      </c>
    </row>
    <row r="28" spans="18:31" x14ac:dyDescent="0.3">
      <c r="R28" t="e">
        <f t="shared" si="0"/>
        <v>#DIV/0!</v>
      </c>
      <c r="S28" t="e">
        <f t="shared" si="1"/>
        <v>#DIV/0!</v>
      </c>
      <c r="T28" t="e">
        <f t="shared" si="2"/>
        <v>#DIV/0!</v>
      </c>
      <c r="U28" t="e">
        <f t="shared" si="3"/>
        <v>#DIV/0!</v>
      </c>
      <c r="AD28" t="e">
        <f t="shared" si="4"/>
        <v>#DIV/0!</v>
      </c>
      <c r="AE28" t="e">
        <f t="shared" si="5"/>
        <v>#DIV/0!</v>
      </c>
    </row>
    <row r="29" spans="18:31" x14ac:dyDescent="0.3">
      <c r="R29" t="e">
        <f t="shared" si="0"/>
        <v>#DIV/0!</v>
      </c>
      <c r="S29" t="e">
        <f t="shared" si="1"/>
        <v>#DIV/0!</v>
      </c>
      <c r="T29" t="e">
        <f t="shared" si="2"/>
        <v>#DIV/0!</v>
      </c>
      <c r="U29" t="e">
        <f t="shared" si="3"/>
        <v>#DIV/0!</v>
      </c>
      <c r="AD29" t="e">
        <f t="shared" si="4"/>
        <v>#DIV/0!</v>
      </c>
      <c r="AE29" t="e">
        <f t="shared" si="5"/>
        <v>#DIV/0!</v>
      </c>
    </row>
    <row r="30" spans="18:31" x14ac:dyDescent="0.3">
      <c r="R30" t="e">
        <f t="shared" si="0"/>
        <v>#DIV/0!</v>
      </c>
      <c r="S30" t="e">
        <f t="shared" si="1"/>
        <v>#DIV/0!</v>
      </c>
      <c r="T30" t="e">
        <f t="shared" si="2"/>
        <v>#DIV/0!</v>
      </c>
      <c r="U30" t="e">
        <f t="shared" si="3"/>
        <v>#DIV/0!</v>
      </c>
      <c r="AD30" t="e">
        <f t="shared" si="4"/>
        <v>#DIV/0!</v>
      </c>
      <c r="AE30" t="e">
        <f t="shared" si="5"/>
        <v>#DIV/0!</v>
      </c>
    </row>
    <row r="31" spans="18:31" x14ac:dyDescent="0.3">
      <c r="R31" t="e">
        <f t="shared" si="0"/>
        <v>#DIV/0!</v>
      </c>
      <c r="S31" t="e">
        <f t="shared" si="1"/>
        <v>#DIV/0!</v>
      </c>
      <c r="T31" t="e">
        <f t="shared" si="2"/>
        <v>#DIV/0!</v>
      </c>
      <c r="U31" t="e">
        <f t="shared" si="3"/>
        <v>#DIV/0!</v>
      </c>
      <c r="AD31" t="e">
        <f t="shared" si="4"/>
        <v>#DIV/0!</v>
      </c>
      <c r="AE31" t="e">
        <f t="shared" si="5"/>
        <v>#DIV/0!</v>
      </c>
    </row>
    <row r="32" spans="18:31" x14ac:dyDescent="0.3">
      <c r="R32" t="e">
        <f t="shared" si="0"/>
        <v>#DIV/0!</v>
      </c>
      <c r="S32" t="e">
        <f t="shared" si="1"/>
        <v>#DIV/0!</v>
      </c>
      <c r="T32" t="e">
        <f t="shared" si="2"/>
        <v>#DIV/0!</v>
      </c>
      <c r="U32" t="e">
        <f t="shared" si="3"/>
        <v>#DIV/0!</v>
      </c>
      <c r="AD32" t="e">
        <f t="shared" si="4"/>
        <v>#DIV/0!</v>
      </c>
      <c r="AE32" t="e">
        <f t="shared" si="5"/>
        <v>#DIV/0!</v>
      </c>
    </row>
    <row r="33" spans="18:31" x14ac:dyDescent="0.3">
      <c r="R33" t="e">
        <f t="shared" si="0"/>
        <v>#DIV/0!</v>
      </c>
      <c r="S33" t="e">
        <f t="shared" si="1"/>
        <v>#DIV/0!</v>
      </c>
      <c r="T33" t="e">
        <f t="shared" si="2"/>
        <v>#DIV/0!</v>
      </c>
      <c r="U33" t="e">
        <f t="shared" si="3"/>
        <v>#DIV/0!</v>
      </c>
      <c r="AD33" t="e">
        <f t="shared" si="4"/>
        <v>#DIV/0!</v>
      </c>
      <c r="AE33" t="e">
        <f t="shared" si="5"/>
        <v>#DIV/0!</v>
      </c>
    </row>
    <row r="34" spans="18:31" x14ac:dyDescent="0.3">
      <c r="R34" t="e">
        <f t="shared" si="0"/>
        <v>#DIV/0!</v>
      </c>
      <c r="S34" t="e">
        <f t="shared" si="1"/>
        <v>#DIV/0!</v>
      </c>
      <c r="T34" t="e">
        <f t="shared" si="2"/>
        <v>#DIV/0!</v>
      </c>
      <c r="U34" t="e">
        <f t="shared" si="3"/>
        <v>#DIV/0!</v>
      </c>
      <c r="AD34" t="e">
        <f t="shared" si="4"/>
        <v>#DIV/0!</v>
      </c>
      <c r="AE34" t="e">
        <f t="shared" si="5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F6D0-ABAC-48C6-A867-062B0035D0C5}">
  <dimension ref="A2:AF16"/>
  <sheetViews>
    <sheetView workbookViewId="0">
      <selection activeCell="B4" sqref="B4:O16"/>
    </sheetView>
  </sheetViews>
  <sheetFormatPr defaultRowHeight="14.4" x14ac:dyDescent="0.3"/>
  <sheetData>
    <row r="2" spans="1:32" x14ac:dyDescent="0.3">
      <c r="A2" t="s">
        <v>61</v>
      </c>
      <c r="Q2" t="s">
        <v>12</v>
      </c>
      <c r="R2" t="s">
        <v>13</v>
      </c>
      <c r="S2" t="s">
        <v>14</v>
      </c>
      <c r="T2" t="s">
        <v>16</v>
      </c>
      <c r="U2" t="s">
        <v>64</v>
      </c>
      <c r="V2" t="s">
        <v>54</v>
      </c>
      <c r="W2" t="s">
        <v>65</v>
      </c>
      <c r="X2" t="s">
        <v>55</v>
      </c>
      <c r="Y2" t="s">
        <v>66</v>
      </c>
      <c r="Z2" t="s">
        <v>56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24</v>
      </c>
      <c r="K3" t="s">
        <v>25</v>
      </c>
    </row>
    <row r="4" spans="1:32" x14ac:dyDescent="0.3">
      <c r="Q4" t="e">
        <f>AVERAGE(C4,D4)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>
        <v>14.5</v>
      </c>
      <c r="W4">
        <v>12</v>
      </c>
      <c r="Y4">
        <v>24</v>
      </c>
      <c r="AA4" t="e">
        <f>AVERAGE(T4)</f>
        <v>#DIV/0!</v>
      </c>
      <c r="AB4" t="e">
        <f>_xlfn.STDEV.S(T4)</f>
        <v>#DIV/0!</v>
      </c>
      <c r="AC4" t="e">
        <f>MIN(Q4:S4)</f>
        <v>#DIV/0!</v>
      </c>
      <c r="AD4" t="e">
        <f>(1/3)*(T4-AC4)</f>
        <v>#DIV/0!</v>
      </c>
      <c r="AE4" t="e">
        <f>AVERAGE(AD4)</f>
        <v>#DIV/0!</v>
      </c>
      <c r="AF4" t="e">
        <f>_xlfn.STDEV.S(AD4)</f>
        <v>#DIV/0!</v>
      </c>
    </row>
    <row r="7" spans="1:32" x14ac:dyDescent="0.3">
      <c r="A7" t="s">
        <v>62</v>
      </c>
    </row>
    <row r="8" spans="1:32" x14ac:dyDescent="0.3">
      <c r="A8" t="s">
        <v>23</v>
      </c>
    </row>
    <row r="9" spans="1:32" x14ac:dyDescent="0.3">
      <c r="Q9" t="e">
        <f t="shared" ref="Q9:Q16" si="0">AVERAGE(C9,D9)</f>
        <v>#DIV/0!</v>
      </c>
      <c r="R9" t="e">
        <f t="shared" ref="R9:R16" si="1">AVERAGE(H9,I9)</f>
        <v>#DIV/0!</v>
      </c>
      <c r="S9" t="e">
        <f t="shared" ref="S9:S16" si="2">AVERAGE(M9,N9)</f>
        <v>#DIV/0!</v>
      </c>
      <c r="T9" t="e">
        <f>AVERAGE(Q9:S9)</f>
        <v>#DIV/0!</v>
      </c>
      <c r="U9" t="e">
        <f>AVERAGE(Q9:Q10)</f>
        <v>#DIV/0!</v>
      </c>
      <c r="W9" t="e">
        <f>AVERAGE(R9,R10)</f>
        <v>#DIV/0!</v>
      </c>
      <c r="Y9" t="e">
        <f>AVERAGE(S9,S10)</f>
        <v>#DIV/0!</v>
      </c>
      <c r="AA9" t="e">
        <f>AVERAGE(T9:T10)</f>
        <v>#DIV/0!</v>
      </c>
      <c r="AB9" t="e">
        <f>_xlfn.STDEV.S(T9:T10)</f>
        <v>#DIV/0!</v>
      </c>
      <c r="AC9" t="e">
        <f>MIN(Q9:S9)</f>
        <v>#DIV/0!</v>
      </c>
      <c r="AD9" t="e">
        <f>(1/3)*(T9-AC9)</f>
        <v>#DIV/0!</v>
      </c>
      <c r="AE9" t="e">
        <f>AVERAGE(AD9,AD10)</f>
        <v>#DIV/0!</v>
      </c>
      <c r="AF9" t="e">
        <f>_xlfn.STDEV.S(AD9,AD10)</f>
        <v>#DIV/0!</v>
      </c>
    </row>
    <row r="10" spans="1:32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>AVERAGE(Q10:S10)</f>
        <v>#DIV/0!</v>
      </c>
      <c r="AC10" t="e">
        <f>MIN(Q10:S10)</f>
        <v>#DIV/0!</v>
      </c>
      <c r="AD10" t="e">
        <f>(1/3)*(T10-AC10)</f>
        <v>#DIV/0!</v>
      </c>
    </row>
    <row r="12" spans="1:32" x14ac:dyDescent="0.3">
      <c r="A12" t="s">
        <v>63</v>
      </c>
    </row>
    <row r="13" spans="1:32" x14ac:dyDescent="0.3">
      <c r="A13" t="s">
        <v>23</v>
      </c>
    </row>
    <row r="14" spans="1:32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>AVERAGE(Q14:S14)</f>
        <v>#DIV/0!</v>
      </c>
      <c r="U14" t="e">
        <f>AVERAGE(Q14:Q16)</f>
        <v>#DIV/0!</v>
      </c>
      <c r="V14" t="e">
        <f>_xlfn.STDEV.S(Q14:Q16)</f>
        <v>#DIV/0!</v>
      </c>
      <c r="W14" t="e">
        <f>AVERAGE(R14:R16)</f>
        <v>#DIV/0!</v>
      </c>
      <c r="X14" t="e">
        <f>_xlfn.STDEV.S(R14:R16)</f>
        <v>#DIV/0!</v>
      </c>
      <c r="Y14" t="e">
        <f>AVERAGE(S14:S16)</f>
        <v>#DIV/0!</v>
      </c>
      <c r="Z14" t="e">
        <f>_xlfn.STDEV.S(S14:S16)</f>
        <v>#DIV/0!</v>
      </c>
      <c r="AA14" t="e">
        <f>AVERAGE(T14:T16)</f>
        <v>#DIV/0!</v>
      </c>
      <c r="AB14" t="e">
        <f>_xlfn.STDEV.S(T14:T16)</f>
        <v>#DIV/0!</v>
      </c>
      <c r="AC14" t="e">
        <f>MIN(Q14:S14)</f>
        <v>#DIV/0!</v>
      </c>
      <c r="AD14" t="e">
        <f>(1/3)*(T14-AC14)</f>
        <v>#DIV/0!</v>
      </c>
      <c r="AE14" t="e">
        <f>AVERAGE(AD14:AD16)</f>
        <v>#DIV/0!</v>
      </c>
      <c r="AF14" t="e">
        <f>_xlfn.STDEV.S(AD14:AD16)</f>
        <v>#DIV/0!</v>
      </c>
    </row>
    <row r="15" spans="1:32" x14ac:dyDescent="0.3">
      <c r="Q15" t="e">
        <f t="shared" si="0"/>
        <v>#DIV/0!</v>
      </c>
      <c r="R15" t="e">
        <f t="shared" si="1"/>
        <v>#DIV/0!</v>
      </c>
      <c r="S15" t="e">
        <f t="shared" si="2"/>
        <v>#DIV/0!</v>
      </c>
      <c r="T15" t="e">
        <f>AVERAGE(Q15:S15)</f>
        <v>#DIV/0!</v>
      </c>
      <c r="AC15" t="e">
        <f>MIN(Q15:S15)</f>
        <v>#DIV/0!</v>
      </c>
      <c r="AD15" t="e">
        <f>(1/3)*(T15-AC15)</f>
        <v>#DIV/0!</v>
      </c>
    </row>
    <row r="16" spans="1:32" x14ac:dyDescent="0.3">
      <c r="Q16" t="e">
        <f t="shared" si="0"/>
        <v>#DIV/0!</v>
      </c>
      <c r="R16" t="e">
        <f t="shared" si="1"/>
        <v>#DIV/0!</v>
      </c>
      <c r="S16" t="e">
        <f t="shared" si="2"/>
        <v>#DIV/0!</v>
      </c>
      <c r="T16" t="e">
        <f>AVERAGE(Q16:S16)</f>
        <v>#DIV/0!</v>
      </c>
      <c r="AC16" t="e">
        <f>MIN(Q16:S16)</f>
        <v>#DIV/0!</v>
      </c>
      <c r="AD16" t="e">
        <f>(1/3)*(T16-AC16)</f>
        <v>#DIV/0!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N37"/>
  <sheetViews>
    <sheetView topLeftCell="A16" workbookViewId="0">
      <selection activeCell="B17" sqref="B17:O37"/>
    </sheetView>
  </sheetViews>
  <sheetFormatPr defaultRowHeight="14.4" x14ac:dyDescent="0.3"/>
  <cols>
    <col min="34" max="34" width="20.109375" customWidth="1"/>
  </cols>
  <sheetData>
    <row r="1" spans="1:40" x14ac:dyDescent="0.3">
      <c r="A1" t="s">
        <v>45</v>
      </c>
    </row>
    <row r="2" spans="1:40" x14ac:dyDescent="0.3">
      <c r="A2" t="s">
        <v>23</v>
      </c>
      <c r="F2" t="s">
        <v>24</v>
      </c>
      <c r="K2" t="s">
        <v>25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5</v>
      </c>
      <c r="X2" t="s">
        <v>54</v>
      </c>
      <c r="Y2" t="s">
        <v>7</v>
      </c>
      <c r="Z2" t="s">
        <v>55</v>
      </c>
      <c r="AA2" t="s">
        <v>9</v>
      </c>
      <c r="AB2" t="s">
        <v>56</v>
      </c>
      <c r="AC2" t="s">
        <v>1</v>
      </c>
      <c r="AD2" t="s">
        <v>17</v>
      </c>
      <c r="AE2" t="s">
        <v>19</v>
      </c>
      <c r="AF2" t="s">
        <v>20</v>
      </c>
      <c r="AH2" t="s">
        <v>38</v>
      </c>
      <c r="AI2" t="s">
        <v>1</v>
      </c>
      <c r="AJ2" t="s">
        <v>19</v>
      </c>
      <c r="AL2" t="s">
        <v>41</v>
      </c>
      <c r="AM2" t="s">
        <v>1</v>
      </c>
      <c r="AN2" t="s">
        <v>19</v>
      </c>
    </row>
    <row r="3" spans="1:40" x14ac:dyDescent="0.3">
      <c r="B3">
        <v>30</v>
      </c>
      <c r="C3">
        <v>70</v>
      </c>
      <c r="D3">
        <v>2</v>
      </c>
      <c r="E3">
        <v>98</v>
      </c>
      <c r="G3">
        <v>40</v>
      </c>
      <c r="H3">
        <v>60</v>
      </c>
      <c r="I3">
        <v>0</v>
      </c>
      <c r="J3">
        <v>100</v>
      </c>
      <c r="L3">
        <v>2</v>
      </c>
      <c r="M3">
        <v>98</v>
      </c>
      <c r="N3">
        <v>0</v>
      </c>
      <c r="O3">
        <v>100</v>
      </c>
      <c r="Q3">
        <f>AVERAGE(C3,D3)</f>
        <v>36</v>
      </c>
      <c r="R3">
        <f>AVERAGE(H3,I3)</f>
        <v>30</v>
      </c>
      <c r="S3">
        <f>AVERAGE(M3,N3)</f>
        <v>49</v>
      </c>
      <c r="T3">
        <f>AVERAGE(Q3:S3)</f>
        <v>38.333333333333336</v>
      </c>
      <c r="U3">
        <f>MIN(Q3:S3)</f>
        <v>30</v>
      </c>
      <c r="V3">
        <f>(1/3)*(T3-U3)</f>
        <v>2.7777777777777786</v>
      </c>
      <c r="W3">
        <f>AVERAGE(Q3:Q6)</f>
        <v>24.75</v>
      </c>
      <c r="X3">
        <f>_xlfn.STDEV.S(Q3:Q6)</f>
        <v>8.2107652911690678</v>
      </c>
      <c r="Y3">
        <f>AVERAGE(R3:R6)</f>
        <v>26.625</v>
      </c>
      <c r="Z3">
        <f>_xlfn.STDEV.S(R3:R6)</f>
        <v>5.5883062430996624</v>
      </c>
      <c r="AA3">
        <f>AVERAGE(S3:S6)</f>
        <v>43.75</v>
      </c>
      <c r="AB3">
        <f>_xlfn.STDEV.S(S3:S6)</f>
        <v>3.7080992435478315</v>
      </c>
      <c r="AC3">
        <f>AVERAGE(T3:T6)</f>
        <v>31.708333333333336</v>
      </c>
      <c r="AD3">
        <f>_xlfn.STDEV.S(T3:T6)</f>
        <v>5.4541438544637844</v>
      </c>
      <c r="AE3">
        <f>AVERAGE(V3:V6)</f>
        <v>2.8194444444444446</v>
      </c>
      <c r="AF3">
        <f>_xlfn.STDEV.S(V3:V6)</f>
        <v>0.19966535789673909</v>
      </c>
      <c r="AH3" t="s">
        <v>50</v>
      </c>
      <c r="AL3" t="s">
        <v>60</v>
      </c>
    </row>
    <row r="4" spans="1:40" x14ac:dyDescent="0.3">
      <c r="B4">
        <v>58</v>
      </c>
      <c r="C4">
        <v>42</v>
      </c>
      <c r="D4">
        <v>2</v>
      </c>
      <c r="E4">
        <v>98</v>
      </c>
      <c r="G4">
        <v>56</v>
      </c>
      <c r="H4">
        <v>44</v>
      </c>
      <c r="I4">
        <v>6</v>
      </c>
      <c r="J4">
        <v>94</v>
      </c>
      <c r="L4">
        <v>20</v>
      </c>
      <c r="M4">
        <v>80</v>
      </c>
      <c r="N4">
        <v>4</v>
      </c>
      <c r="O4">
        <v>96</v>
      </c>
      <c r="Q4">
        <f t="shared" ref="Q4:Q37" si="0">AVERAGE(C4,D4)</f>
        <v>22</v>
      </c>
      <c r="R4">
        <f t="shared" ref="R4:R37" si="1">AVERAGE(H4,I4)</f>
        <v>25</v>
      </c>
      <c r="S4">
        <f t="shared" ref="S4:S37" si="2">AVERAGE(M4,N4)</f>
        <v>42</v>
      </c>
      <c r="T4">
        <f t="shared" ref="T4:T37" si="3">AVERAGE(Q4:S4)</f>
        <v>29.666666666666668</v>
      </c>
      <c r="U4">
        <f t="shared" ref="U4:U37" si="4">MIN(Q4:S4)</f>
        <v>22</v>
      </c>
      <c r="V4">
        <f t="shared" ref="V4:V37" si="5">(1/3)*(T4-U4)</f>
        <v>2.5555555555555558</v>
      </c>
      <c r="AH4" t="s">
        <v>49</v>
      </c>
      <c r="AI4">
        <v>28.666666666666671</v>
      </c>
      <c r="AJ4">
        <v>2.7777777777777772</v>
      </c>
      <c r="AL4" t="s">
        <v>49</v>
      </c>
      <c r="AM4">
        <v>28.666666666666671</v>
      </c>
      <c r="AN4">
        <v>2.7777777777777772</v>
      </c>
    </row>
    <row r="5" spans="1:40" x14ac:dyDescent="0.3">
      <c r="B5">
        <v>53</v>
      </c>
      <c r="C5">
        <v>47</v>
      </c>
      <c r="D5">
        <v>2</v>
      </c>
      <c r="E5">
        <v>98</v>
      </c>
      <c r="G5">
        <v>40</v>
      </c>
      <c r="H5">
        <v>60</v>
      </c>
      <c r="I5">
        <v>4</v>
      </c>
      <c r="J5">
        <v>96</v>
      </c>
      <c r="L5">
        <v>15</v>
      </c>
      <c r="M5">
        <v>85</v>
      </c>
      <c r="N5">
        <v>2</v>
      </c>
      <c r="O5">
        <v>98</v>
      </c>
      <c r="Q5">
        <f t="shared" si="0"/>
        <v>24.5</v>
      </c>
      <c r="R5">
        <f t="shared" si="1"/>
        <v>32</v>
      </c>
      <c r="S5">
        <f t="shared" si="2"/>
        <v>43.5</v>
      </c>
      <c r="T5">
        <f t="shared" si="3"/>
        <v>33.333333333333336</v>
      </c>
      <c r="U5">
        <f t="shared" si="4"/>
        <v>24.5</v>
      </c>
      <c r="V5">
        <f t="shared" si="5"/>
        <v>2.9444444444444451</v>
      </c>
    </row>
    <row r="6" spans="1:40" x14ac:dyDescent="0.3">
      <c r="B6">
        <v>71</v>
      </c>
      <c r="C6">
        <v>29</v>
      </c>
      <c r="D6">
        <v>4</v>
      </c>
      <c r="E6">
        <v>96</v>
      </c>
      <c r="G6">
        <v>64</v>
      </c>
      <c r="H6">
        <v>36</v>
      </c>
      <c r="I6">
        <v>3</v>
      </c>
      <c r="J6">
        <v>97</v>
      </c>
      <c r="L6">
        <v>27</v>
      </c>
      <c r="M6">
        <v>73</v>
      </c>
      <c r="N6">
        <v>8</v>
      </c>
      <c r="O6">
        <v>92</v>
      </c>
      <c r="Q6">
        <f t="shared" si="0"/>
        <v>16.5</v>
      </c>
      <c r="R6">
        <f t="shared" si="1"/>
        <v>19.5</v>
      </c>
      <c r="S6">
        <f t="shared" si="2"/>
        <v>40.5</v>
      </c>
      <c r="T6">
        <f t="shared" si="3"/>
        <v>25.5</v>
      </c>
      <c r="U6">
        <f t="shared" si="4"/>
        <v>16.5</v>
      </c>
      <c r="V6">
        <f t="shared" si="5"/>
        <v>3</v>
      </c>
    </row>
    <row r="8" spans="1:40" x14ac:dyDescent="0.3">
      <c r="A8" t="s">
        <v>46</v>
      </c>
    </row>
    <row r="9" spans="1:40" x14ac:dyDescent="0.3">
      <c r="A9" t="s">
        <v>23</v>
      </c>
    </row>
    <row r="10" spans="1:40" x14ac:dyDescent="0.3">
      <c r="B10">
        <v>56</v>
      </c>
      <c r="C10">
        <v>44</v>
      </c>
      <c r="D10">
        <v>2</v>
      </c>
      <c r="E10">
        <v>98</v>
      </c>
      <c r="G10">
        <v>52</v>
      </c>
      <c r="H10">
        <v>48</v>
      </c>
      <c r="I10">
        <v>3</v>
      </c>
      <c r="J10">
        <v>97</v>
      </c>
      <c r="L10">
        <v>39</v>
      </c>
      <c r="M10">
        <v>61</v>
      </c>
      <c r="N10">
        <v>16</v>
      </c>
      <c r="O10">
        <v>84</v>
      </c>
      <c r="Q10">
        <f t="shared" si="0"/>
        <v>23</v>
      </c>
      <c r="R10">
        <f t="shared" si="1"/>
        <v>25.5</v>
      </c>
      <c r="S10">
        <f t="shared" si="2"/>
        <v>38.5</v>
      </c>
      <c r="T10">
        <f t="shared" si="3"/>
        <v>29</v>
      </c>
      <c r="U10">
        <f t="shared" si="4"/>
        <v>23</v>
      </c>
      <c r="V10">
        <f t="shared" si="5"/>
        <v>2</v>
      </c>
      <c r="W10">
        <f>AVERAGE(Q10:Q13)</f>
        <v>24.75</v>
      </c>
      <c r="X10">
        <f>_xlfn.STDEV.S(Q10:Q13)</f>
        <v>4.9074772881118189</v>
      </c>
      <c r="Y10">
        <f>AVERAGE(R10:R13)</f>
        <v>28</v>
      </c>
      <c r="Z10">
        <f>_xlfn.STDEV.S(R10:R13)</f>
        <v>5.7879184513951127</v>
      </c>
      <c r="AA10">
        <f>AVERAGE(S10:S13)</f>
        <v>42.625</v>
      </c>
      <c r="AB10">
        <f>_xlfn.STDEV.S(S10:S13)</f>
        <v>4.4976845895045452</v>
      </c>
      <c r="AC10">
        <f>AVERAGE(T10:T13)</f>
        <v>31.791666666666664</v>
      </c>
      <c r="AD10">
        <f>_xlfn.STDEV.S(T10:T13)</f>
        <v>2.6644956440266587</v>
      </c>
      <c r="AE10">
        <f>AVERAGE(V10:V13)</f>
        <v>3.1388888888888888</v>
      </c>
      <c r="AF10">
        <f>_xlfn.STDEV.S(V10:V13)</f>
        <v>0.90324062209312594</v>
      </c>
    </row>
    <row r="11" spans="1:40" x14ac:dyDescent="0.3">
      <c r="B11">
        <v>48</v>
      </c>
      <c r="C11">
        <v>52</v>
      </c>
      <c r="D11">
        <v>1</v>
      </c>
      <c r="E11">
        <v>99</v>
      </c>
      <c r="G11">
        <v>35</v>
      </c>
      <c r="H11">
        <v>65</v>
      </c>
      <c r="I11">
        <v>0</v>
      </c>
      <c r="J11">
        <v>100</v>
      </c>
      <c r="L11">
        <v>12</v>
      </c>
      <c r="M11">
        <v>88</v>
      </c>
      <c r="N11">
        <v>4</v>
      </c>
      <c r="O11">
        <v>96</v>
      </c>
      <c r="Q11">
        <f t="shared" si="0"/>
        <v>26.5</v>
      </c>
      <c r="R11">
        <f t="shared" si="1"/>
        <v>32.5</v>
      </c>
      <c r="S11">
        <f t="shared" si="2"/>
        <v>46</v>
      </c>
      <c r="T11">
        <f t="shared" si="3"/>
        <v>35</v>
      </c>
      <c r="U11">
        <f t="shared" si="4"/>
        <v>26.5</v>
      </c>
      <c r="V11">
        <f t="shared" si="5"/>
        <v>2.833333333333333</v>
      </c>
    </row>
    <row r="12" spans="1:40" x14ac:dyDescent="0.3">
      <c r="B12">
        <v>64</v>
      </c>
      <c r="C12">
        <v>36</v>
      </c>
      <c r="D12">
        <v>2</v>
      </c>
      <c r="E12">
        <v>98</v>
      </c>
      <c r="G12">
        <v>39</v>
      </c>
      <c r="H12">
        <v>61</v>
      </c>
      <c r="I12">
        <v>5</v>
      </c>
      <c r="J12">
        <v>95</v>
      </c>
      <c r="L12">
        <v>29</v>
      </c>
      <c r="M12">
        <v>71</v>
      </c>
      <c r="N12">
        <v>7</v>
      </c>
      <c r="O12">
        <v>93</v>
      </c>
      <c r="Q12">
        <f t="shared" si="0"/>
        <v>19</v>
      </c>
      <c r="R12">
        <f t="shared" si="1"/>
        <v>33</v>
      </c>
      <c r="S12">
        <f t="shared" si="2"/>
        <v>39</v>
      </c>
      <c r="T12">
        <f t="shared" si="3"/>
        <v>30.333333333333332</v>
      </c>
      <c r="U12">
        <f t="shared" si="4"/>
        <v>19</v>
      </c>
      <c r="V12">
        <f t="shared" si="5"/>
        <v>3.7777777777777772</v>
      </c>
    </row>
    <row r="13" spans="1:40" x14ac:dyDescent="0.3">
      <c r="B13">
        <v>40</v>
      </c>
      <c r="C13">
        <v>60</v>
      </c>
      <c r="D13">
        <v>1</v>
      </c>
      <c r="E13">
        <v>99</v>
      </c>
      <c r="G13">
        <v>58</v>
      </c>
      <c r="H13">
        <v>42</v>
      </c>
      <c r="I13">
        <v>0</v>
      </c>
      <c r="J13">
        <v>100</v>
      </c>
      <c r="L13">
        <v>6</v>
      </c>
      <c r="M13">
        <v>94</v>
      </c>
      <c r="N13">
        <v>0</v>
      </c>
      <c r="O13">
        <v>100</v>
      </c>
      <c r="Q13">
        <f t="shared" si="0"/>
        <v>30.5</v>
      </c>
      <c r="R13">
        <f t="shared" si="1"/>
        <v>21</v>
      </c>
      <c r="S13">
        <f t="shared" si="2"/>
        <v>47</v>
      </c>
      <c r="T13">
        <f t="shared" si="3"/>
        <v>32.833333333333336</v>
      </c>
      <c r="U13">
        <f t="shared" si="4"/>
        <v>21</v>
      </c>
      <c r="V13">
        <f t="shared" si="5"/>
        <v>3.9444444444444451</v>
      </c>
    </row>
    <row r="15" spans="1:40" x14ac:dyDescent="0.3">
      <c r="A15" t="s">
        <v>47</v>
      </c>
    </row>
    <row r="16" spans="1:40" x14ac:dyDescent="0.3">
      <c r="A16" t="s">
        <v>23</v>
      </c>
    </row>
    <row r="17" spans="1:32" x14ac:dyDescent="0.3">
      <c r="Q17" t="e">
        <f t="shared" si="0"/>
        <v>#DIV/0!</v>
      </c>
      <c r="R17" t="e">
        <f t="shared" si="1"/>
        <v>#DIV/0!</v>
      </c>
      <c r="S17" t="e">
        <f t="shared" si="2"/>
        <v>#DIV/0!</v>
      </c>
      <c r="T17" t="e">
        <f t="shared" si="3"/>
        <v>#DIV/0!</v>
      </c>
      <c r="U17" t="e">
        <f t="shared" si="4"/>
        <v>#DIV/0!</v>
      </c>
      <c r="V17" t="e">
        <f t="shared" si="5"/>
        <v>#DIV/0!</v>
      </c>
      <c r="W17" t="e">
        <f>AVERAGE(Q17:Q20)</f>
        <v>#DIV/0!</v>
      </c>
      <c r="X17" t="e">
        <f>_xlfn.STDEV.S(Q17:Q20)</f>
        <v>#DIV/0!</v>
      </c>
      <c r="Y17" t="e">
        <f>AVERAGE(R17:R20)</f>
        <v>#DIV/0!</v>
      </c>
      <c r="Z17" t="e">
        <f>_xlfn.STDEV.S(R17:R20)</f>
        <v>#DIV/0!</v>
      </c>
      <c r="AA17" t="e">
        <f>AVERAGE(S17:S20)</f>
        <v>#DIV/0!</v>
      </c>
      <c r="AB17" t="e">
        <f>_xlfn.STDEV.S(S17:S20)</f>
        <v>#DIV/0!</v>
      </c>
      <c r="AC17" t="e">
        <f>AVERAGE(T17:T20)</f>
        <v>#DIV/0!</v>
      </c>
      <c r="AD17" t="e">
        <f>_xlfn.STDEV.S(T17:T20)</f>
        <v>#DIV/0!</v>
      </c>
      <c r="AE17" t="e">
        <f>AVERAGE(V17:V20)</f>
        <v>#DIV/0!</v>
      </c>
      <c r="AF17" t="e">
        <f>_xlfn.STDEV.S(V17:V20)</f>
        <v>#DIV/0!</v>
      </c>
    </row>
    <row r="18" spans="1:32" x14ac:dyDescent="0.3">
      <c r="Q18" t="e">
        <f t="shared" si="0"/>
        <v>#DIV/0!</v>
      </c>
      <c r="R18" t="e">
        <f t="shared" si="1"/>
        <v>#DIV/0!</v>
      </c>
      <c r="S18" t="e">
        <f t="shared" si="2"/>
        <v>#DIV/0!</v>
      </c>
      <c r="T18" t="e">
        <f t="shared" si="3"/>
        <v>#DIV/0!</v>
      </c>
      <c r="U18" t="e">
        <f t="shared" si="4"/>
        <v>#DIV/0!</v>
      </c>
      <c r="V18" t="e">
        <f t="shared" si="5"/>
        <v>#DIV/0!</v>
      </c>
    </row>
    <row r="19" spans="1:32" x14ac:dyDescent="0.3">
      <c r="Q19" t="e">
        <f t="shared" si="0"/>
        <v>#DIV/0!</v>
      </c>
      <c r="R19" t="e">
        <f t="shared" si="1"/>
        <v>#DIV/0!</v>
      </c>
      <c r="S19" t="e">
        <f t="shared" si="2"/>
        <v>#DIV/0!</v>
      </c>
      <c r="T19" t="e">
        <f t="shared" si="3"/>
        <v>#DIV/0!</v>
      </c>
      <c r="U19" t="e">
        <f t="shared" si="4"/>
        <v>#DIV/0!</v>
      </c>
      <c r="V19" t="e">
        <f t="shared" si="5"/>
        <v>#DIV/0!</v>
      </c>
    </row>
    <row r="20" spans="1:32" x14ac:dyDescent="0.3">
      <c r="Q20" t="e">
        <f t="shared" si="0"/>
        <v>#DIV/0!</v>
      </c>
      <c r="R20" t="e">
        <f t="shared" si="1"/>
        <v>#DIV/0!</v>
      </c>
      <c r="S20" t="e">
        <f t="shared" si="2"/>
        <v>#DIV/0!</v>
      </c>
      <c r="T20" t="e">
        <f t="shared" si="3"/>
        <v>#DIV/0!</v>
      </c>
      <c r="U20" t="e">
        <f t="shared" si="4"/>
        <v>#DIV/0!</v>
      </c>
      <c r="V20" t="e">
        <f t="shared" si="5"/>
        <v>#DIV/0!</v>
      </c>
    </row>
    <row r="22" spans="1:32" x14ac:dyDescent="0.3">
      <c r="A22" t="s">
        <v>48</v>
      </c>
    </row>
    <row r="23" spans="1:32" x14ac:dyDescent="0.3">
      <c r="A23" t="s">
        <v>23</v>
      </c>
    </row>
    <row r="24" spans="1:32" x14ac:dyDescent="0.3">
      <c r="Q24" t="e">
        <f t="shared" si="0"/>
        <v>#DIV/0!</v>
      </c>
      <c r="R24" t="e">
        <f t="shared" si="1"/>
        <v>#DIV/0!</v>
      </c>
      <c r="S24" t="e">
        <f t="shared" si="2"/>
        <v>#DIV/0!</v>
      </c>
      <c r="T24" t="e">
        <f t="shared" si="3"/>
        <v>#DIV/0!</v>
      </c>
      <c r="U24" t="e">
        <f t="shared" si="4"/>
        <v>#DIV/0!</v>
      </c>
      <c r="V24" t="e">
        <f t="shared" si="5"/>
        <v>#DIV/0!</v>
      </c>
      <c r="W24" t="e">
        <f>AVERAGE(Q24:Q27)</f>
        <v>#DIV/0!</v>
      </c>
      <c r="X24" t="e">
        <f>_xlfn.STDEV.S(Q24:Q27)</f>
        <v>#DIV/0!</v>
      </c>
      <c r="Y24" t="e">
        <f>AVERAGE(R24:R27)</f>
        <v>#DIV/0!</v>
      </c>
      <c r="Z24" t="e">
        <f>_xlfn.STDEV.S(R24:R27)</f>
        <v>#DIV/0!</v>
      </c>
      <c r="AA24" t="e">
        <f>AVERAGE(S24:S27)</f>
        <v>#DIV/0!</v>
      </c>
      <c r="AB24" t="e">
        <f>_xlfn.STDEV.S(S24:S27)</f>
        <v>#DIV/0!</v>
      </c>
      <c r="AC24" t="e">
        <f>AVERAGE(T24:T27)</f>
        <v>#DIV/0!</v>
      </c>
      <c r="AD24" t="e">
        <f>_xlfn.STDEV.S(T24:T27)</f>
        <v>#DIV/0!</v>
      </c>
      <c r="AE24" t="e">
        <f>AVERAGE(V24:V27)</f>
        <v>#DIV/0!</v>
      </c>
      <c r="AF24" t="e">
        <f>_xlfn.STDEV.S(V24:V27)</f>
        <v>#DIV/0!</v>
      </c>
    </row>
    <row r="25" spans="1:32" x14ac:dyDescent="0.3">
      <c r="Q25" t="e">
        <f t="shared" si="0"/>
        <v>#DIV/0!</v>
      </c>
      <c r="R25" t="e">
        <f t="shared" si="1"/>
        <v>#DIV/0!</v>
      </c>
      <c r="S25" t="e">
        <f t="shared" si="2"/>
        <v>#DIV/0!</v>
      </c>
      <c r="T25" t="e">
        <f t="shared" si="3"/>
        <v>#DIV/0!</v>
      </c>
      <c r="U25" t="e">
        <f t="shared" si="4"/>
        <v>#DIV/0!</v>
      </c>
      <c r="V25" t="e">
        <f t="shared" si="5"/>
        <v>#DIV/0!</v>
      </c>
    </row>
    <row r="26" spans="1:32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 t="shared" si="5"/>
        <v>#DIV/0!</v>
      </c>
    </row>
    <row r="27" spans="1:32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 t="shared" si="5"/>
        <v>#DIV/0!</v>
      </c>
    </row>
    <row r="30" spans="1:32" x14ac:dyDescent="0.3">
      <c r="A30" t="s">
        <v>49</v>
      </c>
    </row>
    <row r="31" spans="1:32" x14ac:dyDescent="0.3">
      <c r="A31" t="s">
        <v>23</v>
      </c>
    </row>
    <row r="32" spans="1:32" x14ac:dyDescent="0.3">
      <c r="Q32" t="e">
        <f t="shared" si="0"/>
        <v>#DIV/0!</v>
      </c>
      <c r="R32" t="e">
        <f t="shared" si="1"/>
        <v>#DIV/0!</v>
      </c>
      <c r="S32" t="e">
        <f t="shared" si="2"/>
        <v>#DIV/0!</v>
      </c>
      <c r="T32" t="e">
        <f t="shared" si="3"/>
        <v>#DIV/0!</v>
      </c>
      <c r="U32" t="e">
        <f t="shared" si="4"/>
        <v>#DIV/0!</v>
      </c>
      <c r="V32" t="e">
        <f t="shared" si="5"/>
        <v>#DIV/0!</v>
      </c>
      <c r="W32" t="e">
        <f>AVERAGE(Q32:Q37)</f>
        <v>#DIV/0!</v>
      </c>
      <c r="X32" t="e">
        <f>_xlfn.STDEV.S(Q32:Q37)</f>
        <v>#DIV/0!</v>
      </c>
      <c r="Y32" t="e">
        <f>AVERAGE(R32:R37)</f>
        <v>#DIV/0!</v>
      </c>
      <c r="Z32" t="e">
        <f>_xlfn.STDEV.S(R32:R37)</f>
        <v>#DIV/0!</v>
      </c>
      <c r="AA32" t="e">
        <f>AVERAGE(S32:S37)</f>
        <v>#DIV/0!</v>
      </c>
      <c r="AB32" t="e">
        <f>_xlfn.STDEV.S(S32:S37)</f>
        <v>#DIV/0!</v>
      </c>
      <c r="AC32" t="e">
        <f>AVERAGE(T32:T37)</f>
        <v>#DIV/0!</v>
      </c>
      <c r="AD32" t="e">
        <f>_xlfn.STDEV.S(T32:T37)</f>
        <v>#DIV/0!</v>
      </c>
      <c r="AE32" t="e">
        <f>AVERAGE(V32:V37)</f>
        <v>#DIV/0!</v>
      </c>
      <c r="AF32" t="e">
        <f>_xlfn.STDEV.S(V32:V37)</f>
        <v>#DIV/0!</v>
      </c>
    </row>
    <row r="33" spans="17:22" x14ac:dyDescent="0.3">
      <c r="Q33" t="e">
        <f t="shared" si="0"/>
        <v>#DIV/0!</v>
      </c>
      <c r="R33" t="e">
        <f t="shared" si="1"/>
        <v>#DIV/0!</v>
      </c>
      <c r="S33" t="e">
        <f t="shared" si="2"/>
        <v>#DIV/0!</v>
      </c>
      <c r="T33" t="e">
        <f t="shared" si="3"/>
        <v>#DIV/0!</v>
      </c>
      <c r="U33" t="e">
        <f t="shared" si="4"/>
        <v>#DIV/0!</v>
      </c>
      <c r="V33" t="e">
        <f t="shared" si="5"/>
        <v>#DIV/0!</v>
      </c>
    </row>
    <row r="34" spans="17:22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</row>
    <row r="35" spans="17:22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7:22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7:22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L36"/>
  <sheetViews>
    <sheetView workbookViewId="0">
      <selection activeCell="B3" sqref="B3:O36"/>
    </sheetView>
  </sheetViews>
  <sheetFormatPr defaultRowHeight="14.4" x14ac:dyDescent="0.3"/>
  <cols>
    <col min="28" max="28" width="26.88671875" customWidth="1"/>
    <col min="32" max="32" width="20.88671875" customWidth="1"/>
  </cols>
  <sheetData>
    <row r="1" spans="1:38" x14ac:dyDescent="0.3">
      <c r="A1" t="s">
        <v>45</v>
      </c>
    </row>
    <row r="2" spans="1:38" x14ac:dyDescent="0.3">
      <c r="A2" t="s">
        <v>23</v>
      </c>
      <c r="F2" t="s">
        <v>24</v>
      </c>
      <c r="K2" t="s">
        <v>25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1</v>
      </c>
      <c r="X2" t="s">
        <v>17</v>
      </c>
      <c r="Y2" t="s">
        <v>19</v>
      </c>
      <c r="Z2" t="s">
        <v>20</v>
      </c>
      <c r="AB2" t="s">
        <v>38</v>
      </c>
      <c r="AC2" t="s">
        <v>1</v>
      </c>
      <c r="AD2" t="s">
        <v>19</v>
      </c>
      <c r="AF2" t="s">
        <v>41</v>
      </c>
      <c r="AG2" t="s">
        <v>1</v>
      </c>
      <c r="AH2" t="s">
        <v>19</v>
      </c>
    </row>
    <row r="3" spans="1:38" x14ac:dyDescent="0.3">
      <c r="Q3" t="e">
        <f>AVERAGE(C3,D3)</f>
        <v>#DIV/0!</v>
      </c>
      <c r="R3" t="e">
        <f>AVERAGE(H3,I3)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W3" t="e">
        <f>AVERAGE(T3:T6)</f>
        <v>#DIV/0!</v>
      </c>
      <c r="X3" t="e">
        <f>_xlfn.STDEV.S(T3:T6)</f>
        <v>#DIV/0!</v>
      </c>
      <c r="Y3" t="e">
        <f>AVERAGE(V3:V6)</f>
        <v>#DIV/0!</v>
      </c>
      <c r="Z3" t="e">
        <f>_xlfn.STDEV.S(V3:V6)</f>
        <v>#DIV/0!</v>
      </c>
      <c r="AB3" t="s">
        <v>50</v>
      </c>
      <c r="AF3" t="s">
        <v>51</v>
      </c>
    </row>
    <row r="4" spans="1:38" x14ac:dyDescent="0.3">
      <c r="Q4" t="e">
        <f t="shared" ref="Q4:Q27" si="0">AVERAGE(C4,D4)</f>
        <v>#DIV/0!</v>
      </c>
      <c r="R4" t="e">
        <f t="shared" ref="R4:R27" si="1">AVERAGE(H4,I4)</f>
        <v>#DIV/0!</v>
      </c>
      <c r="S4" t="e">
        <f t="shared" ref="S4:S27" si="2">AVERAGE(M4,N4)</f>
        <v>#DIV/0!</v>
      </c>
      <c r="T4" t="e">
        <f t="shared" ref="T4:T27" si="3">AVERAGE(Q4:S4)</f>
        <v>#DIV/0!</v>
      </c>
      <c r="U4" t="e">
        <f t="shared" ref="U4:U27" si="4">MIN(Q4:S4)</f>
        <v>#DIV/0!</v>
      </c>
      <c r="V4" t="e">
        <f t="shared" ref="V4:V27" si="5">(1/3)*(T4-U4)</f>
        <v>#DIV/0!</v>
      </c>
      <c r="AB4" t="s">
        <v>52</v>
      </c>
      <c r="AC4">
        <v>28.041666666666668</v>
      </c>
      <c r="AD4">
        <v>2.5972222222222219</v>
      </c>
      <c r="AF4" t="s">
        <v>52</v>
      </c>
      <c r="AG4">
        <v>28.041666666666668</v>
      </c>
      <c r="AH4">
        <v>2.5972222222222219</v>
      </c>
    </row>
    <row r="5" spans="1:38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</row>
    <row r="6" spans="1:38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C6" t="s">
        <v>5</v>
      </c>
      <c r="AD6" t="s">
        <v>54</v>
      </c>
      <c r="AE6" t="s">
        <v>7</v>
      </c>
      <c r="AF6" t="s">
        <v>55</v>
      </c>
      <c r="AG6" t="s">
        <v>9</v>
      </c>
      <c r="AH6" t="s">
        <v>56</v>
      </c>
      <c r="AI6" t="s">
        <v>1</v>
      </c>
      <c r="AJ6" t="s">
        <v>17</v>
      </c>
      <c r="AK6" t="s">
        <v>19</v>
      </c>
      <c r="AL6" t="s">
        <v>20</v>
      </c>
    </row>
    <row r="7" spans="1:38" x14ac:dyDescent="0.3">
      <c r="AB7" t="s">
        <v>52</v>
      </c>
      <c r="AC7" t="e">
        <f>AVERAGE(Q17:Q20)</f>
        <v>#DIV/0!</v>
      </c>
      <c r="AD7" t="e">
        <f>_xlfn.STDEV.S(Q17:Q20)</f>
        <v>#DIV/0!</v>
      </c>
      <c r="AE7" t="e">
        <f>AVERAGE(R17:R20)</f>
        <v>#DIV/0!</v>
      </c>
      <c r="AF7" t="e">
        <f>_xlfn.STDEV.S(R17:R20)</f>
        <v>#DIV/0!</v>
      </c>
      <c r="AG7" t="e">
        <f>AVERAGE(S17:S20)</f>
        <v>#DIV/0!</v>
      </c>
      <c r="AH7" t="e">
        <f>_xlfn.STDEV.S(S17:S20)</f>
        <v>#DIV/0!</v>
      </c>
      <c r="AI7">
        <v>28.041666666666668</v>
      </c>
      <c r="AJ7">
        <v>3.0103986446980731</v>
      </c>
      <c r="AK7">
        <v>2.5972222222222219</v>
      </c>
      <c r="AL7">
        <v>0.62915286960589489</v>
      </c>
    </row>
    <row r="8" spans="1:38" x14ac:dyDescent="0.3">
      <c r="A8" t="s">
        <v>46</v>
      </c>
    </row>
    <row r="9" spans="1:38" x14ac:dyDescent="0.3">
      <c r="A9" t="s">
        <v>23</v>
      </c>
    </row>
    <row r="10" spans="1:38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  <c r="W10" t="e">
        <f>AVERAGE(T10:T13)</f>
        <v>#DIV/0!</v>
      </c>
      <c r="X10" t="e">
        <f>_xlfn.STDEV.S(T10:T13)</f>
        <v>#DIV/0!</v>
      </c>
      <c r="Y10" t="e">
        <f>AVERAGE(V10:V13)</f>
        <v>#DIV/0!</v>
      </c>
      <c r="Z10" t="e">
        <f>_xlfn.STDEV.S(V10:V13)</f>
        <v>#DIV/0!</v>
      </c>
    </row>
    <row r="11" spans="1:38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</row>
    <row r="12" spans="1:38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</row>
    <row r="13" spans="1:38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</row>
    <row r="15" spans="1:38" x14ac:dyDescent="0.3">
      <c r="A15" t="s">
        <v>47</v>
      </c>
    </row>
    <row r="16" spans="1:38" x14ac:dyDescent="0.3">
      <c r="A16" t="s">
        <v>23</v>
      </c>
    </row>
    <row r="17" spans="1:26" x14ac:dyDescent="0.3">
      <c r="Q17" t="e">
        <f t="shared" si="0"/>
        <v>#DIV/0!</v>
      </c>
      <c r="R17" t="e">
        <f t="shared" si="1"/>
        <v>#DIV/0!</v>
      </c>
      <c r="S17" t="e">
        <f t="shared" si="2"/>
        <v>#DIV/0!</v>
      </c>
      <c r="T17" t="e">
        <f t="shared" si="3"/>
        <v>#DIV/0!</v>
      </c>
      <c r="U17" t="e">
        <f t="shared" si="4"/>
        <v>#DIV/0!</v>
      </c>
      <c r="V17" t="e">
        <f t="shared" si="5"/>
        <v>#DIV/0!</v>
      </c>
      <c r="W17" t="e">
        <f>AVERAGE(T17:T20)</f>
        <v>#DIV/0!</v>
      </c>
      <c r="X17" t="e">
        <f>_xlfn.STDEV.S(T17:T20)</f>
        <v>#DIV/0!</v>
      </c>
      <c r="Y17" t="e">
        <f>AVERAGE(V17:V20)</f>
        <v>#DIV/0!</v>
      </c>
      <c r="Z17" t="e">
        <f>_xlfn.STDEV.S(V17:V20)</f>
        <v>#DIV/0!</v>
      </c>
    </row>
    <row r="18" spans="1:26" x14ac:dyDescent="0.3">
      <c r="Q18" t="e">
        <f t="shared" si="0"/>
        <v>#DIV/0!</v>
      </c>
      <c r="R18" t="e">
        <f t="shared" si="1"/>
        <v>#DIV/0!</v>
      </c>
      <c r="S18" t="e">
        <f t="shared" si="2"/>
        <v>#DIV/0!</v>
      </c>
      <c r="T18" t="e">
        <f t="shared" si="3"/>
        <v>#DIV/0!</v>
      </c>
      <c r="U18" t="e">
        <f t="shared" si="4"/>
        <v>#DIV/0!</v>
      </c>
      <c r="V18" t="e">
        <f t="shared" si="5"/>
        <v>#DIV/0!</v>
      </c>
    </row>
    <row r="19" spans="1:26" x14ac:dyDescent="0.3">
      <c r="Q19" t="e">
        <f t="shared" si="0"/>
        <v>#DIV/0!</v>
      </c>
      <c r="R19" t="e">
        <f t="shared" si="1"/>
        <v>#DIV/0!</v>
      </c>
      <c r="S19" t="e">
        <f t="shared" si="2"/>
        <v>#DIV/0!</v>
      </c>
      <c r="T19" t="e">
        <f t="shared" si="3"/>
        <v>#DIV/0!</v>
      </c>
      <c r="U19" t="e">
        <f t="shared" si="4"/>
        <v>#DIV/0!</v>
      </c>
      <c r="V19" t="e">
        <f t="shared" si="5"/>
        <v>#DIV/0!</v>
      </c>
    </row>
    <row r="20" spans="1:26" x14ac:dyDescent="0.3">
      <c r="Q20" t="e">
        <f t="shared" si="0"/>
        <v>#DIV/0!</v>
      </c>
      <c r="R20" t="e">
        <f t="shared" si="1"/>
        <v>#DIV/0!</v>
      </c>
      <c r="S20" t="e">
        <f t="shared" si="2"/>
        <v>#DIV/0!</v>
      </c>
      <c r="T20" t="e">
        <f t="shared" si="3"/>
        <v>#DIV/0!</v>
      </c>
      <c r="U20" t="e">
        <f t="shared" si="4"/>
        <v>#DIV/0!</v>
      </c>
      <c r="V20" t="e">
        <f t="shared" si="5"/>
        <v>#DIV/0!</v>
      </c>
    </row>
    <row r="22" spans="1:26" x14ac:dyDescent="0.3">
      <c r="A22" t="s">
        <v>48</v>
      </c>
    </row>
    <row r="23" spans="1:26" x14ac:dyDescent="0.3">
      <c r="A23" t="s">
        <v>23</v>
      </c>
    </row>
    <row r="24" spans="1:26" x14ac:dyDescent="0.3">
      <c r="Q24" t="e">
        <f t="shared" si="0"/>
        <v>#DIV/0!</v>
      </c>
      <c r="R24" t="e">
        <f t="shared" si="1"/>
        <v>#DIV/0!</v>
      </c>
      <c r="S24" t="e">
        <f t="shared" si="2"/>
        <v>#DIV/0!</v>
      </c>
      <c r="T24" t="e">
        <f t="shared" si="3"/>
        <v>#DIV/0!</v>
      </c>
      <c r="U24" t="e">
        <f t="shared" si="4"/>
        <v>#DIV/0!</v>
      </c>
      <c r="V24" t="e">
        <f t="shared" si="5"/>
        <v>#DIV/0!</v>
      </c>
      <c r="W24" t="e">
        <f>AVERAGE(T24:T27)</f>
        <v>#DIV/0!</v>
      </c>
      <c r="X24" t="e">
        <f>_xlfn.STDEV.S(T24:T27)</f>
        <v>#DIV/0!</v>
      </c>
      <c r="Y24" t="e">
        <f>AVERAGE(V24:V27)</f>
        <v>#DIV/0!</v>
      </c>
      <c r="Z24" t="e">
        <f>_xlfn.STDEV.S(V24:V27)</f>
        <v>#DIV/0!</v>
      </c>
    </row>
    <row r="25" spans="1:26" x14ac:dyDescent="0.3">
      <c r="Q25" t="e">
        <f t="shared" si="0"/>
        <v>#DIV/0!</v>
      </c>
      <c r="R25" t="e">
        <f t="shared" si="1"/>
        <v>#DIV/0!</v>
      </c>
      <c r="S25" t="e">
        <f t="shared" si="2"/>
        <v>#DIV/0!</v>
      </c>
      <c r="T25" t="e">
        <f t="shared" si="3"/>
        <v>#DIV/0!</v>
      </c>
      <c r="U25" t="e">
        <f t="shared" si="4"/>
        <v>#DIV/0!</v>
      </c>
      <c r="V25" t="e">
        <f t="shared" si="5"/>
        <v>#DIV/0!</v>
      </c>
    </row>
    <row r="26" spans="1:26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 t="shared" si="5"/>
        <v>#DIV/0!</v>
      </c>
    </row>
    <row r="27" spans="1:26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 t="shared" si="5"/>
        <v>#DIV/0!</v>
      </c>
    </row>
    <row r="30" spans="1:26" x14ac:dyDescent="0.3">
      <c r="A30" t="s">
        <v>49</v>
      </c>
    </row>
    <row r="31" spans="1:26" x14ac:dyDescent="0.3">
      <c r="Q31" t="e">
        <f t="shared" ref="Q31:Q36" si="6">AVERAGE(C31,D31)</f>
        <v>#DIV/0!</v>
      </c>
      <c r="R31" t="e">
        <f t="shared" ref="R31:R36" si="7">AVERAGE(H31,I31)</f>
        <v>#DIV/0!</v>
      </c>
      <c r="S31" t="e">
        <f t="shared" ref="S31:S36" si="8">AVERAGE(M31,N31)</f>
        <v>#DIV/0!</v>
      </c>
      <c r="T31" t="e">
        <f t="shared" ref="T31:T36" si="9">AVERAGE(Q31:S31)</f>
        <v>#DIV/0!</v>
      </c>
      <c r="U31" t="e">
        <f t="shared" ref="U31:U36" si="10">MIN(Q31:S31)</f>
        <v>#DIV/0!</v>
      </c>
      <c r="V31" t="e">
        <f t="shared" ref="V31:V36" si="11">(1/3)*(T31-U31)</f>
        <v>#DIV/0!</v>
      </c>
      <c r="W31" t="e">
        <f>AVERAGE(T31:T36)</f>
        <v>#DIV/0!</v>
      </c>
      <c r="X31" t="e">
        <f>_xlfn.STDEV.S(T31:T36)</f>
        <v>#DIV/0!</v>
      </c>
      <c r="Y31" t="e">
        <f>AVERAGE(V31:V36)</f>
        <v>#DIV/0!</v>
      </c>
      <c r="Z31" t="e">
        <f>_xlfn.STDEV.S(V31:V36)</f>
        <v>#DIV/0!</v>
      </c>
    </row>
    <row r="32" spans="1:26" x14ac:dyDescent="0.3">
      <c r="Q32" t="e">
        <f t="shared" si="6"/>
        <v>#DIV/0!</v>
      </c>
      <c r="R32" t="e">
        <f t="shared" si="7"/>
        <v>#DIV/0!</v>
      </c>
      <c r="S32" t="e">
        <f t="shared" si="8"/>
        <v>#DIV/0!</v>
      </c>
      <c r="T32" t="e">
        <f t="shared" si="9"/>
        <v>#DIV/0!</v>
      </c>
      <c r="U32" t="e">
        <f t="shared" si="10"/>
        <v>#DIV/0!</v>
      </c>
      <c r="V32" t="e">
        <f t="shared" si="11"/>
        <v>#DIV/0!</v>
      </c>
    </row>
    <row r="33" spans="17:22" x14ac:dyDescent="0.3">
      <c r="Q33" t="e">
        <f t="shared" si="6"/>
        <v>#DIV/0!</v>
      </c>
      <c r="R33" t="e">
        <f t="shared" si="7"/>
        <v>#DIV/0!</v>
      </c>
      <c r="S33" t="e">
        <f t="shared" si="8"/>
        <v>#DIV/0!</v>
      </c>
      <c r="T33" t="e">
        <f t="shared" si="9"/>
        <v>#DIV/0!</v>
      </c>
      <c r="U33" t="e">
        <f t="shared" si="10"/>
        <v>#DIV/0!</v>
      </c>
      <c r="V33" t="e">
        <f t="shared" si="11"/>
        <v>#DIV/0!</v>
      </c>
    </row>
    <row r="34" spans="17:22" x14ac:dyDescent="0.3">
      <c r="Q34" t="e">
        <f t="shared" si="6"/>
        <v>#DIV/0!</v>
      </c>
      <c r="R34" t="e">
        <f t="shared" si="7"/>
        <v>#DIV/0!</v>
      </c>
      <c r="S34" t="e">
        <f t="shared" si="8"/>
        <v>#DIV/0!</v>
      </c>
      <c r="T34" t="e">
        <f t="shared" si="9"/>
        <v>#DIV/0!</v>
      </c>
      <c r="U34" t="e">
        <f t="shared" si="10"/>
        <v>#DIV/0!</v>
      </c>
      <c r="V34" t="e">
        <f t="shared" si="11"/>
        <v>#DIV/0!</v>
      </c>
    </row>
    <row r="35" spans="17:22" x14ac:dyDescent="0.3">
      <c r="Q35" t="e">
        <f t="shared" si="6"/>
        <v>#DIV/0!</v>
      </c>
      <c r="R35" t="e">
        <f t="shared" si="7"/>
        <v>#DIV/0!</v>
      </c>
      <c r="S35" t="e">
        <f t="shared" si="8"/>
        <v>#DIV/0!</v>
      </c>
      <c r="T35" t="e">
        <f t="shared" si="9"/>
        <v>#DIV/0!</v>
      </c>
      <c r="U35" t="e">
        <f t="shared" si="10"/>
        <v>#DIV/0!</v>
      </c>
      <c r="V35" t="e">
        <f t="shared" si="11"/>
        <v>#DIV/0!</v>
      </c>
    </row>
    <row r="36" spans="17:22" x14ac:dyDescent="0.3">
      <c r="Q36" t="e">
        <f t="shared" si="6"/>
        <v>#DIV/0!</v>
      </c>
      <c r="R36" t="e">
        <f t="shared" si="7"/>
        <v>#DIV/0!</v>
      </c>
      <c r="S36" t="e">
        <f t="shared" si="8"/>
        <v>#DIV/0!</v>
      </c>
      <c r="T36" t="e">
        <f t="shared" si="9"/>
        <v>#DIV/0!</v>
      </c>
      <c r="U36" t="e">
        <f t="shared" si="10"/>
        <v>#DIV/0!</v>
      </c>
      <c r="V36" t="e">
        <f t="shared" si="11"/>
        <v>#DIV/0!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506E-E2C3-4105-A101-2ED902EAE848}">
  <dimension ref="A1:AR109"/>
  <sheetViews>
    <sheetView topLeftCell="M1" workbookViewId="0">
      <selection activeCell="AE16" sqref="AE16:AF16"/>
    </sheetView>
  </sheetViews>
  <sheetFormatPr defaultRowHeight="14.4" x14ac:dyDescent="0.3"/>
  <cols>
    <col min="21" max="21" width="11.44140625" customWidth="1"/>
    <col min="34" max="34" width="19.44140625" customWidth="1"/>
    <col min="38" max="38" width="20.88671875" customWidth="1"/>
  </cols>
  <sheetData>
    <row r="1" spans="1:44" x14ac:dyDescent="0.3">
      <c r="A1" t="s">
        <v>22</v>
      </c>
    </row>
    <row r="2" spans="1:44" x14ac:dyDescent="0.3">
      <c r="A2" t="s">
        <v>23</v>
      </c>
      <c r="F2" t="s">
        <v>24</v>
      </c>
      <c r="K2" t="s">
        <v>25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79</v>
      </c>
      <c r="X2" t="s">
        <v>54</v>
      </c>
      <c r="Y2" t="s">
        <v>7</v>
      </c>
      <c r="Z2" t="s">
        <v>55</v>
      </c>
      <c r="AA2" t="s">
        <v>9</v>
      </c>
      <c r="AB2" t="s">
        <v>56</v>
      </c>
      <c r="AC2" t="s">
        <v>1</v>
      </c>
      <c r="AD2" t="s">
        <v>17</v>
      </c>
      <c r="AE2" t="s">
        <v>19</v>
      </c>
      <c r="AF2" t="s">
        <v>20</v>
      </c>
      <c r="AH2" t="s">
        <v>38</v>
      </c>
      <c r="AI2" t="s">
        <v>1</v>
      </c>
      <c r="AJ2" t="s">
        <v>19</v>
      </c>
      <c r="AL2" t="s">
        <v>41</v>
      </c>
      <c r="AM2" t="s">
        <v>1</v>
      </c>
      <c r="AN2" t="s">
        <v>19</v>
      </c>
    </row>
    <row r="3" spans="1:44" x14ac:dyDescent="0.3">
      <c r="Q3" t="e">
        <f>AVERAGE(C3,D3)</f>
        <v>#DIV/0!</v>
      </c>
      <c r="R3" t="e">
        <f>AVERAGE(H3:I3)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AC3" t="e">
        <f>AVERAGE(T3:T12)</f>
        <v>#DIV/0!</v>
      </c>
      <c r="AD3" t="e">
        <f>_xlfn.STDEV.S(T3:T12)</f>
        <v>#DIV/0!</v>
      </c>
      <c r="AE3" t="e">
        <f>AVERAGE(V3:V12)</f>
        <v>#DIV/0!</v>
      </c>
      <c r="AF3" t="e">
        <f>_xlfn.STDEV.S(V3:V12)</f>
        <v>#DIV/0!</v>
      </c>
      <c r="AH3" t="s">
        <v>39</v>
      </c>
      <c r="AL3" t="s">
        <v>42</v>
      </c>
    </row>
    <row r="4" spans="1:44" x14ac:dyDescent="0.3">
      <c r="Q4" t="e">
        <f t="shared" ref="Q4:Q67" si="0">AVERAGE(C4,D4)</f>
        <v>#DIV/0!</v>
      </c>
      <c r="R4" t="e">
        <f t="shared" ref="R4:R67" si="1">AVERAGE(H4:I4)</f>
        <v>#DIV/0!</v>
      </c>
      <c r="S4" t="e">
        <f t="shared" ref="S4:S67" si="2">AVERAGE(M4,N4)</f>
        <v>#DIV/0!</v>
      </c>
      <c r="T4" t="e">
        <f t="shared" ref="T4:T67" si="3">AVERAGE(Q4:S4)</f>
        <v>#DIV/0!</v>
      </c>
      <c r="U4" t="e">
        <f t="shared" ref="U4:U67" si="4">MIN(Q4:S4)</f>
        <v>#DIV/0!</v>
      </c>
      <c r="V4" t="e">
        <f t="shared" ref="V4:V67" si="5">(1/3)*(T4-U4)</f>
        <v>#DIV/0!</v>
      </c>
      <c r="AH4" t="s">
        <v>33</v>
      </c>
      <c r="AI4">
        <v>19.472222222222225</v>
      </c>
      <c r="AJ4">
        <v>1.3518518518518519</v>
      </c>
      <c r="AL4" t="s">
        <v>33</v>
      </c>
      <c r="AM4">
        <v>19.472222222222225</v>
      </c>
      <c r="AN4">
        <v>1.3518518518518519</v>
      </c>
    </row>
    <row r="5" spans="1:44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  <c r="AH5" t="s">
        <v>34</v>
      </c>
      <c r="AI5">
        <v>19.925925925925927</v>
      </c>
      <c r="AJ5">
        <v>1.7530864197530864</v>
      </c>
      <c r="AL5" t="s">
        <v>34</v>
      </c>
      <c r="AM5">
        <v>19.925925925925927</v>
      </c>
      <c r="AN5">
        <v>1.7530864197530864</v>
      </c>
    </row>
    <row r="6" spans="1:44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L6" t="s">
        <v>31</v>
      </c>
      <c r="AM6">
        <v>20.333333333333332</v>
      </c>
      <c r="AN6">
        <v>1.7777777777777779</v>
      </c>
    </row>
    <row r="7" spans="1:44" x14ac:dyDescent="0.3">
      <c r="Q7" t="e">
        <f t="shared" si="0"/>
        <v>#DIV/0!</v>
      </c>
      <c r="R7" t="e">
        <f t="shared" si="1"/>
        <v>#DIV/0!</v>
      </c>
      <c r="S7" t="e">
        <f t="shared" si="2"/>
        <v>#DIV/0!</v>
      </c>
      <c r="T7" t="e">
        <f t="shared" si="3"/>
        <v>#DIV/0!</v>
      </c>
      <c r="U7" t="e">
        <f t="shared" si="4"/>
        <v>#DIV/0!</v>
      </c>
      <c r="V7" t="e">
        <f t="shared" si="5"/>
        <v>#DIV/0!</v>
      </c>
      <c r="AH7" t="s">
        <v>40</v>
      </c>
      <c r="AL7" t="s">
        <v>40</v>
      </c>
    </row>
    <row r="8" spans="1:44" x14ac:dyDescent="0.3">
      <c r="Q8" t="e">
        <f t="shared" si="0"/>
        <v>#DIV/0!</v>
      </c>
      <c r="R8" t="e">
        <f t="shared" si="1"/>
        <v>#DIV/0!</v>
      </c>
      <c r="S8" t="e">
        <f t="shared" si="2"/>
        <v>#DIV/0!</v>
      </c>
      <c r="T8" t="e">
        <f t="shared" si="3"/>
        <v>#DIV/0!</v>
      </c>
      <c r="U8" t="e">
        <f t="shared" si="4"/>
        <v>#DIV/0!</v>
      </c>
      <c r="V8" t="e">
        <f t="shared" si="5"/>
        <v>#DIV/0!</v>
      </c>
      <c r="AH8" t="s">
        <v>33</v>
      </c>
      <c r="AI8">
        <v>19.472222222222225</v>
      </c>
      <c r="AJ8">
        <v>1.3518518518518519</v>
      </c>
      <c r="AL8" t="s">
        <v>33</v>
      </c>
      <c r="AM8">
        <v>19.472222222222225</v>
      </c>
      <c r="AN8">
        <v>1.3518518518518519</v>
      </c>
    </row>
    <row r="9" spans="1:44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</row>
    <row r="10" spans="1:44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44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  <c r="AI11" t="s">
        <v>5</v>
      </c>
      <c r="AJ11" t="s">
        <v>54</v>
      </c>
      <c r="AK11" t="s">
        <v>7</v>
      </c>
      <c r="AL11" t="s">
        <v>55</v>
      </c>
      <c r="AM11" t="s">
        <v>9</v>
      </c>
      <c r="AN11" t="s">
        <v>56</v>
      </c>
      <c r="AO11" t="s">
        <v>1</v>
      </c>
      <c r="AP11" t="s">
        <v>17</v>
      </c>
      <c r="AQ11" t="s">
        <v>19</v>
      </c>
      <c r="AR11" t="s">
        <v>20</v>
      </c>
    </row>
    <row r="12" spans="1:44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  <c r="AH12" t="s">
        <v>21</v>
      </c>
      <c r="AI12">
        <f>AVERAGE(Q16:Q24)</f>
        <v>17</v>
      </c>
      <c r="AJ12">
        <f>_xlfn.STDEV.S(Q16:Q24)</f>
        <v>1.5</v>
      </c>
      <c r="AK12">
        <f>AVERAGE(R16:R24)</f>
        <v>12.833333333333334</v>
      </c>
      <c r="AL12">
        <f>_xlfn.STDEV.S(R16:R24)</f>
        <v>3.0138568866708555</v>
      </c>
      <c r="AM12">
        <f>AVERAGE(S16:S24)</f>
        <v>29.5</v>
      </c>
      <c r="AN12">
        <f>_xlfn.STDEV.S(S16:S24)</f>
        <v>3.9686269665968861</v>
      </c>
      <c r="AO12">
        <v>20.537037037037035</v>
      </c>
      <c r="AP12">
        <v>1.3405476124459617</v>
      </c>
      <c r="AQ12">
        <v>2.216049382716049</v>
      </c>
      <c r="AR12">
        <v>0.74558600515545947</v>
      </c>
    </row>
    <row r="13" spans="1:44" x14ac:dyDescent="0.3">
      <c r="AH13" t="s">
        <v>33</v>
      </c>
      <c r="AI13" t="e">
        <f>AVERAGE(Q92:Q97)</f>
        <v>#DIV/0!</v>
      </c>
      <c r="AJ13" t="e">
        <f>_xlfn.STDEV.S(Q92:Q97)</f>
        <v>#DIV/0!</v>
      </c>
      <c r="AK13" t="e">
        <f>AVERAGE(R92:R97)</f>
        <v>#DIV/0!</v>
      </c>
      <c r="AL13" t="e">
        <f>_xlfn.STDEV.S(R92:R97)</f>
        <v>#DIV/0!</v>
      </c>
      <c r="AM13" t="e">
        <f>AVERAGE(S92:S97)</f>
        <v>#DIV/0!</v>
      </c>
      <c r="AN13" t="e">
        <f>_xlfn.STDEV.S(S92:S97)</f>
        <v>#DIV/0!</v>
      </c>
      <c r="AO13">
        <v>19.472222222222225</v>
      </c>
      <c r="AP13">
        <v>1.7808133805360669</v>
      </c>
      <c r="AQ13">
        <v>1.3518518518518519</v>
      </c>
      <c r="AR13">
        <v>0.51480149196723157</v>
      </c>
    </row>
    <row r="14" spans="1:44" x14ac:dyDescent="0.3">
      <c r="A14" t="s">
        <v>21</v>
      </c>
    </row>
    <row r="15" spans="1:44" x14ac:dyDescent="0.3">
      <c r="A15" t="s">
        <v>23</v>
      </c>
    </row>
    <row r="16" spans="1:44" x14ac:dyDescent="0.3">
      <c r="B16">
        <v>75</v>
      </c>
      <c r="C16">
        <v>25</v>
      </c>
      <c r="D16">
        <v>12</v>
      </c>
      <c r="E16">
        <v>88</v>
      </c>
      <c r="G16">
        <v>92</v>
      </c>
      <c r="H16">
        <v>8</v>
      </c>
      <c r="I16">
        <v>24</v>
      </c>
      <c r="J16">
        <v>76</v>
      </c>
      <c r="L16">
        <v>84</v>
      </c>
      <c r="M16">
        <v>16</v>
      </c>
      <c r="N16">
        <v>46</v>
      </c>
      <c r="O16">
        <v>54</v>
      </c>
      <c r="Q16">
        <f t="shared" si="0"/>
        <v>18.5</v>
      </c>
      <c r="R16">
        <f t="shared" si="1"/>
        <v>16</v>
      </c>
      <c r="S16">
        <f t="shared" si="2"/>
        <v>31</v>
      </c>
      <c r="T16">
        <f t="shared" si="3"/>
        <v>21.833333333333332</v>
      </c>
      <c r="U16">
        <f t="shared" si="4"/>
        <v>16</v>
      </c>
      <c r="V16">
        <f>(T16-U16)</f>
        <v>5.8333333333333321</v>
      </c>
      <c r="W16">
        <f>AVERAGE(Q16:Q18)</f>
        <v>17</v>
      </c>
      <c r="X16">
        <f>_xlfn.STDEV.S(Q16:Q18)</f>
        <v>1.5</v>
      </c>
      <c r="Y16">
        <f>AVERAGE(R16:R18)</f>
        <v>12.833333333333334</v>
      </c>
      <c r="Z16">
        <f>_xlfn.STDEV.S(R16:R18)</f>
        <v>3.0138568866708555</v>
      </c>
      <c r="AA16">
        <f>AVERAGE(S16:S18)</f>
        <v>29.5</v>
      </c>
      <c r="AB16">
        <f>_xlfn.STDEV.S(S16:S18)</f>
        <v>3.9686269665968861</v>
      </c>
      <c r="AC16">
        <f>AVERAGE(T16:T24)</f>
        <v>19.777777777777775</v>
      </c>
      <c r="AD16">
        <f>_xlfn.STDEV.S(T16:T24)</f>
        <v>2.0838888148345602</v>
      </c>
      <c r="AE16">
        <f>AVERAGE(V16:V18)</f>
        <v>6.9444444444444438</v>
      </c>
      <c r="AF16">
        <f>_xlfn.STDEV.S(V16:V24)</f>
        <v>2.523959264800121</v>
      </c>
    </row>
    <row r="17" spans="1:32" x14ac:dyDescent="0.3">
      <c r="B17">
        <v>79</v>
      </c>
      <c r="C17">
        <v>21</v>
      </c>
      <c r="D17">
        <v>10</v>
      </c>
      <c r="E17">
        <v>90</v>
      </c>
      <c r="G17">
        <v>87</v>
      </c>
      <c r="H17">
        <v>13</v>
      </c>
      <c r="I17">
        <v>12</v>
      </c>
      <c r="J17">
        <v>88</v>
      </c>
      <c r="L17">
        <v>71</v>
      </c>
      <c r="M17">
        <v>29</v>
      </c>
      <c r="N17">
        <v>21</v>
      </c>
      <c r="O17">
        <v>79</v>
      </c>
      <c r="Q17">
        <f t="shared" si="0"/>
        <v>15.5</v>
      </c>
      <c r="R17">
        <f t="shared" si="1"/>
        <v>12.5</v>
      </c>
      <c r="S17">
        <f t="shared" si="2"/>
        <v>25</v>
      </c>
      <c r="T17">
        <f t="shared" si="3"/>
        <v>17.666666666666668</v>
      </c>
      <c r="U17">
        <f t="shared" si="4"/>
        <v>12.5</v>
      </c>
      <c r="V17">
        <f>(T17-U17)</f>
        <v>5.1666666666666679</v>
      </c>
    </row>
    <row r="18" spans="1:32" x14ac:dyDescent="0.3">
      <c r="B18">
        <v>81</v>
      </c>
      <c r="C18">
        <v>19</v>
      </c>
      <c r="D18">
        <v>15</v>
      </c>
      <c r="E18">
        <v>85</v>
      </c>
      <c r="G18">
        <v>93</v>
      </c>
      <c r="H18">
        <v>7</v>
      </c>
      <c r="I18">
        <v>13</v>
      </c>
      <c r="J18">
        <v>87</v>
      </c>
      <c r="L18">
        <v>72</v>
      </c>
      <c r="M18">
        <v>28</v>
      </c>
      <c r="N18">
        <v>37</v>
      </c>
      <c r="O18">
        <v>63</v>
      </c>
      <c r="Q18">
        <f t="shared" si="0"/>
        <v>17</v>
      </c>
      <c r="R18">
        <f t="shared" si="1"/>
        <v>10</v>
      </c>
      <c r="S18">
        <f t="shared" si="2"/>
        <v>32.5</v>
      </c>
      <c r="T18">
        <f t="shared" si="3"/>
        <v>19.833333333333332</v>
      </c>
      <c r="U18">
        <f t="shared" si="4"/>
        <v>10</v>
      </c>
      <c r="V18">
        <f>(T18-U18)</f>
        <v>9.8333333333333321</v>
      </c>
    </row>
    <row r="26" spans="1:32" x14ac:dyDescent="0.3">
      <c r="A26" t="s">
        <v>26</v>
      </c>
    </row>
    <row r="27" spans="1:32" x14ac:dyDescent="0.3">
      <c r="A27" t="s">
        <v>23</v>
      </c>
    </row>
    <row r="28" spans="1:32" x14ac:dyDescent="0.3">
      <c r="Q28" t="e">
        <f t="shared" si="0"/>
        <v>#DIV/0!</v>
      </c>
      <c r="R28" t="e">
        <f t="shared" si="1"/>
        <v>#DIV/0!</v>
      </c>
      <c r="S28" t="e">
        <f t="shared" si="2"/>
        <v>#DIV/0!</v>
      </c>
      <c r="T28" t="e">
        <f t="shared" si="3"/>
        <v>#DIV/0!</v>
      </c>
      <c r="U28" t="e">
        <f t="shared" si="4"/>
        <v>#DIV/0!</v>
      </c>
      <c r="V28" t="e">
        <f t="shared" si="5"/>
        <v>#DIV/0!</v>
      </c>
      <c r="AC28" t="e">
        <f>AVERAGE(T28:T30)</f>
        <v>#DIV/0!</v>
      </c>
      <c r="AD28" t="e">
        <f>_xlfn.STDEV.S(T28:T30)</f>
        <v>#DIV/0!</v>
      </c>
      <c r="AE28" t="e">
        <f>AVERAGE(V28:V30)</f>
        <v>#DIV/0!</v>
      </c>
      <c r="AF28" t="e">
        <f>_xlfn.STDEV.S(V28:V30)</f>
        <v>#DIV/0!</v>
      </c>
    </row>
    <row r="29" spans="1:32" x14ac:dyDescent="0.3">
      <c r="Q29" t="e">
        <f t="shared" si="0"/>
        <v>#DIV/0!</v>
      </c>
      <c r="R29" t="e">
        <f t="shared" si="1"/>
        <v>#DIV/0!</v>
      </c>
      <c r="S29" t="e">
        <f t="shared" si="2"/>
        <v>#DIV/0!</v>
      </c>
      <c r="T29" t="e">
        <f t="shared" si="3"/>
        <v>#DIV/0!</v>
      </c>
      <c r="U29" t="e">
        <f t="shared" si="4"/>
        <v>#DIV/0!</v>
      </c>
      <c r="V29" t="e">
        <f t="shared" si="5"/>
        <v>#DIV/0!</v>
      </c>
    </row>
    <row r="30" spans="1:32" x14ac:dyDescent="0.3">
      <c r="Q30" t="e">
        <f t="shared" si="0"/>
        <v>#DIV/0!</v>
      </c>
      <c r="R30" t="e">
        <f t="shared" si="1"/>
        <v>#DIV/0!</v>
      </c>
      <c r="S30" t="e">
        <f t="shared" si="2"/>
        <v>#DIV/0!</v>
      </c>
      <c r="T30" t="e">
        <f t="shared" si="3"/>
        <v>#DIV/0!</v>
      </c>
      <c r="U30" t="e">
        <f t="shared" si="4"/>
        <v>#DIV/0!</v>
      </c>
      <c r="V30" t="e">
        <f t="shared" si="5"/>
        <v>#DIV/0!</v>
      </c>
    </row>
    <row r="32" spans="1:32" x14ac:dyDescent="0.3">
      <c r="A32" t="s">
        <v>27</v>
      </c>
    </row>
    <row r="33" spans="1:32" x14ac:dyDescent="0.3">
      <c r="A33" t="s">
        <v>23</v>
      </c>
    </row>
    <row r="34" spans="1:32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  <c r="AC34" t="e">
        <f>AVERAGE(T34:T42)</f>
        <v>#DIV/0!</v>
      </c>
      <c r="AD34" t="e">
        <f>_xlfn.STDEV.S(T34:T42)</f>
        <v>#DIV/0!</v>
      </c>
      <c r="AE34" t="e">
        <f>AVERAGE(V34:V42)</f>
        <v>#DIV/0!</v>
      </c>
      <c r="AF34" t="e">
        <f>_xlfn.STDEV.S(V34:V42)</f>
        <v>#DIV/0!</v>
      </c>
    </row>
    <row r="35" spans="1:32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:32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:32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  <row r="38" spans="1:32" x14ac:dyDescent="0.3">
      <c r="Q38" t="e">
        <f t="shared" si="0"/>
        <v>#DIV/0!</v>
      </c>
      <c r="R38" t="e">
        <f t="shared" si="1"/>
        <v>#DIV/0!</v>
      </c>
      <c r="S38" t="e">
        <f t="shared" si="2"/>
        <v>#DIV/0!</v>
      </c>
      <c r="T38" t="e">
        <f t="shared" si="3"/>
        <v>#DIV/0!</v>
      </c>
      <c r="U38" t="e">
        <f t="shared" si="4"/>
        <v>#DIV/0!</v>
      </c>
      <c r="V38" t="e">
        <f t="shared" si="5"/>
        <v>#DIV/0!</v>
      </c>
    </row>
    <row r="39" spans="1:32" x14ac:dyDescent="0.3">
      <c r="Q39" t="e">
        <f t="shared" si="0"/>
        <v>#DIV/0!</v>
      </c>
      <c r="R39" t="e">
        <f t="shared" si="1"/>
        <v>#DIV/0!</v>
      </c>
      <c r="S39" t="e">
        <f t="shared" si="2"/>
        <v>#DIV/0!</v>
      </c>
      <c r="T39" t="e">
        <f t="shared" si="3"/>
        <v>#DIV/0!</v>
      </c>
      <c r="U39" t="e">
        <f t="shared" si="4"/>
        <v>#DIV/0!</v>
      </c>
      <c r="V39" t="e">
        <f t="shared" si="5"/>
        <v>#DIV/0!</v>
      </c>
    </row>
    <row r="40" spans="1:32" x14ac:dyDescent="0.3">
      <c r="Q40" t="e">
        <f t="shared" si="0"/>
        <v>#DIV/0!</v>
      </c>
      <c r="R40" t="e">
        <f t="shared" si="1"/>
        <v>#DIV/0!</v>
      </c>
      <c r="S40" t="e">
        <f t="shared" si="2"/>
        <v>#DIV/0!</v>
      </c>
      <c r="T40" t="e">
        <f t="shared" si="3"/>
        <v>#DIV/0!</v>
      </c>
      <c r="U40" t="e">
        <f t="shared" si="4"/>
        <v>#DIV/0!</v>
      </c>
      <c r="V40" t="e">
        <f t="shared" si="5"/>
        <v>#DIV/0!</v>
      </c>
    </row>
    <row r="41" spans="1:32" x14ac:dyDescent="0.3">
      <c r="Q41" t="e">
        <f t="shared" si="0"/>
        <v>#DIV/0!</v>
      </c>
      <c r="R41" t="e">
        <f t="shared" si="1"/>
        <v>#DIV/0!</v>
      </c>
      <c r="S41" t="e">
        <f t="shared" si="2"/>
        <v>#DIV/0!</v>
      </c>
      <c r="T41" t="e">
        <f t="shared" si="3"/>
        <v>#DIV/0!</v>
      </c>
      <c r="U41" t="e">
        <f t="shared" si="4"/>
        <v>#DIV/0!</v>
      </c>
      <c r="V41" t="e">
        <f t="shared" si="5"/>
        <v>#DIV/0!</v>
      </c>
    </row>
    <row r="42" spans="1:32" x14ac:dyDescent="0.3">
      <c r="Q42" t="e">
        <f t="shared" si="0"/>
        <v>#DIV/0!</v>
      </c>
      <c r="R42" t="e">
        <f t="shared" si="1"/>
        <v>#DIV/0!</v>
      </c>
      <c r="S42" t="e">
        <f t="shared" si="2"/>
        <v>#DIV/0!</v>
      </c>
      <c r="T42" t="e">
        <f t="shared" si="3"/>
        <v>#DIV/0!</v>
      </c>
      <c r="U42" t="e">
        <f t="shared" si="4"/>
        <v>#DIV/0!</v>
      </c>
      <c r="V42" t="e">
        <f t="shared" si="5"/>
        <v>#DIV/0!</v>
      </c>
    </row>
    <row r="44" spans="1:32" x14ac:dyDescent="0.3">
      <c r="A44" t="s">
        <v>28</v>
      </c>
    </row>
    <row r="45" spans="1:32" x14ac:dyDescent="0.3">
      <c r="A45" t="s">
        <v>23</v>
      </c>
    </row>
    <row r="46" spans="1:32" x14ac:dyDescent="0.3">
      <c r="Q46" t="e">
        <f t="shared" si="0"/>
        <v>#DIV/0!</v>
      </c>
      <c r="R46" t="e">
        <f t="shared" si="1"/>
        <v>#DIV/0!</v>
      </c>
      <c r="S46" t="e">
        <f t="shared" si="2"/>
        <v>#DIV/0!</v>
      </c>
      <c r="T46" t="e">
        <f t="shared" si="3"/>
        <v>#DIV/0!</v>
      </c>
      <c r="U46" t="e">
        <f t="shared" si="4"/>
        <v>#DIV/0!</v>
      </c>
      <c r="V46" t="e">
        <f t="shared" si="5"/>
        <v>#DIV/0!</v>
      </c>
      <c r="AC46" t="e">
        <f>AVERAGE(T46:T54)</f>
        <v>#DIV/0!</v>
      </c>
      <c r="AD46" t="e">
        <f>_xlfn.STDEV.S(T46:T54)</f>
        <v>#DIV/0!</v>
      </c>
      <c r="AE46" t="e">
        <f>AVERAGE(V46:V54)</f>
        <v>#DIV/0!</v>
      </c>
      <c r="AF46" t="e">
        <f>_xlfn.STDEV.S(V46:V54)</f>
        <v>#DIV/0!</v>
      </c>
    </row>
    <row r="47" spans="1:32" x14ac:dyDescent="0.3">
      <c r="Q47" t="e">
        <f t="shared" si="0"/>
        <v>#DIV/0!</v>
      </c>
      <c r="R47" t="e">
        <f t="shared" si="1"/>
        <v>#DIV/0!</v>
      </c>
      <c r="S47" t="e">
        <f t="shared" si="2"/>
        <v>#DIV/0!</v>
      </c>
      <c r="T47" t="e">
        <f t="shared" si="3"/>
        <v>#DIV/0!</v>
      </c>
      <c r="U47" t="e">
        <f t="shared" si="4"/>
        <v>#DIV/0!</v>
      </c>
      <c r="V47" t="e">
        <f t="shared" si="5"/>
        <v>#DIV/0!</v>
      </c>
    </row>
    <row r="48" spans="1:32" x14ac:dyDescent="0.3">
      <c r="Q48" t="e">
        <f t="shared" si="0"/>
        <v>#DIV/0!</v>
      </c>
      <c r="R48" t="e">
        <f t="shared" si="1"/>
        <v>#DIV/0!</v>
      </c>
      <c r="S48" t="e">
        <f t="shared" si="2"/>
        <v>#DIV/0!</v>
      </c>
      <c r="T48" t="e">
        <f t="shared" si="3"/>
        <v>#DIV/0!</v>
      </c>
      <c r="U48" t="e">
        <f t="shared" si="4"/>
        <v>#DIV/0!</v>
      </c>
      <c r="V48" t="e">
        <f t="shared" si="5"/>
        <v>#DIV/0!</v>
      </c>
    </row>
    <row r="49" spans="1:32" x14ac:dyDescent="0.3">
      <c r="Q49" t="e">
        <f t="shared" si="0"/>
        <v>#DIV/0!</v>
      </c>
      <c r="R49" t="e">
        <f t="shared" si="1"/>
        <v>#DIV/0!</v>
      </c>
      <c r="S49" t="e">
        <f t="shared" si="2"/>
        <v>#DIV/0!</v>
      </c>
      <c r="T49" t="e">
        <f t="shared" si="3"/>
        <v>#DIV/0!</v>
      </c>
      <c r="U49" t="e">
        <f t="shared" si="4"/>
        <v>#DIV/0!</v>
      </c>
      <c r="V49" t="e">
        <f t="shared" si="5"/>
        <v>#DIV/0!</v>
      </c>
    </row>
    <row r="50" spans="1:32" x14ac:dyDescent="0.3">
      <c r="Q50" t="e">
        <f t="shared" si="0"/>
        <v>#DIV/0!</v>
      </c>
      <c r="R50" t="e">
        <f t="shared" si="1"/>
        <v>#DIV/0!</v>
      </c>
      <c r="S50" t="e">
        <f t="shared" si="2"/>
        <v>#DIV/0!</v>
      </c>
      <c r="T50" t="e">
        <f t="shared" si="3"/>
        <v>#DIV/0!</v>
      </c>
      <c r="U50" t="e">
        <f t="shared" si="4"/>
        <v>#DIV/0!</v>
      </c>
      <c r="V50" t="e">
        <f t="shared" si="5"/>
        <v>#DIV/0!</v>
      </c>
    </row>
    <row r="51" spans="1:32" x14ac:dyDescent="0.3">
      <c r="Q51" t="e">
        <f t="shared" si="0"/>
        <v>#DIV/0!</v>
      </c>
      <c r="R51" t="e">
        <f t="shared" si="1"/>
        <v>#DIV/0!</v>
      </c>
      <c r="S51" t="e">
        <f t="shared" si="2"/>
        <v>#DIV/0!</v>
      </c>
      <c r="T51" t="e">
        <f t="shared" si="3"/>
        <v>#DIV/0!</v>
      </c>
      <c r="U51" t="e">
        <f t="shared" si="4"/>
        <v>#DIV/0!</v>
      </c>
      <c r="V51" t="e">
        <f t="shared" si="5"/>
        <v>#DIV/0!</v>
      </c>
    </row>
    <row r="52" spans="1:32" x14ac:dyDescent="0.3">
      <c r="Q52" t="e">
        <f t="shared" si="0"/>
        <v>#DIV/0!</v>
      </c>
      <c r="R52" t="e">
        <f t="shared" si="1"/>
        <v>#DIV/0!</v>
      </c>
      <c r="S52" t="e">
        <f t="shared" si="2"/>
        <v>#DIV/0!</v>
      </c>
      <c r="T52" t="e">
        <f t="shared" si="3"/>
        <v>#DIV/0!</v>
      </c>
      <c r="U52" t="e">
        <f t="shared" si="4"/>
        <v>#DIV/0!</v>
      </c>
      <c r="V52" t="e">
        <f t="shared" si="5"/>
        <v>#DIV/0!</v>
      </c>
    </row>
    <row r="53" spans="1:32" x14ac:dyDescent="0.3">
      <c r="Q53" t="e">
        <f t="shared" si="0"/>
        <v>#DIV/0!</v>
      </c>
      <c r="R53" t="e">
        <f t="shared" si="1"/>
        <v>#DIV/0!</v>
      </c>
      <c r="S53" t="e">
        <f t="shared" si="2"/>
        <v>#DIV/0!</v>
      </c>
      <c r="T53" t="e">
        <f t="shared" si="3"/>
        <v>#DIV/0!</v>
      </c>
      <c r="U53" t="e">
        <f t="shared" si="4"/>
        <v>#DIV/0!</v>
      </c>
      <c r="V53" t="e">
        <f t="shared" si="5"/>
        <v>#DIV/0!</v>
      </c>
    </row>
    <row r="54" spans="1:32" x14ac:dyDescent="0.3">
      <c r="Q54" t="e">
        <f t="shared" si="0"/>
        <v>#DIV/0!</v>
      </c>
      <c r="R54" t="e">
        <f t="shared" si="1"/>
        <v>#DIV/0!</v>
      </c>
      <c r="S54" t="e">
        <f t="shared" si="2"/>
        <v>#DIV/0!</v>
      </c>
      <c r="T54" t="e">
        <f t="shared" si="3"/>
        <v>#DIV/0!</v>
      </c>
      <c r="U54" t="e">
        <f t="shared" si="4"/>
        <v>#DIV/0!</v>
      </c>
      <c r="V54" t="e">
        <f t="shared" si="5"/>
        <v>#DIV/0!</v>
      </c>
    </row>
    <row r="56" spans="1:32" x14ac:dyDescent="0.3">
      <c r="A56" t="s">
        <v>29</v>
      </c>
    </row>
    <row r="57" spans="1:32" x14ac:dyDescent="0.3">
      <c r="A57" t="s">
        <v>23</v>
      </c>
    </row>
    <row r="58" spans="1:32" x14ac:dyDescent="0.3">
      <c r="Q58" t="e">
        <f t="shared" si="0"/>
        <v>#DIV/0!</v>
      </c>
      <c r="R58" t="e">
        <f t="shared" si="1"/>
        <v>#DIV/0!</v>
      </c>
      <c r="S58" t="e">
        <f t="shared" si="2"/>
        <v>#DIV/0!</v>
      </c>
      <c r="T58" t="e">
        <f t="shared" si="3"/>
        <v>#DIV/0!</v>
      </c>
      <c r="U58" t="e">
        <f t="shared" si="4"/>
        <v>#DIV/0!</v>
      </c>
      <c r="V58" t="e">
        <f t="shared" si="5"/>
        <v>#DIV/0!</v>
      </c>
      <c r="AC58" t="e">
        <f>AVERAGE(T58,T59)</f>
        <v>#DIV/0!</v>
      </c>
      <c r="AD58" t="e">
        <f>_xlfn.STDEV.S(T58:T59)</f>
        <v>#DIV/0!</v>
      </c>
      <c r="AE58" t="e">
        <f>AVERAGE(V58,V59)</f>
        <v>#DIV/0!</v>
      </c>
      <c r="AF58" t="e">
        <f>_xlfn.STDEV.S(V58,V59)</f>
        <v>#DIV/0!</v>
      </c>
    </row>
    <row r="59" spans="1:32" x14ac:dyDescent="0.3">
      <c r="Q59" t="e">
        <f t="shared" si="0"/>
        <v>#DIV/0!</v>
      </c>
      <c r="R59" t="e">
        <f t="shared" si="1"/>
        <v>#DIV/0!</v>
      </c>
      <c r="S59" t="e">
        <f t="shared" si="2"/>
        <v>#DIV/0!</v>
      </c>
      <c r="T59" t="e">
        <f t="shared" si="3"/>
        <v>#DIV/0!</v>
      </c>
      <c r="U59" t="e">
        <f t="shared" si="4"/>
        <v>#DIV/0!</v>
      </c>
      <c r="V59" t="e">
        <f t="shared" si="5"/>
        <v>#DIV/0!</v>
      </c>
    </row>
    <row r="61" spans="1:32" x14ac:dyDescent="0.3">
      <c r="A61" t="s">
        <v>30</v>
      </c>
    </row>
    <row r="62" spans="1:32" x14ac:dyDescent="0.3">
      <c r="A62" t="s">
        <v>23</v>
      </c>
    </row>
    <row r="63" spans="1:32" x14ac:dyDescent="0.3">
      <c r="Q63" t="e">
        <f t="shared" si="0"/>
        <v>#DIV/0!</v>
      </c>
      <c r="R63" t="e">
        <f t="shared" si="1"/>
        <v>#DIV/0!</v>
      </c>
      <c r="S63" t="e">
        <f t="shared" si="2"/>
        <v>#DIV/0!</v>
      </c>
      <c r="T63" t="e">
        <f t="shared" si="3"/>
        <v>#DIV/0!</v>
      </c>
      <c r="U63" t="e">
        <f t="shared" si="4"/>
        <v>#DIV/0!</v>
      </c>
      <c r="V63" t="e">
        <f t="shared" si="5"/>
        <v>#DIV/0!</v>
      </c>
      <c r="AC63" t="e">
        <f>AVERAGE(T63:T69)</f>
        <v>#DIV/0!</v>
      </c>
      <c r="AD63" t="e">
        <f>_xlfn.STDEV.S(T63:T69)</f>
        <v>#DIV/0!</v>
      </c>
      <c r="AE63" t="e">
        <f>AVERAGE(V63:V69)</f>
        <v>#DIV/0!</v>
      </c>
      <c r="AF63" t="e">
        <f>_xlfn.STDEV.S(V63:V69)</f>
        <v>#DIV/0!</v>
      </c>
    </row>
    <row r="64" spans="1:32" x14ac:dyDescent="0.3">
      <c r="Q64" t="e">
        <f t="shared" si="0"/>
        <v>#DIV/0!</v>
      </c>
      <c r="R64" t="e">
        <f t="shared" si="1"/>
        <v>#DIV/0!</v>
      </c>
      <c r="S64" t="e">
        <f t="shared" si="2"/>
        <v>#DIV/0!</v>
      </c>
      <c r="T64" t="e">
        <f t="shared" si="3"/>
        <v>#DIV/0!</v>
      </c>
      <c r="U64" t="e">
        <f t="shared" si="4"/>
        <v>#DIV/0!</v>
      </c>
      <c r="V64" t="e">
        <f t="shared" si="5"/>
        <v>#DIV/0!</v>
      </c>
    </row>
    <row r="65" spans="1:32" x14ac:dyDescent="0.3">
      <c r="Q65" t="e">
        <f t="shared" si="0"/>
        <v>#DIV/0!</v>
      </c>
      <c r="R65" t="e">
        <f t="shared" si="1"/>
        <v>#DIV/0!</v>
      </c>
      <c r="S65" t="e">
        <f t="shared" si="2"/>
        <v>#DIV/0!</v>
      </c>
      <c r="T65" t="e">
        <f t="shared" si="3"/>
        <v>#DIV/0!</v>
      </c>
      <c r="U65" t="e">
        <f t="shared" si="4"/>
        <v>#DIV/0!</v>
      </c>
      <c r="V65" t="e">
        <f t="shared" si="5"/>
        <v>#DIV/0!</v>
      </c>
    </row>
    <row r="66" spans="1:32" x14ac:dyDescent="0.3">
      <c r="Q66" t="e">
        <f t="shared" si="0"/>
        <v>#DIV/0!</v>
      </c>
      <c r="R66" t="e">
        <f t="shared" si="1"/>
        <v>#DIV/0!</v>
      </c>
      <c r="S66" t="e">
        <f t="shared" si="2"/>
        <v>#DIV/0!</v>
      </c>
      <c r="T66" t="e">
        <f t="shared" si="3"/>
        <v>#DIV/0!</v>
      </c>
      <c r="U66" t="e">
        <f t="shared" si="4"/>
        <v>#DIV/0!</v>
      </c>
      <c r="V66" t="e">
        <f t="shared" si="5"/>
        <v>#DIV/0!</v>
      </c>
    </row>
    <row r="67" spans="1:32" x14ac:dyDescent="0.3">
      <c r="Q67" t="e">
        <f t="shared" si="0"/>
        <v>#DIV/0!</v>
      </c>
      <c r="R67" t="e">
        <f t="shared" si="1"/>
        <v>#DIV/0!</v>
      </c>
      <c r="S67" t="e">
        <f t="shared" si="2"/>
        <v>#DIV/0!</v>
      </c>
      <c r="T67" t="e">
        <f t="shared" si="3"/>
        <v>#DIV/0!</v>
      </c>
      <c r="U67" t="e">
        <f t="shared" si="4"/>
        <v>#DIV/0!</v>
      </c>
      <c r="V67" t="e">
        <f t="shared" si="5"/>
        <v>#DIV/0!</v>
      </c>
    </row>
    <row r="68" spans="1:32" x14ac:dyDescent="0.3">
      <c r="Q68" t="e">
        <f t="shared" ref="Q68:Q109" si="6">AVERAGE(C68,D68)</f>
        <v>#DIV/0!</v>
      </c>
      <c r="R68" t="e">
        <f t="shared" ref="R68:R109" si="7">AVERAGE(H68:I68)</f>
        <v>#DIV/0!</v>
      </c>
      <c r="S68" t="e">
        <f t="shared" ref="S68:S109" si="8">AVERAGE(M68,N68)</f>
        <v>#DIV/0!</v>
      </c>
      <c r="T68" t="e">
        <f t="shared" ref="T68:T109" si="9">AVERAGE(Q68:S68)</f>
        <v>#DIV/0!</v>
      </c>
      <c r="U68" t="e">
        <f t="shared" ref="U68:U109" si="10">MIN(Q68:S68)</f>
        <v>#DIV/0!</v>
      </c>
      <c r="V68" t="e">
        <f t="shared" ref="V68:V109" si="11">(1/3)*(T68-U68)</f>
        <v>#DIV/0!</v>
      </c>
    </row>
    <row r="69" spans="1:32" x14ac:dyDescent="0.3">
      <c r="Q69" t="e">
        <f t="shared" si="6"/>
        <v>#DIV/0!</v>
      </c>
      <c r="R69" t="e">
        <f t="shared" si="7"/>
        <v>#DIV/0!</v>
      </c>
      <c r="S69" t="e">
        <f t="shared" si="8"/>
        <v>#DIV/0!</v>
      </c>
      <c r="T69" t="e">
        <f t="shared" si="9"/>
        <v>#DIV/0!</v>
      </c>
      <c r="U69" t="e">
        <f t="shared" si="10"/>
        <v>#DIV/0!</v>
      </c>
      <c r="V69" t="e">
        <f t="shared" si="11"/>
        <v>#DIV/0!</v>
      </c>
    </row>
    <row r="71" spans="1:32" x14ac:dyDescent="0.3">
      <c r="A71" t="s">
        <v>31</v>
      </c>
    </row>
    <row r="72" spans="1:32" x14ac:dyDescent="0.3">
      <c r="A72" t="s">
        <v>23</v>
      </c>
    </row>
    <row r="73" spans="1:32" x14ac:dyDescent="0.3">
      <c r="Q73" t="e">
        <f t="shared" si="6"/>
        <v>#DIV/0!</v>
      </c>
      <c r="R73" t="e">
        <f t="shared" si="7"/>
        <v>#DIV/0!</v>
      </c>
      <c r="S73" t="e">
        <f t="shared" si="8"/>
        <v>#DIV/0!</v>
      </c>
      <c r="T73" t="e">
        <f t="shared" si="9"/>
        <v>#DIV/0!</v>
      </c>
      <c r="U73" t="e">
        <f t="shared" si="10"/>
        <v>#DIV/0!</v>
      </c>
      <c r="V73" t="e">
        <f t="shared" si="11"/>
        <v>#DIV/0!</v>
      </c>
      <c r="AC73" t="e">
        <f>AVERAGE(T73:T75)</f>
        <v>#DIV/0!</v>
      </c>
      <c r="AD73" t="e">
        <f>_xlfn.STDEV.S(T73:T75)</f>
        <v>#DIV/0!</v>
      </c>
      <c r="AE73" t="e">
        <f>AVERAGE(V73:V75)</f>
        <v>#DIV/0!</v>
      </c>
      <c r="AF73" t="e">
        <f>_xlfn.STDEV.S(V73:V75)</f>
        <v>#DIV/0!</v>
      </c>
    </row>
    <row r="74" spans="1:32" x14ac:dyDescent="0.3">
      <c r="Q74" t="e">
        <f t="shared" si="6"/>
        <v>#DIV/0!</v>
      </c>
      <c r="R74" t="e">
        <f t="shared" si="7"/>
        <v>#DIV/0!</v>
      </c>
      <c r="S74" t="e">
        <f t="shared" si="8"/>
        <v>#DIV/0!</v>
      </c>
      <c r="T74" t="e">
        <f t="shared" si="9"/>
        <v>#DIV/0!</v>
      </c>
      <c r="U74" t="e">
        <f t="shared" si="10"/>
        <v>#DIV/0!</v>
      </c>
      <c r="V74" t="e">
        <f t="shared" si="11"/>
        <v>#DIV/0!</v>
      </c>
    </row>
    <row r="75" spans="1:32" x14ac:dyDescent="0.3">
      <c r="Q75" t="e">
        <f t="shared" si="6"/>
        <v>#DIV/0!</v>
      </c>
      <c r="R75" t="e">
        <f t="shared" si="7"/>
        <v>#DIV/0!</v>
      </c>
      <c r="S75" t="e">
        <f t="shared" si="8"/>
        <v>#DIV/0!</v>
      </c>
      <c r="T75" t="e">
        <f t="shared" si="9"/>
        <v>#DIV/0!</v>
      </c>
      <c r="U75" t="e">
        <f t="shared" si="10"/>
        <v>#DIV/0!</v>
      </c>
      <c r="V75" t="e">
        <f t="shared" si="11"/>
        <v>#DIV/0!</v>
      </c>
    </row>
    <row r="77" spans="1:32" x14ac:dyDescent="0.3">
      <c r="A77" t="s">
        <v>32</v>
      </c>
    </row>
    <row r="78" spans="1:32" x14ac:dyDescent="0.3">
      <c r="A78" t="s">
        <v>23</v>
      </c>
    </row>
    <row r="79" spans="1:32" x14ac:dyDescent="0.3">
      <c r="Q79" t="e">
        <f t="shared" si="6"/>
        <v>#DIV/0!</v>
      </c>
      <c r="R79" t="e">
        <f t="shared" si="7"/>
        <v>#DIV/0!</v>
      </c>
      <c r="S79" t="e">
        <f t="shared" si="8"/>
        <v>#DIV/0!</v>
      </c>
      <c r="T79" t="e">
        <f t="shared" si="9"/>
        <v>#DIV/0!</v>
      </c>
      <c r="U79" t="e">
        <f t="shared" si="10"/>
        <v>#DIV/0!</v>
      </c>
      <c r="V79" t="e">
        <f t="shared" si="11"/>
        <v>#DIV/0!</v>
      </c>
      <c r="AC79" t="e">
        <f>AVERAGE(T79:T88)</f>
        <v>#DIV/0!</v>
      </c>
      <c r="AD79" t="e">
        <f>_xlfn.STDEV.S(T79:T88)</f>
        <v>#DIV/0!</v>
      </c>
      <c r="AE79" t="e">
        <f>AVERAGE(V79:V88)</f>
        <v>#DIV/0!</v>
      </c>
      <c r="AF79" t="e">
        <f>_xlfn.STDEV.S(V79:V88)</f>
        <v>#DIV/0!</v>
      </c>
    </row>
    <row r="80" spans="1:32" x14ac:dyDescent="0.3">
      <c r="Q80" t="e">
        <f t="shared" si="6"/>
        <v>#DIV/0!</v>
      </c>
      <c r="R80" t="e">
        <f t="shared" si="7"/>
        <v>#DIV/0!</v>
      </c>
      <c r="S80" t="e">
        <f t="shared" si="8"/>
        <v>#DIV/0!</v>
      </c>
      <c r="T80" t="e">
        <f t="shared" si="9"/>
        <v>#DIV/0!</v>
      </c>
      <c r="U80" t="e">
        <f t="shared" si="10"/>
        <v>#DIV/0!</v>
      </c>
      <c r="V80" t="e">
        <f t="shared" si="11"/>
        <v>#DIV/0!</v>
      </c>
    </row>
    <row r="81" spans="1:32" x14ac:dyDescent="0.3">
      <c r="Q81" t="e">
        <f t="shared" si="6"/>
        <v>#DIV/0!</v>
      </c>
      <c r="R81" t="e">
        <f t="shared" si="7"/>
        <v>#DIV/0!</v>
      </c>
      <c r="S81" t="e">
        <f t="shared" si="8"/>
        <v>#DIV/0!</v>
      </c>
      <c r="T81" t="e">
        <f t="shared" si="9"/>
        <v>#DIV/0!</v>
      </c>
      <c r="U81" t="e">
        <f t="shared" si="10"/>
        <v>#DIV/0!</v>
      </c>
      <c r="V81" t="e">
        <f t="shared" si="11"/>
        <v>#DIV/0!</v>
      </c>
    </row>
    <row r="82" spans="1:32" x14ac:dyDescent="0.3">
      <c r="Q82" t="e">
        <f t="shared" si="6"/>
        <v>#DIV/0!</v>
      </c>
      <c r="R82" t="e">
        <f t="shared" si="7"/>
        <v>#DIV/0!</v>
      </c>
      <c r="S82" t="e">
        <f t="shared" si="8"/>
        <v>#DIV/0!</v>
      </c>
      <c r="T82" t="e">
        <f t="shared" si="9"/>
        <v>#DIV/0!</v>
      </c>
      <c r="U82" t="e">
        <f t="shared" si="10"/>
        <v>#DIV/0!</v>
      </c>
      <c r="V82" t="e">
        <f t="shared" si="11"/>
        <v>#DIV/0!</v>
      </c>
    </row>
    <row r="83" spans="1:32" x14ac:dyDescent="0.3">
      <c r="Q83" t="e">
        <f t="shared" si="6"/>
        <v>#DIV/0!</v>
      </c>
      <c r="R83" t="e">
        <f t="shared" si="7"/>
        <v>#DIV/0!</v>
      </c>
      <c r="S83" t="e">
        <f t="shared" si="8"/>
        <v>#DIV/0!</v>
      </c>
      <c r="T83" t="e">
        <f t="shared" si="9"/>
        <v>#DIV/0!</v>
      </c>
      <c r="U83" t="e">
        <f t="shared" si="10"/>
        <v>#DIV/0!</v>
      </c>
      <c r="V83" t="e">
        <f t="shared" si="11"/>
        <v>#DIV/0!</v>
      </c>
    </row>
    <row r="84" spans="1:32" x14ac:dyDescent="0.3">
      <c r="Q84" t="e">
        <f t="shared" si="6"/>
        <v>#DIV/0!</v>
      </c>
      <c r="R84" t="e">
        <f t="shared" si="7"/>
        <v>#DIV/0!</v>
      </c>
      <c r="S84" t="e">
        <f t="shared" si="8"/>
        <v>#DIV/0!</v>
      </c>
      <c r="T84" t="e">
        <f t="shared" si="9"/>
        <v>#DIV/0!</v>
      </c>
      <c r="U84" t="e">
        <f t="shared" si="10"/>
        <v>#DIV/0!</v>
      </c>
      <c r="V84" t="e">
        <f t="shared" si="11"/>
        <v>#DIV/0!</v>
      </c>
    </row>
    <row r="85" spans="1:32" x14ac:dyDescent="0.3">
      <c r="Q85" t="e">
        <f t="shared" si="6"/>
        <v>#DIV/0!</v>
      </c>
      <c r="R85" t="e">
        <f t="shared" si="7"/>
        <v>#DIV/0!</v>
      </c>
      <c r="S85" t="e">
        <f t="shared" si="8"/>
        <v>#DIV/0!</v>
      </c>
      <c r="T85" t="e">
        <f t="shared" si="9"/>
        <v>#DIV/0!</v>
      </c>
      <c r="U85" t="e">
        <f t="shared" si="10"/>
        <v>#DIV/0!</v>
      </c>
      <c r="V85" t="e">
        <f t="shared" si="11"/>
        <v>#DIV/0!</v>
      </c>
    </row>
    <row r="86" spans="1:32" x14ac:dyDescent="0.3">
      <c r="Q86" t="e">
        <f t="shared" si="6"/>
        <v>#DIV/0!</v>
      </c>
      <c r="R86" t="e">
        <f t="shared" si="7"/>
        <v>#DIV/0!</v>
      </c>
      <c r="S86" t="e">
        <f t="shared" si="8"/>
        <v>#DIV/0!</v>
      </c>
      <c r="T86" t="e">
        <f t="shared" si="9"/>
        <v>#DIV/0!</v>
      </c>
      <c r="U86" t="e">
        <f t="shared" si="10"/>
        <v>#DIV/0!</v>
      </c>
      <c r="V86" t="e">
        <f t="shared" si="11"/>
        <v>#DIV/0!</v>
      </c>
    </row>
    <row r="87" spans="1:32" x14ac:dyDescent="0.3">
      <c r="Q87" t="e">
        <f t="shared" si="6"/>
        <v>#DIV/0!</v>
      </c>
      <c r="R87" t="e">
        <f t="shared" si="7"/>
        <v>#DIV/0!</v>
      </c>
      <c r="S87" t="e">
        <f t="shared" si="8"/>
        <v>#DIV/0!</v>
      </c>
      <c r="T87" t="e">
        <f t="shared" si="9"/>
        <v>#DIV/0!</v>
      </c>
      <c r="U87" t="e">
        <f t="shared" si="10"/>
        <v>#DIV/0!</v>
      </c>
      <c r="V87" t="e">
        <f t="shared" si="11"/>
        <v>#DIV/0!</v>
      </c>
    </row>
    <row r="88" spans="1:32" x14ac:dyDescent="0.3">
      <c r="Q88" t="e">
        <f t="shared" si="6"/>
        <v>#DIV/0!</v>
      </c>
      <c r="R88" t="e">
        <f t="shared" si="7"/>
        <v>#DIV/0!</v>
      </c>
      <c r="S88" t="e">
        <f t="shared" si="8"/>
        <v>#DIV/0!</v>
      </c>
      <c r="T88" t="e">
        <f t="shared" si="9"/>
        <v>#DIV/0!</v>
      </c>
      <c r="U88" t="e">
        <f t="shared" si="10"/>
        <v>#DIV/0!</v>
      </c>
      <c r="V88" t="e">
        <f t="shared" si="11"/>
        <v>#DIV/0!</v>
      </c>
    </row>
    <row r="90" spans="1:32" x14ac:dyDescent="0.3">
      <c r="A90" t="s">
        <v>33</v>
      </c>
    </row>
    <row r="91" spans="1:32" x14ac:dyDescent="0.3">
      <c r="A91" t="s">
        <v>23</v>
      </c>
    </row>
    <row r="92" spans="1:32" x14ac:dyDescent="0.3">
      <c r="Q92" t="e">
        <f t="shared" si="6"/>
        <v>#DIV/0!</v>
      </c>
      <c r="R92" t="e">
        <f t="shared" si="7"/>
        <v>#DIV/0!</v>
      </c>
      <c r="S92" t="e">
        <f t="shared" si="8"/>
        <v>#DIV/0!</v>
      </c>
      <c r="T92" t="e">
        <f t="shared" si="9"/>
        <v>#DIV/0!</v>
      </c>
      <c r="U92" t="e">
        <f t="shared" si="10"/>
        <v>#DIV/0!</v>
      </c>
      <c r="V92" t="e">
        <f t="shared" si="11"/>
        <v>#DIV/0!</v>
      </c>
      <c r="AC92" t="e">
        <f>AVERAGE(T92:T97)</f>
        <v>#DIV/0!</v>
      </c>
      <c r="AD92" t="e">
        <f>_xlfn.STDEV.S(T92:T97)</f>
        <v>#DIV/0!</v>
      </c>
      <c r="AE92" t="e">
        <f>AVERAGE(V92:V97)</f>
        <v>#DIV/0!</v>
      </c>
      <c r="AF92" t="e">
        <f>_xlfn.STDEV.S(V92:V97)</f>
        <v>#DIV/0!</v>
      </c>
    </row>
    <row r="93" spans="1:32" x14ac:dyDescent="0.3">
      <c r="Q93" t="e">
        <f t="shared" si="6"/>
        <v>#DIV/0!</v>
      </c>
      <c r="R93" t="e">
        <f t="shared" si="7"/>
        <v>#DIV/0!</v>
      </c>
      <c r="S93" t="e">
        <f t="shared" si="8"/>
        <v>#DIV/0!</v>
      </c>
      <c r="T93" t="e">
        <f t="shared" si="9"/>
        <v>#DIV/0!</v>
      </c>
      <c r="U93" t="e">
        <f t="shared" si="10"/>
        <v>#DIV/0!</v>
      </c>
      <c r="V93" t="e">
        <f t="shared" si="11"/>
        <v>#DIV/0!</v>
      </c>
    </row>
    <row r="94" spans="1:32" x14ac:dyDescent="0.3">
      <c r="Q94" t="e">
        <f t="shared" si="6"/>
        <v>#DIV/0!</v>
      </c>
      <c r="R94" t="e">
        <f t="shared" si="7"/>
        <v>#DIV/0!</v>
      </c>
      <c r="S94" t="e">
        <f t="shared" si="8"/>
        <v>#DIV/0!</v>
      </c>
      <c r="T94" t="e">
        <f t="shared" si="9"/>
        <v>#DIV/0!</v>
      </c>
      <c r="U94" t="e">
        <f t="shared" si="10"/>
        <v>#DIV/0!</v>
      </c>
      <c r="V94" t="e">
        <f t="shared" si="11"/>
        <v>#DIV/0!</v>
      </c>
    </row>
    <row r="95" spans="1:32" x14ac:dyDescent="0.3">
      <c r="Q95" t="e">
        <f t="shared" si="6"/>
        <v>#DIV/0!</v>
      </c>
      <c r="R95" t="e">
        <f t="shared" si="7"/>
        <v>#DIV/0!</v>
      </c>
      <c r="S95" t="e">
        <f t="shared" si="8"/>
        <v>#DIV/0!</v>
      </c>
      <c r="T95" t="e">
        <f t="shared" si="9"/>
        <v>#DIV/0!</v>
      </c>
      <c r="U95" t="e">
        <f t="shared" si="10"/>
        <v>#DIV/0!</v>
      </c>
      <c r="V95" t="e">
        <f t="shared" si="11"/>
        <v>#DIV/0!</v>
      </c>
    </row>
    <row r="96" spans="1:32" x14ac:dyDescent="0.3">
      <c r="Q96" t="e">
        <f t="shared" si="6"/>
        <v>#DIV/0!</v>
      </c>
      <c r="R96" t="e">
        <f t="shared" si="7"/>
        <v>#DIV/0!</v>
      </c>
      <c r="S96" t="e">
        <f t="shared" si="8"/>
        <v>#DIV/0!</v>
      </c>
      <c r="T96" t="e">
        <f t="shared" si="9"/>
        <v>#DIV/0!</v>
      </c>
      <c r="U96" t="e">
        <f t="shared" si="10"/>
        <v>#DIV/0!</v>
      </c>
      <c r="V96" t="e">
        <f t="shared" si="11"/>
        <v>#DIV/0!</v>
      </c>
    </row>
    <row r="97" spans="1:32" x14ac:dyDescent="0.3">
      <c r="Q97" t="e">
        <f t="shared" si="6"/>
        <v>#DIV/0!</v>
      </c>
      <c r="R97" t="e">
        <f t="shared" si="7"/>
        <v>#DIV/0!</v>
      </c>
      <c r="S97" t="e">
        <f t="shared" si="8"/>
        <v>#DIV/0!</v>
      </c>
      <c r="T97" t="e">
        <f t="shared" si="9"/>
        <v>#DIV/0!</v>
      </c>
      <c r="U97" t="e">
        <f t="shared" si="10"/>
        <v>#DIV/0!</v>
      </c>
      <c r="V97" t="e">
        <f t="shared" si="11"/>
        <v>#DIV/0!</v>
      </c>
    </row>
    <row r="99" spans="1:32" x14ac:dyDescent="0.3">
      <c r="A99" t="s">
        <v>34</v>
      </c>
    </row>
    <row r="100" spans="1:32" x14ac:dyDescent="0.3">
      <c r="A100" t="s">
        <v>23</v>
      </c>
    </row>
    <row r="101" spans="1:32" x14ac:dyDescent="0.3">
      <c r="Q101" t="e">
        <f t="shared" si="6"/>
        <v>#DIV/0!</v>
      </c>
      <c r="R101" t="e">
        <f t="shared" si="7"/>
        <v>#DIV/0!</v>
      </c>
      <c r="S101" t="e">
        <f t="shared" si="8"/>
        <v>#DIV/0!</v>
      </c>
      <c r="T101" t="e">
        <f t="shared" si="9"/>
        <v>#DIV/0!</v>
      </c>
      <c r="U101" t="e">
        <f t="shared" si="10"/>
        <v>#DIV/0!</v>
      </c>
      <c r="V101" t="e">
        <f t="shared" si="11"/>
        <v>#DIV/0!</v>
      </c>
      <c r="AC101" t="e">
        <f>AVERAGE(T101:T109)</f>
        <v>#DIV/0!</v>
      </c>
      <c r="AD101" t="e">
        <f>_xlfn.STDEV.S(T101:T109)</f>
        <v>#DIV/0!</v>
      </c>
      <c r="AE101" t="e">
        <f>AVERAGE(V101:V109)</f>
        <v>#DIV/0!</v>
      </c>
      <c r="AF101" t="e">
        <f>_xlfn.STDEV.S(V101:V109)</f>
        <v>#DIV/0!</v>
      </c>
    </row>
    <row r="102" spans="1:32" x14ac:dyDescent="0.3">
      <c r="Q102" t="e">
        <f t="shared" si="6"/>
        <v>#DIV/0!</v>
      </c>
      <c r="R102" t="e">
        <f t="shared" si="7"/>
        <v>#DIV/0!</v>
      </c>
      <c r="S102" t="e">
        <f t="shared" si="8"/>
        <v>#DIV/0!</v>
      </c>
      <c r="T102" t="e">
        <f t="shared" si="9"/>
        <v>#DIV/0!</v>
      </c>
      <c r="U102" t="e">
        <f t="shared" si="10"/>
        <v>#DIV/0!</v>
      </c>
      <c r="V102" t="e">
        <f t="shared" si="11"/>
        <v>#DIV/0!</v>
      </c>
    </row>
    <row r="103" spans="1:32" x14ac:dyDescent="0.3">
      <c r="Q103" t="e">
        <f t="shared" si="6"/>
        <v>#DIV/0!</v>
      </c>
      <c r="R103" t="e">
        <f t="shared" si="7"/>
        <v>#DIV/0!</v>
      </c>
      <c r="S103" t="e">
        <f t="shared" si="8"/>
        <v>#DIV/0!</v>
      </c>
      <c r="T103" t="e">
        <f t="shared" si="9"/>
        <v>#DIV/0!</v>
      </c>
      <c r="U103" t="e">
        <f t="shared" si="10"/>
        <v>#DIV/0!</v>
      </c>
      <c r="V103" t="e">
        <f t="shared" si="11"/>
        <v>#DIV/0!</v>
      </c>
    </row>
    <row r="104" spans="1:32" x14ac:dyDescent="0.3">
      <c r="Q104" t="e">
        <f t="shared" si="6"/>
        <v>#DIV/0!</v>
      </c>
      <c r="R104" t="e">
        <f t="shared" si="7"/>
        <v>#DIV/0!</v>
      </c>
      <c r="S104" t="e">
        <f t="shared" si="8"/>
        <v>#DIV/0!</v>
      </c>
      <c r="T104" t="e">
        <f t="shared" si="9"/>
        <v>#DIV/0!</v>
      </c>
      <c r="U104" t="e">
        <f t="shared" si="10"/>
        <v>#DIV/0!</v>
      </c>
      <c r="V104" t="e">
        <f t="shared" si="11"/>
        <v>#DIV/0!</v>
      </c>
    </row>
    <row r="105" spans="1:32" x14ac:dyDescent="0.3">
      <c r="Q105" t="e">
        <f t="shared" si="6"/>
        <v>#DIV/0!</v>
      </c>
      <c r="R105" t="e">
        <f t="shared" si="7"/>
        <v>#DIV/0!</v>
      </c>
      <c r="S105" t="e">
        <f t="shared" si="8"/>
        <v>#DIV/0!</v>
      </c>
      <c r="T105" t="e">
        <f t="shared" si="9"/>
        <v>#DIV/0!</v>
      </c>
      <c r="U105" t="e">
        <f t="shared" si="10"/>
        <v>#DIV/0!</v>
      </c>
      <c r="V105" t="e">
        <f t="shared" si="11"/>
        <v>#DIV/0!</v>
      </c>
    </row>
    <row r="106" spans="1:32" x14ac:dyDescent="0.3">
      <c r="Q106" t="e">
        <f t="shared" si="6"/>
        <v>#DIV/0!</v>
      </c>
      <c r="R106" t="e">
        <f t="shared" si="7"/>
        <v>#DIV/0!</v>
      </c>
      <c r="S106" t="e">
        <f t="shared" si="8"/>
        <v>#DIV/0!</v>
      </c>
      <c r="T106" t="e">
        <f t="shared" si="9"/>
        <v>#DIV/0!</v>
      </c>
      <c r="U106" t="e">
        <f t="shared" si="10"/>
        <v>#DIV/0!</v>
      </c>
      <c r="V106" t="e">
        <f t="shared" si="11"/>
        <v>#DIV/0!</v>
      </c>
    </row>
    <row r="107" spans="1:32" x14ac:dyDescent="0.3">
      <c r="Q107" t="e">
        <f t="shared" si="6"/>
        <v>#DIV/0!</v>
      </c>
      <c r="R107" t="e">
        <f t="shared" si="7"/>
        <v>#DIV/0!</v>
      </c>
      <c r="S107" t="e">
        <f t="shared" si="8"/>
        <v>#DIV/0!</v>
      </c>
      <c r="T107" t="e">
        <f t="shared" si="9"/>
        <v>#DIV/0!</v>
      </c>
      <c r="U107" t="e">
        <f t="shared" si="10"/>
        <v>#DIV/0!</v>
      </c>
      <c r="V107" t="e">
        <f t="shared" si="11"/>
        <v>#DIV/0!</v>
      </c>
    </row>
    <row r="108" spans="1:32" x14ac:dyDescent="0.3">
      <c r="Q108" t="e">
        <f t="shared" si="6"/>
        <v>#DIV/0!</v>
      </c>
      <c r="R108" t="e">
        <f t="shared" si="7"/>
        <v>#DIV/0!</v>
      </c>
      <c r="S108" t="e">
        <f t="shared" si="8"/>
        <v>#DIV/0!</v>
      </c>
      <c r="T108" t="e">
        <f t="shared" si="9"/>
        <v>#DIV/0!</v>
      </c>
      <c r="U108" t="e">
        <f t="shared" si="10"/>
        <v>#DIV/0!</v>
      </c>
      <c r="V108" t="e">
        <f t="shared" si="11"/>
        <v>#DIV/0!</v>
      </c>
    </row>
    <row r="109" spans="1:32" x14ac:dyDescent="0.3">
      <c r="Q109" t="e">
        <f t="shared" si="6"/>
        <v>#DIV/0!</v>
      </c>
      <c r="R109" t="e">
        <f t="shared" si="7"/>
        <v>#DIV/0!</v>
      </c>
      <c r="S109" t="e">
        <f t="shared" si="8"/>
        <v>#DIV/0!</v>
      </c>
      <c r="T109" t="e">
        <f t="shared" si="9"/>
        <v>#DIV/0!</v>
      </c>
      <c r="U109" t="e">
        <f t="shared" si="10"/>
        <v>#DIV/0!</v>
      </c>
      <c r="V109" t="e">
        <f t="shared" si="11"/>
        <v>#DIV/0!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5"/>
  <sheetViews>
    <sheetView topLeftCell="O1" workbookViewId="0">
      <selection activeCell="W3" sqref="W3:AF3"/>
    </sheetView>
  </sheetViews>
  <sheetFormatPr defaultRowHeight="14.4" x14ac:dyDescent="0.3"/>
  <cols>
    <col min="23" max="23" width="13.109375" customWidth="1"/>
  </cols>
  <sheetData>
    <row r="1" spans="1:32" x14ac:dyDescent="0.3">
      <c r="A1" t="s">
        <v>0</v>
      </c>
      <c r="Q1" t="s">
        <v>11</v>
      </c>
    </row>
    <row r="2" spans="1:32" x14ac:dyDescent="0.3">
      <c r="A2" t="s">
        <v>23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79</v>
      </c>
      <c r="X2" t="s">
        <v>54</v>
      </c>
      <c r="Y2" t="s">
        <v>7</v>
      </c>
      <c r="Z2" t="s">
        <v>55</v>
      </c>
      <c r="AA2" t="s">
        <v>9</v>
      </c>
      <c r="AB2" t="s">
        <v>56</v>
      </c>
      <c r="AC2" t="s">
        <v>1</v>
      </c>
      <c r="AD2" t="s">
        <v>17</v>
      </c>
      <c r="AE2" t="s">
        <v>19</v>
      </c>
      <c r="AF2" t="s">
        <v>20</v>
      </c>
    </row>
    <row r="3" spans="1:32" x14ac:dyDescent="0.3">
      <c r="B3">
        <v>69</v>
      </c>
      <c r="C3">
        <v>31</v>
      </c>
      <c r="D3">
        <v>15</v>
      </c>
      <c r="E3">
        <v>85</v>
      </c>
      <c r="G3">
        <v>88</v>
      </c>
      <c r="H3">
        <v>12</v>
      </c>
      <c r="I3">
        <v>20</v>
      </c>
      <c r="J3">
        <v>80</v>
      </c>
      <c r="L3">
        <v>70</v>
      </c>
      <c r="M3">
        <v>30</v>
      </c>
      <c r="N3">
        <v>38</v>
      </c>
      <c r="O3">
        <v>62</v>
      </c>
      <c r="Q3">
        <f>AVERAGE(C3:D3)</f>
        <v>23</v>
      </c>
      <c r="R3">
        <f>AVERAGE(H3:I3)</f>
        <v>16</v>
      </c>
      <c r="S3">
        <f>AVERAGE(M3:N3)</f>
        <v>34</v>
      </c>
      <c r="T3">
        <f>AVERAGE(Q3:S3)</f>
        <v>24.333333333333332</v>
      </c>
      <c r="U3">
        <f>MIN(Q3:S3)</f>
        <v>16</v>
      </c>
      <c r="V3">
        <f>T3-U3</f>
        <v>8.3333333333333321</v>
      </c>
      <c r="W3">
        <f>AVERAGE(Q3:Q5)</f>
        <v>23.666666666666668</v>
      </c>
      <c r="X3">
        <f>_xlfn.STDEV.S(Q3:Q5)</f>
        <v>2.0816659994661331</v>
      </c>
      <c r="Y3">
        <f>AVERAGE(R3:R5)</f>
        <v>14.833333333333334</v>
      </c>
      <c r="Z3">
        <f>_xlfn.STDEV.S(R3:R5)</f>
        <v>2.46644143115812</v>
      </c>
      <c r="AA3">
        <f>AVERAGE(S3:S5)</f>
        <v>30.666666666666668</v>
      </c>
      <c r="AB3">
        <f>_xlfn.STDEV.S(S3:S5)</f>
        <v>5.7735026918962511</v>
      </c>
      <c r="AC3">
        <f>AVERAGE(T3:T5)</f>
        <v>23.055555555555554</v>
      </c>
      <c r="AD3">
        <f>_xlfn.STDEV.S(T3:T5)</f>
        <v>1.9317042945237457</v>
      </c>
      <c r="AE3">
        <f>AVERAGE(V3:V5)</f>
        <v>8.2222222222222214</v>
      </c>
      <c r="AF3">
        <f>_xlfn.STDEV.S(V3:V5)</f>
        <v>3.8345408726083114</v>
      </c>
    </row>
    <row r="4" spans="1:32" x14ac:dyDescent="0.3">
      <c r="B4">
        <v>71</v>
      </c>
      <c r="C4">
        <v>29</v>
      </c>
      <c r="D4">
        <v>15</v>
      </c>
      <c r="E4">
        <v>85</v>
      </c>
      <c r="G4">
        <v>83</v>
      </c>
      <c r="H4">
        <v>17</v>
      </c>
      <c r="I4">
        <v>16</v>
      </c>
      <c r="J4">
        <v>84</v>
      </c>
      <c r="L4">
        <v>71</v>
      </c>
      <c r="M4">
        <v>29</v>
      </c>
      <c r="N4">
        <v>19</v>
      </c>
      <c r="O4">
        <v>81</v>
      </c>
      <c r="Q4">
        <f t="shared" ref="Q4:Q5" si="0">AVERAGE(C4:D4)</f>
        <v>22</v>
      </c>
      <c r="R4">
        <f t="shared" ref="R4:R5" si="1">AVERAGE(H4:I4)</f>
        <v>16.5</v>
      </c>
      <c r="S4">
        <f t="shared" ref="S4:S5" si="2">AVERAGE(M4:N4)</f>
        <v>24</v>
      </c>
      <c r="T4">
        <f t="shared" ref="T4:T5" si="3">AVERAGE(Q4:S4)</f>
        <v>20.833333333333332</v>
      </c>
      <c r="U4">
        <f t="shared" ref="U4:U5" si="4">MIN(Q4:S4)</f>
        <v>16.5</v>
      </c>
      <c r="V4">
        <f t="shared" ref="V4:V5" si="5">T4-U4</f>
        <v>4.3333333333333321</v>
      </c>
    </row>
    <row r="5" spans="1:32" x14ac:dyDescent="0.3">
      <c r="B5">
        <v>61</v>
      </c>
      <c r="C5">
        <v>39</v>
      </c>
      <c r="D5">
        <v>13</v>
      </c>
      <c r="E5">
        <v>87</v>
      </c>
      <c r="G5">
        <v>87</v>
      </c>
      <c r="H5">
        <v>13</v>
      </c>
      <c r="I5">
        <v>11</v>
      </c>
      <c r="J5">
        <v>89</v>
      </c>
      <c r="L5">
        <v>77</v>
      </c>
      <c r="M5">
        <v>23</v>
      </c>
      <c r="N5">
        <v>45</v>
      </c>
      <c r="O5">
        <v>55</v>
      </c>
      <c r="Q5">
        <f t="shared" si="0"/>
        <v>26</v>
      </c>
      <c r="R5">
        <f t="shared" si="1"/>
        <v>12</v>
      </c>
      <c r="S5">
        <f t="shared" si="2"/>
        <v>34</v>
      </c>
      <c r="T5">
        <f t="shared" si="3"/>
        <v>24</v>
      </c>
      <c r="U5">
        <f t="shared" si="4"/>
        <v>12</v>
      </c>
      <c r="V5">
        <f t="shared" si="5"/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Foglio1</vt:lpstr>
      <vt:lpstr>MIT_DIFF_ONLYMIN_STDAUG</vt:lpstr>
      <vt:lpstr>MIT_DIFF_ONLYMIN_NOAUG</vt:lpstr>
      <vt:lpstr>MIT_PARBS_DIFF_ONLYMIN_STDAUG</vt:lpstr>
      <vt:lpstr>MIT_DIFF_STDAUG</vt:lpstr>
      <vt:lpstr>MIT_DIFF_NOAUG</vt:lpstr>
      <vt:lpstr>MIT_PARBS_STDAUG</vt:lpstr>
      <vt:lpstr>MIT_PARBS_NOAUG</vt:lpstr>
      <vt:lpstr>MIT_STDAUG</vt:lpstr>
      <vt:lpstr>MIT_NOAUG</vt:lpstr>
      <vt:lpstr>STD_IMB_AUG</vt:lpstr>
      <vt:lpstr>STD_IMB_NOAUG</vt:lpstr>
      <vt:lpstr>DIFF</vt:lpstr>
      <vt:lpstr>STD_BAL_ADV_NOCLSDIV</vt:lpstr>
      <vt:lpstr>STD_BAL_ADV_CLSDIV</vt:lpstr>
      <vt:lpstr>STD_BAL_STDAUG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2025-12-30T16:45:30Z</dcterms:modified>
</cp:coreProperties>
</file>