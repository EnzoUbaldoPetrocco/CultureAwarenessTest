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1FE11428-08F8-47B4-A0CF-B34F2CDD58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E9" i="8"/>
  <c r="AB9" i="8"/>
  <c r="AA9" i="8"/>
  <c r="Z9" i="8"/>
  <c r="Y9" i="8"/>
  <c r="X9" i="8"/>
  <c r="W9" i="8"/>
  <c r="V9" i="8"/>
  <c r="U9" i="8"/>
  <c r="AC11" i="8"/>
  <c r="AD11" i="8" s="1"/>
  <c r="AC9" i="8"/>
  <c r="AD9" i="8" s="1"/>
  <c r="AC10" i="8"/>
  <c r="AD10" i="8"/>
  <c r="Q9" i="8"/>
  <c r="R9" i="8"/>
  <c r="S9" i="8"/>
  <c r="T9" i="8"/>
  <c r="Q10" i="8"/>
  <c r="T10" i="8" s="1"/>
  <c r="R10" i="8"/>
  <c r="S10" i="8"/>
  <c r="Q11" i="8"/>
  <c r="R11" i="8"/>
  <c r="S11" i="8"/>
  <c r="T11" i="8"/>
  <c r="AF9" i="19"/>
  <c r="AE9" i="19"/>
  <c r="AB9" i="19"/>
  <c r="AA9" i="19"/>
  <c r="Z9" i="19"/>
  <c r="Y9" i="19"/>
  <c r="X9" i="19"/>
  <c r="W9" i="19"/>
  <c r="V9" i="19"/>
  <c r="U9" i="19"/>
  <c r="Q9" i="19"/>
  <c r="R9" i="19"/>
  <c r="S9" i="19"/>
  <c r="T9" i="19"/>
  <c r="AC9" i="19"/>
  <c r="AD9" i="19" s="1"/>
  <c r="Q10" i="19"/>
  <c r="AC10" i="19" s="1"/>
  <c r="R10" i="19"/>
  <c r="S10" i="19"/>
  <c r="T10" i="19"/>
  <c r="AD10" i="19" s="1"/>
  <c r="AF13" i="16"/>
  <c r="AE13" i="16"/>
  <c r="AB13" i="16"/>
  <c r="AA13" i="16"/>
  <c r="Z13" i="16"/>
  <c r="Y13" i="16"/>
  <c r="X13" i="16"/>
  <c r="W13" i="16"/>
  <c r="V13" i="16"/>
  <c r="U13" i="16"/>
  <c r="Q13" i="16"/>
  <c r="R13" i="16"/>
  <c r="S13" i="16"/>
  <c r="T13" i="16"/>
  <c r="AC13" i="16"/>
  <c r="AD13" i="16"/>
  <c r="Q14" i="16"/>
  <c r="R14" i="16"/>
  <c r="S14" i="16"/>
  <c r="T14" i="16"/>
  <c r="AD14" i="16" s="1"/>
  <c r="AC14" i="16"/>
  <c r="Q15" i="16"/>
  <c r="R15" i="16"/>
  <c r="S15" i="16"/>
  <c r="T15" i="16"/>
  <c r="AC15" i="16"/>
  <c r="AD15" i="16"/>
  <c r="Q16" i="16"/>
  <c r="R16" i="16"/>
  <c r="S16" i="16"/>
  <c r="T16" i="16"/>
  <c r="AC16" i="16"/>
  <c r="AD16" i="16"/>
  <c r="AF4" i="17"/>
  <c r="AE4" i="17"/>
  <c r="AB4" i="17"/>
  <c r="AA4" i="17"/>
  <c r="Z4" i="17"/>
  <c r="Y4" i="17"/>
  <c r="X4" i="17"/>
  <c r="W4" i="17"/>
  <c r="V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E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5" i="17" l="1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AC16" i="5" s="1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F4" i="8" l="1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11" i="7" l="1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<sst xmlns="http://schemas.openxmlformats.org/spreadsheetml/2006/main" count="444" uniqueCount="72">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</sst>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topLeftCell="A2" workbookViewId="0">
      <selection activeCell="M11" sqref="M1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16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16" x14ac:dyDescent="0.3">
      <c r="D8" t="s">
        <v>50</v>
      </c>
    </row>
    <row r="9" spans="1:16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16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16" x14ac:dyDescent="0.3">
      <c r="C11" t="s">
        <v>71</v>
      </c>
      <c r="G11">
        <v>17.666666666666668</v>
      </c>
      <c r="H11">
        <v>2.3629078131263004</v>
      </c>
      <c r="I11">
        <v>12.333333333333334</v>
      </c>
      <c r="J11">
        <v>2.5166114784235849</v>
      </c>
      <c r="K11">
        <v>29.166666666666668</v>
      </c>
      <c r="L11">
        <v>5.2993710318615417</v>
      </c>
      <c r="M11">
        <v>19.722222222222225</v>
      </c>
      <c r="N11">
        <v>0.41943524640393165</v>
      </c>
      <c r="O11">
        <v>7.3888888888888893</v>
      </c>
      <c r="P11">
        <v>2.7504208432192381</v>
      </c>
    </row>
    <row r="12" spans="1:16" x14ac:dyDescent="0.3">
      <c r="B12" t="s">
        <v>55</v>
      </c>
    </row>
    <row r="13" spans="1:16" x14ac:dyDescent="0.3">
      <c r="C13" t="s">
        <v>4</v>
      </c>
      <c r="G13">
        <v>22.15</v>
      </c>
      <c r="H13">
        <v>1.8566696588844833</v>
      </c>
      <c r="I13">
        <v>15</v>
      </c>
      <c r="J13">
        <v>1.986062547968831</v>
      </c>
      <c r="K13">
        <v>30.5</v>
      </c>
      <c r="L13">
        <v>2.8674417556808756</v>
      </c>
      <c r="M13">
        <v>22.549999999999997</v>
      </c>
      <c r="N13">
        <v>1.0454191669220056</v>
      </c>
      <c r="O13">
        <v>7.5500000000000016</v>
      </c>
      <c r="P13">
        <v>2.3014354082336492</v>
      </c>
    </row>
    <row r="14" spans="1:16" x14ac:dyDescent="0.3">
      <c r="C14" t="s">
        <v>2</v>
      </c>
      <c r="F14" t="s">
        <v>21</v>
      </c>
      <c r="G14">
        <v>19</v>
      </c>
      <c r="H14">
        <v>2.2360679774997898</v>
      </c>
      <c r="I14">
        <v>11.1875</v>
      </c>
      <c r="J14">
        <v>2.2350695099449847</v>
      </c>
      <c r="K14">
        <v>26.6875</v>
      </c>
      <c r="L14">
        <v>3.0930509672028177</v>
      </c>
      <c r="M14">
        <v>18.958333333333332</v>
      </c>
      <c r="N14">
        <v>0.7955730688858863</v>
      </c>
      <c r="O14">
        <v>7.7708333333333339</v>
      </c>
      <c r="P14">
        <v>2.3936713848004882</v>
      </c>
    </row>
    <row r="15" spans="1:16" x14ac:dyDescent="0.3">
      <c r="A15" t="s">
        <v>62</v>
      </c>
    </row>
    <row r="16" spans="1:16" x14ac:dyDescent="0.3">
      <c r="B16" t="s">
        <v>3</v>
      </c>
    </row>
    <row r="17" spans="2:16" x14ac:dyDescent="0.3">
      <c r="C17" t="s">
        <v>4</v>
      </c>
      <c r="G17">
        <v>23.214285714285715</v>
      </c>
      <c r="H17">
        <v>2.6435005651777832</v>
      </c>
      <c r="I17">
        <v>11.071428571428571</v>
      </c>
      <c r="J17">
        <v>1.336306209562119</v>
      </c>
      <c r="K17">
        <v>35.642857142857146</v>
      </c>
      <c r="L17">
        <v>4.5434411125112195</v>
      </c>
      <c r="M17">
        <v>23.309523809523807</v>
      </c>
      <c r="N17">
        <v>1.5257923607235448</v>
      </c>
      <c r="O17">
        <v>12.238095238095239</v>
      </c>
      <c r="P17">
        <v>2.088010622527662</v>
      </c>
    </row>
    <row r="18" spans="2:16" x14ac:dyDescent="0.3">
      <c r="C18" t="s">
        <v>64</v>
      </c>
      <c r="F18" t="s">
        <v>21</v>
      </c>
      <c r="G18">
        <v>17.833333333333332</v>
      </c>
      <c r="H18">
        <v>3.125166662222457</v>
      </c>
      <c r="I18">
        <v>8.5833333333333339</v>
      </c>
      <c r="J18">
        <v>1.2416387021459434</v>
      </c>
      <c r="K18">
        <v>28.583333333333332</v>
      </c>
      <c r="L18">
        <v>3.6799003609699281</v>
      </c>
      <c r="M18">
        <v>18.333333333333332</v>
      </c>
      <c r="N18">
        <v>1.7763883459298975</v>
      </c>
      <c r="O18">
        <v>9.75</v>
      </c>
      <c r="P18">
        <v>1.0632758605157719</v>
      </c>
    </row>
    <row r="19" spans="2:16" x14ac:dyDescent="0.3">
      <c r="C19" t="s">
        <v>48</v>
      </c>
    </row>
    <row r="20" spans="2:16" x14ac:dyDescent="0.3">
      <c r="D20" t="s">
        <v>64</v>
      </c>
      <c r="G20">
        <v>18.75</v>
      </c>
      <c r="H20">
        <v>1.7559422921421233</v>
      </c>
      <c r="I20">
        <v>10.5</v>
      </c>
      <c r="J20">
        <v>2.2730302828309759</v>
      </c>
      <c r="K20">
        <v>27.125</v>
      </c>
      <c r="L20">
        <v>1.9311050377094112</v>
      </c>
      <c r="M20">
        <v>18.791666666666664</v>
      </c>
      <c r="N20">
        <v>1.1252571722516165</v>
      </c>
      <c r="O20">
        <v>8.2916666666666661</v>
      </c>
      <c r="P20">
        <v>1.1970256348008435</v>
      </c>
    </row>
    <row r="21" spans="2:16" x14ac:dyDescent="0.3">
      <c r="D21" t="s">
        <v>66</v>
      </c>
    </row>
    <row r="22" spans="2:16" x14ac:dyDescent="0.3">
      <c r="E22" t="s">
        <v>64</v>
      </c>
      <c r="G22">
        <v>17.375</v>
      </c>
      <c r="H22">
        <v>2.75</v>
      </c>
      <c r="I22">
        <v>10.375</v>
      </c>
      <c r="J22">
        <v>3.4490336810958131</v>
      </c>
      <c r="K22">
        <v>28.625</v>
      </c>
      <c r="L22">
        <v>3.0103986446980739</v>
      </c>
      <c r="M22">
        <v>18.791666666666668</v>
      </c>
      <c r="N22">
        <v>2.5725581734055121</v>
      </c>
      <c r="O22">
        <v>8.4166666666666679</v>
      </c>
      <c r="P22">
        <v>1.6583123951776941</v>
      </c>
    </row>
    <row r="24" spans="2:16" x14ac:dyDescent="0.3">
      <c r="B24" t="s">
        <v>65</v>
      </c>
    </row>
    <row r="25" spans="2:16" x14ac:dyDescent="0.3">
      <c r="C25" t="s">
        <v>4</v>
      </c>
      <c r="G25">
        <v>19.583333333333332</v>
      </c>
      <c r="H25">
        <v>2.3540744819709287</v>
      </c>
      <c r="I25">
        <v>13.916666666666666</v>
      </c>
      <c r="J25">
        <v>2.5380438661825075</v>
      </c>
      <c r="K25">
        <v>23</v>
      </c>
      <c r="L25">
        <v>5.196152422706632</v>
      </c>
      <c r="M25">
        <v>18.833333333333332</v>
      </c>
      <c r="N25">
        <v>1.8737959096740264</v>
      </c>
      <c r="O25">
        <v>4.916666666666667</v>
      </c>
      <c r="P25">
        <v>2.1337239225770932</v>
      </c>
    </row>
    <row r="26" spans="2:16" x14ac:dyDescent="0.3">
      <c r="C26" t="s">
        <v>64</v>
      </c>
      <c r="F26" t="s">
        <v>21</v>
      </c>
      <c r="G26">
        <v>21.1</v>
      </c>
      <c r="H26">
        <v>3.8307962618755846</v>
      </c>
      <c r="I26">
        <v>11.9</v>
      </c>
      <c r="J26">
        <v>3.7316216314090598</v>
      </c>
      <c r="K26">
        <v>24.4</v>
      </c>
      <c r="L26">
        <v>3.2093613071762355</v>
      </c>
      <c r="M26">
        <v>19.133333333333333</v>
      </c>
      <c r="N26">
        <v>1.8234582528810472</v>
      </c>
      <c r="O26">
        <v>7.2333333333333343</v>
      </c>
      <c r="P26">
        <v>3.1898275815473136</v>
      </c>
    </row>
    <row r="27" spans="2:16" x14ac:dyDescent="0.3">
      <c r="C27" t="s">
        <v>48</v>
      </c>
    </row>
    <row r="28" spans="2:16" x14ac:dyDescent="0.3">
      <c r="D28" t="s">
        <v>66</v>
      </c>
    </row>
    <row r="29" spans="2:16" x14ac:dyDescent="0.3">
      <c r="E29" t="s">
        <v>64</v>
      </c>
      <c r="G29">
        <v>17.5</v>
      </c>
      <c r="H29">
        <v>4.2720018726587652</v>
      </c>
      <c r="I29">
        <v>12.333333333333334</v>
      </c>
      <c r="J29">
        <v>1.2583057392117918</v>
      </c>
      <c r="K29">
        <v>25.666666666666668</v>
      </c>
      <c r="L29">
        <v>5.7518113089124689</v>
      </c>
      <c r="M29">
        <v>18.5</v>
      </c>
      <c r="N29">
        <v>3.3706247360261101</v>
      </c>
      <c r="O29">
        <v>6.166666666666667</v>
      </c>
      <c r="P29">
        <v>2.3154073315749666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0"/>
  <sheetViews>
    <sheetView topLeftCell="I1" workbookViewId="0">
      <selection activeCell="X13" sqref="X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" si="0">AVERAGE(C5,D5)</f>
        <v>18</v>
      </c>
      <c r="R5">
        <f t="shared" ref="R5" si="1">AVERAGE(H5,I5)</f>
        <v>9</v>
      </c>
      <c r="S5">
        <f t="shared" ref="S5" si="2">AVERAGE(M5,N5)</f>
        <v>26</v>
      </c>
      <c r="T5">
        <f t="shared" ref="T5" si="3">AVERAGE(Q5:S5)</f>
        <v>17.666666666666668</v>
      </c>
      <c r="AC5">
        <f t="shared" ref="AC5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  <row r="9" spans="1:32" x14ac:dyDescent="0.3">
      <c r="B9">
        <v>64</v>
      </c>
      <c r="C9">
        <v>36</v>
      </c>
      <c r="D9">
        <v>13</v>
      </c>
      <c r="E9">
        <v>87</v>
      </c>
      <c r="G9">
        <v>92</v>
      </c>
      <c r="H9">
        <v>8</v>
      </c>
      <c r="I9">
        <v>11</v>
      </c>
      <c r="J9">
        <v>89</v>
      </c>
      <c r="L9">
        <v>93</v>
      </c>
      <c r="M9">
        <v>7</v>
      </c>
      <c r="N9">
        <v>46</v>
      </c>
      <c r="O9">
        <v>54</v>
      </c>
      <c r="Q9">
        <f t="shared" ref="Q9:Q10" si="11">AVERAGE(C9,D9)</f>
        <v>24.5</v>
      </c>
      <c r="R9">
        <f t="shared" ref="R9:R10" si="12">AVERAGE(H9,I9)</f>
        <v>9.5</v>
      </c>
      <c r="S9">
        <f t="shared" ref="S9:S10" si="13">AVERAGE(M9,N9)</f>
        <v>26.5</v>
      </c>
      <c r="T9">
        <f t="shared" ref="T9:T10" si="14">AVERAGE(Q9:S9)</f>
        <v>20.166666666666668</v>
      </c>
      <c r="U9">
        <f>AVERAGE(Q9:Q12)</f>
        <v>22.25</v>
      </c>
      <c r="V9">
        <f>_xlfn.STDEV.S(Q9:Q12)</f>
        <v>3.1819805153394638</v>
      </c>
      <c r="W9">
        <f>AVERAGE(R9:R12)</f>
        <v>10.75</v>
      </c>
      <c r="X9">
        <f>_xlfn.STDEV.S(R9:R12)</f>
        <v>1.7677669529663689</v>
      </c>
      <c r="Y9">
        <f>AVERAGE(S9:S12)</f>
        <v>27</v>
      </c>
      <c r="Z9">
        <f>_xlfn.STDEV.S(S9:S12)</f>
        <v>0.70710678118654757</v>
      </c>
      <c r="AA9">
        <f>AVERAGE(T9:T12)</f>
        <v>20</v>
      </c>
      <c r="AB9">
        <f>_xlfn.STDEV.S(T9:T12)</f>
        <v>0.2357022603955175</v>
      </c>
      <c r="AC9">
        <f t="shared" ref="AC9:AC10" si="15">MIN(Q9:S9)</f>
        <v>9.5</v>
      </c>
      <c r="AD9">
        <f t="shared" ref="AD9:AD10" si="16">(T9-AC9)</f>
        <v>10.666666666666668</v>
      </c>
      <c r="AE9">
        <f>AVERAGE(AD9:AD12)</f>
        <v>9.25</v>
      </c>
      <c r="AF9">
        <f>_xlfn.STDEV.S(AD9:AD12)</f>
        <v>2.0034692133618837</v>
      </c>
    </row>
    <row r="10" spans="1:32" x14ac:dyDescent="0.3">
      <c r="B10">
        <v>82</v>
      </c>
      <c r="C10">
        <v>18</v>
      </c>
      <c r="D10">
        <v>22</v>
      </c>
      <c r="E10">
        <v>78</v>
      </c>
      <c r="G10">
        <v>89</v>
      </c>
      <c r="H10">
        <v>11</v>
      </c>
      <c r="I10">
        <v>13</v>
      </c>
      <c r="J10">
        <v>87</v>
      </c>
      <c r="L10">
        <v>75</v>
      </c>
      <c r="M10">
        <v>25</v>
      </c>
      <c r="N10">
        <v>30</v>
      </c>
      <c r="O10">
        <v>70</v>
      </c>
      <c r="Q10">
        <f t="shared" si="11"/>
        <v>20</v>
      </c>
      <c r="R10">
        <f t="shared" si="12"/>
        <v>12</v>
      </c>
      <c r="S10">
        <f t="shared" si="13"/>
        <v>27.5</v>
      </c>
      <c r="T10">
        <f t="shared" si="14"/>
        <v>19.833333333333332</v>
      </c>
      <c r="AC10">
        <f t="shared" si="15"/>
        <v>12</v>
      </c>
      <c r="AD10">
        <f t="shared" si="16"/>
        <v>7.8333333333333321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J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6"/>
  <sheetViews>
    <sheetView topLeftCell="J1" workbookViewId="0">
      <selection activeCell="AF13" activeCellId="2" sqref="U13:AB13 AE13 AF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" si="0">AVERAGE(C5,D5)</f>
        <v>16.5</v>
      </c>
      <c r="R5">
        <f t="shared" ref="R5" si="1">AVERAGE(H5,I5)</f>
        <v>11.5</v>
      </c>
      <c r="S5">
        <f t="shared" ref="S5" si="2">AVERAGE(M5,N5)</f>
        <v>28</v>
      </c>
      <c r="T5">
        <f t="shared" ref="T5" si="3">AVERAGE(Q5:S5)</f>
        <v>18.666666666666668</v>
      </c>
      <c r="AC5">
        <f t="shared" ref="AC5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  <row r="13" spans="1:32" x14ac:dyDescent="0.3">
      <c r="B13">
        <v>79</v>
      </c>
      <c r="C13">
        <v>21</v>
      </c>
      <c r="D13">
        <v>20</v>
      </c>
      <c r="E13">
        <v>80</v>
      </c>
      <c r="G13">
        <v>94</v>
      </c>
      <c r="H13">
        <v>6</v>
      </c>
      <c r="I13">
        <v>18</v>
      </c>
      <c r="J13">
        <v>82</v>
      </c>
      <c r="L13">
        <v>81</v>
      </c>
      <c r="M13">
        <v>19</v>
      </c>
      <c r="N13">
        <v>35</v>
      </c>
      <c r="O13">
        <v>65</v>
      </c>
      <c r="Q13">
        <f t="shared" ref="Q13:Q16" si="11">AVERAGE(C13,D13)</f>
        <v>20.5</v>
      </c>
      <c r="R13">
        <f t="shared" ref="R13:R16" si="12">AVERAGE(H13,I13)</f>
        <v>12</v>
      </c>
      <c r="S13">
        <f t="shared" ref="S13:S16" si="13">AVERAGE(M13,N13)</f>
        <v>27</v>
      </c>
      <c r="T13">
        <f t="shared" ref="T13:T16" si="14">AVERAGE(Q13:S13)</f>
        <v>19.833333333333332</v>
      </c>
      <c r="U13">
        <f>AVERAGE(Q13:Q20)</f>
        <v>18.75</v>
      </c>
      <c r="V13">
        <f>_xlfn.STDEV.S(Q13:Q20)</f>
        <v>1.7559422921421233</v>
      </c>
      <c r="W13">
        <f>AVERAGE(R13:R20)</f>
        <v>10.5</v>
      </c>
      <c r="X13">
        <f>_xlfn.STDEV.S(R13:R20)</f>
        <v>2.2730302828309759</v>
      </c>
      <c r="Y13">
        <f>AVERAGE(S13:S20)</f>
        <v>27.125</v>
      </c>
      <c r="Z13">
        <f>_xlfn.STDEV.S(S13:S20)</f>
        <v>1.9311050377094112</v>
      </c>
      <c r="AA13">
        <f>AVERAGE(T13:T20)</f>
        <v>18.791666666666664</v>
      </c>
      <c r="AB13">
        <f>_xlfn.STDEV.S(T13:T20)</f>
        <v>1.1252571722516165</v>
      </c>
      <c r="AC13">
        <f t="shared" ref="AC13:AC16" si="15">MIN(Q13:S13)</f>
        <v>12</v>
      </c>
      <c r="AD13">
        <f t="shared" ref="AD13:AD16" si="16">(T13-AC13)</f>
        <v>7.8333333333333321</v>
      </c>
      <c r="AE13">
        <f>AVERAGE(AD13:AD20)</f>
        <v>8.2916666666666661</v>
      </c>
      <c r="AF13">
        <f>_xlfn.STDEV.S(AD13:AD20)</f>
        <v>1.1970256348008435</v>
      </c>
    </row>
    <row r="14" spans="1:32" x14ac:dyDescent="0.3">
      <c r="B14">
        <v>78</v>
      </c>
      <c r="C14">
        <v>22</v>
      </c>
      <c r="D14">
        <v>13</v>
      </c>
      <c r="E14">
        <v>87</v>
      </c>
      <c r="G14">
        <v>96</v>
      </c>
      <c r="H14">
        <v>4</v>
      </c>
      <c r="I14">
        <v>16</v>
      </c>
      <c r="J14">
        <v>84</v>
      </c>
      <c r="L14">
        <v>93</v>
      </c>
      <c r="M14">
        <v>7</v>
      </c>
      <c r="N14">
        <v>49</v>
      </c>
      <c r="O14">
        <v>51</v>
      </c>
      <c r="Q14">
        <f t="shared" si="11"/>
        <v>17.5</v>
      </c>
      <c r="R14">
        <f t="shared" si="12"/>
        <v>10</v>
      </c>
      <c r="S14">
        <f t="shared" si="13"/>
        <v>28</v>
      </c>
      <c r="T14">
        <f t="shared" si="14"/>
        <v>18.5</v>
      </c>
      <c r="AC14">
        <f t="shared" si="15"/>
        <v>10</v>
      </c>
      <c r="AD14">
        <f t="shared" si="16"/>
        <v>8.5</v>
      </c>
    </row>
    <row r="15" spans="1:32" x14ac:dyDescent="0.3">
      <c r="B15">
        <v>69</v>
      </c>
      <c r="C15">
        <v>31</v>
      </c>
      <c r="D15">
        <v>9</v>
      </c>
      <c r="E15">
        <v>91</v>
      </c>
      <c r="G15">
        <v>94</v>
      </c>
      <c r="H15">
        <v>6</v>
      </c>
      <c r="I15">
        <v>9</v>
      </c>
      <c r="J15">
        <v>91</v>
      </c>
      <c r="L15">
        <v>80</v>
      </c>
      <c r="M15">
        <v>20</v>
      </c>
      <c r="N15">
        <v>29</v>
      </c>
      <c r="O15">
        <v>71</v>
      </c>
      <c r="Q15">
        <f t="shared" si="11"/>
        <v>20</v>
      </c>
      <c r="R15">
        <f t="shared" si="12"/>
        <v>7.5</v>
      </c>
      <c r="S15">
        <f t="shared" si="13"/>
        <v>24.5</v>
      </c>
      <c r="T15">
        <f t="shared" si="14"/>
        <v>17.333333333333332</v>
      </c>
      <c r="AC15">
        <f t="shared" si="15"/>
        <v>7.5</v>
      </c>
      <c r="AD15">
        <f t="shared" si="16"/>
        <v>9.8333333333333321</v>
      </c>
    </row>
    <row r="16" spans="1:32" x14ac:dyDescent="0.3">
      <c r="B16">
        <v>83</v>
      </c>
      <c r="C16">
        <v>17</v>
      </c>
      <c r="D16">
        <v>17</v>
      </c>
      <c r="E16">
        <v>83</v>
      </c>
      <c r="G16">
        <v>89</v>
      </c>
      <c r="H16">
        <v>11</v>
      </c>
      <c r="I16">
        <v>14</v>
      </c>
      <c r="J16">
        <v>86</v>
      </c>
      <c r="L16">
        <v>93</v>
      </c>
      <c r="M16">
        <v>7</v>
      </c>
      <c r="N16">
        <v>51</v>
      </c>
      <c r="O16">
        <v>49</v>
      </c>
      <c r="Q16">
        <f t="shared" si="11"/>
        <v>17</v>
      </c>
      <c r="R16">
        <f t="shared" si="12"/>
        <v>12.5</v>
      </c>
      <c r="S16">
        <f t="shared" si="13"/>
        <v>29</v>
      </c>
      <c r="T16">
        <f t="shared" si="14"/>
        <v>19.5</v>
      </c>
      <c r="AC16">
        <f t="shared" si="15"/>
        <v>12.5</v>
      </c>
      <c r="AD16">
        <f t="shared" si="16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11" si="0">AVERAGE(C3:D3)</f>
        <v>22.5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22.5</v>
      </c>
      <c r="AD3">
        <f t="shared" ref="AD3:AD11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  <row r="8" spans="1:32" x14ac:dyDescent="0.3">
      <c r="A8" t="s">
        <v>71</v>
      </c>
    </row>
    <row r="9" spans="1:32" x14ac:dyDescent="0.3">
      <c r="B9">
        <v>80</v>
      </c>
      <c r="C9">
        <v>20</v>
      </c>
      <c r="D9">
        <v>10</v>
      </c>
      <c r="E9">
        <v>90</v>
      </c>
      <c r="G9">
        <v>95</v>
      </c>
      <c r="H9">
        <v>5</v>
      </c>
      <c r="I9">
        <v>15</v>
      </c>
      <c r="J9">
        <v>85</v>
      </c>
      <c r="L9">
        <v>75</v>
      </c>
      <c r="M9">
        <v>25</v>
      </c>
      <c r="N9">
        <v>43</v>
      </c>
      <c r="O9">
        <v>57</v>
      </c>
      <c r="Q9">
        <f t="shared" ref="Q8:Q11" si="6">AVERAGE(C9:D9)</f>
        <v>15</v>
      </c>
      <c r="R9">
        <f t="shared" ref="R8:R11" si="7">AVERAGE(H9:I9)</f>
        <v>10</v>
      </c>
      <c r="S9">
        <f t="shared" ref="S8:S11" si="8">AVERAGE(M9:N9)</f>
        <v>34</v>
      </c>
      <c r="T9">
        <f t="shared" ref="T8:T11" si="9">AVERAGE(Q9:S9)</f>
        <v>19.666666666666668</v>
      </c>
      <c r="U9">
        <f>AVERAGE(Q9:Q12)</f>
        <v>17.666666666666668</v>
      </c>
      <c r="V9">
        <f>_xlfn.STDEV.S(Q9:Q12)</f>
        <v>2.3629078131263004</v>
      </c>
      <c r="W9">
        <f>AVERAGE(R9:R12)</f>
        <v>12.333333333333334</v>
      </c>
      <c r="X9">
        <f>_xlfn.STDEV.S(R9:R12)</f>
        <v>2.5166114784235849</v>
      </c>
      <c r="Y9">
        <f>AVERAGE(S9:S12)</f>
        <v>29.166666666666668</v>
      </c>
      <c r="Z9">
        <f>_xlfn.STDEV.S(S9:S12)</f>
        <v>5.2993710318615417</v>
      </c>
      <c r="AA9">
        <f>AVERAGE(T9:T12)</f>
        <v>19.722222222222225</v>
      </c>
      <c r="AB9">
        <f>_xlfn.STDEV.S(T9:T12)</f>
        <v>0.41943524640393165</v>
      </c>
      <c r="AC9">
        <f t="shared" ref="AC8:AC10" si="10">MIN(Q9:S9)</f>
        <v>10</v>
      </c>
      <c r="AD9">
        <f t="shared" ref="AD8:AD10" si="11">T9-AC9</f>
        <v>9.6666666666666679</v>
      </c>
      <c r="AE9">
        <f>AVERAGE(AD9:AD12)</f>
        <v>7.3888888888888893</v>
      </c>
      <c r="AF9">
        <f>_xlfn.STDEV.S(AD9:AD12)</f>
        <v>2.7504208432192381</v>
      </c>
    </row>
    <row r="10" spans="1:32" x14ac:dyDescent="0.3">
      <c r="B10">
        <v>77</v>
      </c>
      <c r="C10">
        <v>23</v>
      </c>
      <c r="D10">
        <v>14</v>
      </c>
      <c r="E10">
        <v>86</v>
      </c>
      <c r="G10">
        <v>92</v>
      </c>
      <c r="H10">
        <v>8</v>
      </c>
      <c r="I10">
        <v>16</v>
      </c>
      <c r="J10">
        <v>84</v>
      </c>
      <c r="L10">
        <v>87</v>
      </c>
      <c r="M10">
        <v>13</v>
      </c>
      <c r="N10">
        <v>47</v>
      </c>
      <c r="O10">
        <v>53</v>
      </c>
      <c r="Q10">
        <f t="shared" si="6"/>
        <v>18.5</v>
      </c>
      <c r="R10">
        <f t="shared" si="7"/>
        <v>12</v>
      </c>
      <c r="S10">
        <f t="shared" si="8"/>
        <v>30</v>
      </c>
      <c r="T10">
        <f t="shared" si="9"/>
        <v>20.166666666666668</v>
      </c>
      <c r="AC10">
        <f t="shared" si="10"/>
        <v>12</v>
      </c>
      <c r="AD10">
        <f t="shared" si="11"/>
        <v>8.1666666666666679</v>
      </c>
    </row>
    <row r="11" spans="1:32" x14ac:dyDescent="0.3">
      <c r="B11">
        <v>81</v>
      </c>
      <c r="C11">
        <v>19</v>
      </c>
      <c r="D11">
        <v>20</v>
      </c>
      <c r="E11">
        <v>80</v>
      </c>
      <c r="G11">
        <v>91</v>
      </c>
      <c r="H11">
        <v>9</v>
      </c>
      <c r="I11">
        <v>21</v>
      </c>
      <c r="J11">
        <v>79</v>
      </c>
      <c r="L11">
        <v>81</v>
      </c>
      <c r="M11">
        <v>19</v>
      </c>
      <c r="N11">
        <v>28</v>
      </c>
      <c r="O11">
        <v>72</v>
      </c>
      <c r="Q11">
        <f t="shared" si="6"/>
        <v>19.5</v>
      </c>
      <c r="R11">
        <f t="shared" si="7"/>
        <v>15</v>
      </c>
      <c r="S11">
        <f t="shared" si="8"/>
        <v>23.5</v>
      </c>
      <c r="T11">
        <f t="shared" si="9"/>
        <v>19.333333333333332</v>
      </c>
      <c r="AC11">
        <f t="shared" ref="AC11" si="12">MIN(Q11:S11)</f>
        <v>15</v>
      </c>
      <c r="AD11">
        <f t="shared" ref="AD11" si="13">T11-AC11</f>
        <v>4.3333333333333321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</v>
      </c>
      <c r="AJ12">
        <f>_xlfn.STDEV.S(Q16:Q24)</f>
        <v>1.5</v>
      </c>
      <c r="AK12">
        <f>AVERAGE(R16:R24)</f>
        <v>12.833333333333334</v>
      </c>
      <c r="AL12">
        <f>_xlfn.STDEV.S(R16:R24)</f>
        <v>3.0138568866708555</v>
      </c>
      <c r="AM12">
        <f>AVERAGE(S16:S24)</f>
        <v>29.5</v>
      </c>
      <c r="AN12">
        <f>_xlfn.STDEV.S(S16:S24)</f>
        <v>3.9686269665968861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AVERAGE(T16:T24)</f>
        <v>19.777777777777775</v>
      </c>
      <c r="AD16">
        <f>_xlfn.STDEV.S(T16:T24)</f>
        <v>2.0838888148345602</v>
      </c>
      <c r="AE16">
        <f>AVERAGE(V16:V18)</f>
        <v>6.9444444444444438</v>
      </c>
      <c r="AF16">
        <f>_xlfn.STDEV.S(V16:V24)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2026-01-28T18:44:28Z</dcterms:modified>
</cp:coreProperties>
</file>