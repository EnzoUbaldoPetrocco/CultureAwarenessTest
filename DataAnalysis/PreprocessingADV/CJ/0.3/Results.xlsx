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TryingToPackStuffBetter\PreprocessingADV\CJ\0.3\"/>
    </mc:Choice>
  </mc:AlternateContent>
  <xr:revisionPtr revIDLastSave="0" documentId="13_ncr:1_{D913D2FE-8A7A-46CB-82F6-2E75E08732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  <sheet name="ADV_NOCLSDIV" sheetId="4" r:id="rId2"/>
    <sheet name="ADV_CLSDIV" sheetId="3" r:id="rId3"/>
    <sheet name="NOAUG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4" l="1"/>
  <c r="R4" i="4"/>
  <c r="S4" i="4"/>
  <c r="Q5" i="4"/>
  <c r="R5" i="4"/>
  <c r="S5" i="4"/>
  <c r="T5" i="4" s="1"/>
  <c r="U5" i="4"/>
  <c r="Q6" i="4"/>
  <c r="R6" i="4"/>
  <c r="S6" i="4"/>
  <c r="T6" i="4"/>
  <c r="Q7" i="4"/>
  <c r="R7" i="4"/>
  <c r="S7" i="4"/>
  <c r="S3" i="4"/>
  <c r="R3" i="4"/>
  <c r="Q3" i="4"/>
  <c r="AC13" i="4"/>
  <c r="Z13" i="4"/>
  <c r="AC9" i="4"/>
  <c r="AA9" i="4"/>
  <c r="X9" i="4"/>
  <c r="AE13" i="3"/>
  <c r="AD13" i="3"/>
  <c r="AC13" i="3"/>
  <c r="AB13" i="3"/>
  <c r="AA13" i="3"/>
  <c r="Z13" i="3"/>
  <c r="Y13" i="3"/>
  <c r="X13" i="3"/>
  <c r="X9" i="3"/>
  <c r="Q4" i="3"/>
  <c r="R4" i="3"/>
  <c r="S4" i="3"/>
  <c r="Q5" i="3"/>
  <c r="R5" i="3"/>
  <c r="S5" i="3"/>
  <c r="Q6" i="3"/>
  <c r="R6" i="3"/>
  <c r="S6" i="3"/>
  <c r="Q7" i="3"/>
  <c r="R7" i="3"/>
  <c r="S7" i="3"/>
  <c r="T7" i="3"/>
  <c r="U7" i="3"/>
  <c r="Q9" i="3"/>
  <c r="Y9" i="3" s="1"/>
  <c r="R9" i="3"/>
  <c r="Z9" i="3" s="1"/>
  <c r="S9" i="3"/>
  <c r="T9" i="3" s="1"/>
  <c r="AE9" i="3" s="1"/>
  <c r="U9" i="3"/>
  <c r="Q10" i="3"/>
  <c r="U10" i="3" s="1"/>
  <c r="R10" i="3"/>
  <c r="S10" i="3"/>
  <c r="T10" i="3"/>
  <c r="Q13" i="3"/>
  <c r="T13" i="3" s="1"/>
  <c r="R13" i="3"/>
  <c r="S13" i="3"/>
  <c r="Q14" i="3"/>
  <c r="R14" i="3"/>
  <c r="S14" i="3"/>
  <c r="T14" i="3"/>
  <c r="U14" i="3"/>
  <c r="V14" i="3" s="1"/>
  <c r="S3" i="3"/>
  <c r="AC3" i="3" s="1"/>
  <c r="R3" i="3"/>
  <c r="Q3" i="3"/>
  <c r="Q3" i="2"/>
  <c r="R3" i="2"/>
  <c r="S3" i="2"/>
  <c r="Q4" i="2"/>
  <c r="R4" i="2"/>
  <c r="S4" i="2"/>
  <c r="Q5" i="2"/>
  <c r="R5" i="2"/>
  <c r="S5" i="2"/>
  <c r="Q6" i="2"/>
  <c r="R6" i="2"/>
  <c r="S6" i="2"/>
  <c r="Q7" i="2"/>
  <c r="R7" i="2"/>
  <c r="S7" i="2"/>
  <c r="Q8" i="2"/>
  <c r="R8" i="2"/>
  <c r="S8" i="2"/>
  <c r="Q9" i="2"/>
  <c r="R9" i="2"/>
  <c r="S9" i="2"/>
  <c r="Q10" i="2"/>
  <c r="R10" i="2"/>
  <c r="S10" i="2"/>
  <c r="T10" i="2"/>
  <c r="Q11" i="2"/>
  <c r="R11" i="2"/>
  <c r="S11" i="2"/>
  <c r="S2" i="2"/>
  <c r="R2" i="2"/>
  <c r="Q2" i="2"/>
  <c r="U2" i="2" s="1"/>
  <c r="V7" i="3" l="1"/>
  <c r="T4" i="3"/>
  <c r="U4" i="3"/>
  <c r="V4" i="3" s="1"/>
  <c r="T4" i="4"/>
  <c r="T7" i="4"/>
  <c r="U6" i="4"/>
  <c r="V6" i="4" s="1"/>
  <c r="U3" i="4"/>
  <c r="AA3" i="4"/>
  <c r="V5" i="4"/>
  <c r="T5" i="2"/>
  <c r="U10" i="2"/>
  <c r="AC2" i="2"/>
  <c r="AA2" i="2"/>
  <c r="T7" i="2"/>
  <c r="T3" i="4"/>
  <c r="V3" i="4" s="1"/>
  <c r="AB3" i="3"/>
  <c r="T6" i="3"/>
  <c r="AA3" i="3"/>
  <c r="T5" i="3"/>
  <c r="X3" i="3"/>
  <c r="U7" i="4"/>
  <c r="V7" i="4" s="1"/>
  <c r="U4" i="4"/>
  <c r="V4" i="4" s="1"/>
  <c r="AB2" i="2"/>
  <c r="U7" i="2"/>
  <c r="V7" i="2" s="1"/>
  <c r="T11" i="2"/>
  <c r="T6" i="2"/>
  <c r="V10" i="2"/>
  <c r="U5" i="2"/>
  <c r="V5" i="2" s="1"/>
  <c r="T9" i="2"/>
  <c r="T3" i="2"/>
  <c r="Z2" i="2"/>
  <c r="T4" i="2"/>
  <c r="T8" i="2"/>
  <c r="X2" i="2"/>
  <c r="U11" i="2"/>
  <c r="Y2" i="2"/>
  <c r="U4" i="2"/>
  <c r="U6" i="2"/>
  <c r="U3" i="2"/>
  <c r="T2" i="2"/>
  <c r="U9" i="2"/>
  <c r="U3" i="3"/>
  <c r="AA9" i="3"/>
  <c r="AB9" i="3"/>
  <c r="AC9" i="3"/>
  <c r="V10" i="3"/>
  <c r="T3" i="3"/>
  <c r="AD9" i="3"/>
  <c r="Y3" i="3"/>
  <c r="V9" i="3"/>
  <c r="U6" i="3"/>
  <c r="Z3" i="3"/>
  <c r="AC3" i="4"/>
  <c r="Z3" i="4"/>
  <c r="X3" i="4"/>
  <c r="AB9" i="4"/>
  <c r="Z9" i="4"/>
  <c r="Y9" i="4"/>
  <c r="X13" i="4"/>
  <c r="Y13" i="4"/>
  <c r="AE13" i="4"/>
  <c r="AD13" i="4"/>
  <c r="Y3" i="4"/>
  <c r="AA13" i="4"/>
  <c r="AB13" i="4"/>
  <c r="AB3" i="4"/>
  <c r="U13" i="3"/>
  <c r="V13" i="3" s="1"/>
  <c r="U5" i="3"/>
  <c r="V5" i="3" s="1"/>
  <c r="U8" i="2"/>
  <c r="V8" i="2" s="1"/>
  <c r="V11" i="2" l="1"/>
  <c r="V6" i="3"/>
  <c r="V9" i="2"/>
  <c r="V3" i="2"/>
  <c r="V6" i="2"/>
  <c r="V4" i="2"/>
  <c r="AE2" i="2"/>
  <c r="AD2" i="2"/>
  <c r="V2" i="2"/>
  <c r="AG13" i="3"/>
  <c r="AF13" i="3"/>
  <c r="AG9" i="3"/>
  <c r="AF9" i="3"/>
  <c r="V3" i="3"/>
  <c r="AD3" i="3"/>
  <c r="AE3" i="3"/>
  <c r="AG13" i="4"/>
  <c r="AF13" i="4"/>
  <c r="AE9" i="4"/>
  <c r="AD9" i="4"/>
  <c r="AE3" i="4"/>
  <c r="AD3" i="4"/>
  <c r="AG2" i="2" l="1"/>
  <c r="AF2" i="2"/>
  <c r="AG3" i="3"/>
  <c r="AF3" i="3"/>
  <c r="AF9" i="4"/>
  <c r="AG9" i="4"/>
  <c r="AF3" i="4"/>
  <c r="AG3" i="4"/>
</calcChain>
</file>

<file path=xl/sharedStrings.xml><?xml version="1.0" encoding="utf-8"?>
<sst xmlns="http://schemas.openxmlformats.org/spreadsheetml/2006/main" count="67" uniqueCount="22">
  <si>
    <t>ERR_i_0</t>
  </si>
  <si>
    <t>ERR_i_1</t>
  </si>
  <si>
    <t>ERR_i_2</t>
  </si>
  <si>
    <t>ERR_i</t>
  </si>
  <si>
    <t>MIN_i</t>
  </si>
  <si>
    <t>CIC_i</t>
  </si>
  <si>
    <t>ERR_0</t>
  </si>
  <si>
    <t>ERR_1</t>
  </si>
  <si>
    <t>ERR_2</t>
  </si>
  <si>
    <t>ERR_0_STD</t>
  </si>
  <si>
    <t>ERR_1_STD</t>
  </si>
  <si>
    <t>ERR_2_STD</t>
  </si>
  <si>
    <t>ERR</t>
  </si>
  <si>
    <t>ERR_STD</t>
  </si>
  <si>
    <t>CIC</t>
  </si>
  <si>
    <t>CIC_STD</t>
  </si>
  <si>
    <t>NOAUG</t>
  </si>
  <si>
    <t>eps=0.1</t>
  </si>
  <si>
    <t>eps=0.01</t>
  </si>
  <si>
    <t>eps=0.001</t>
  </si>
  <si>
    <t>ADV_CLSDIV</t>
  </si>
  <si>
    <t>ADV_NOCLSDIV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</si>
</sst>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B2" sqref="B2:K4"/>
    </sheetView>
  </sheetViews>
  <sheetFormatPr defaultRowHeight="14.4" x14ac:dyDescent="0.3"/>
  <sheetData>
    <row r="1" spans="1:11" x14ac:dyDescent="0.3">
      <c r="B1" t="s">
        <v>6</v>
      </c>
      <c r="C1" t="s">
        <v>9</v>
      </c>
      <c r="D1" t="s">
        <v>7</v>
      </c>
      <c r="E1" t="s">
        <v>10</v>
      </c>
      <c r="F1" t="s">
        <v>8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</row>
    <row r="2" spans="1:11" x14ac:dyDescent="0.3">
      <c r="A2" t="s">
        <v>16</v>
      </c>
      <c r="B2" s="1">
        <v>20.9</v>
      </c>
      <c r="C2" s="1">
        <v>2.9702225879927218</v>
      </c>
      <c r="D2" s="1">
        <v>12.8</v>
      </c>
      <c r="E2" s="1">
        <v>1.9321835661585891</v>
      </c>
      <c r="F2" s="1">
        <v>30.8</v>
      </c>
      <c r="G2" s="1">
        <v>1.6532795690182991</v>
      </c>
      <c r="H2" s="1">
        <v>21.499999999999996</v>
      </c>
      <c r="I2" s="1">
        <v>1.0452715401237105</v>
      </c>
      <c r="J2" s="1">
        <v>8.6999999999999993</v>
      </c>
      <c r="K2" s="1">
        <v>1.6588706555520989</v>
      </c>
    </row>
    <row r="3" spans="1:11" x14ac:dyDescent="0.3">
      <c r="A3" t="s">
        <v>20</v>
      </c>
      <c r="B3" s="1">
        <v>20.2</v>
      </c>
      <c r="C3" s="1">
        <v>2.8416544476765622</v>
      </c>
      <c r="D3" s="1">
        <v>14.1</v>
      </c>
      <c r="E3" s="1">
        <v>3.1304951684997073</v>
      </c>
      <c r="F3" s="1">
        <v>31.4</v>
      </c>
      <c r="G3" s="1">
        <v>3.7815340802378015</v>
      </c>
      <c r="H3" s="1">
        <v>21.900000000000002</v>
      </c>
      <c r="I3" s="1">
        <v>0.82158383625774856</v>
      </c>
      <c r="J3" s="1">
        <v>7.8</v>
      </c>
      <c r="K3" s="1">
        <v>2.9425046020921268</v>
      </c>
    </row>
    <row r="4" spans="1:11" x14ac:dyDescent="0.3">
      <c r="A4" t="s">
        <v>21</v>
      </c>
      <c r="B4" s="1">
        <v>20.8</v>
      </c>
      <c r="C4" s="1">
        <v>0.75828754440515511</v>
      </c>
      <c r="D4" s="1">
        <v>13.4</v>
      </c>
      <c r="E4" s="1">
        <v>0.65192024052026487</v>
      </c>
      <c r="F4" s="1">
        <v>31.9</v>
      </c>
      <c r="G4" s="1">
        <v>3.4532593299664014</v>
      </c>
      <c r="H4" s="1">
        <v>22.033333333333335</v>
      </c>
      <c r="I4" s="1">
        <v>1.31444961020869</v>
      </c>
      <c r="J4" s="1">
        <v>8.6333333333333346</v>
      </c>
      <c r="K4" s="1">
        <v>1.4643921757659104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F790C-5674-4FFE-AFAC-55716215CEA8}">
  <dimension ref="A1:AG13"/>
  <sheetViews>
    <sheetView topLeftCell="M1" workbookViewId="0">
      <selection activeCell="X3" sqref="X3:AG3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85</v>
      </c>
      <c r="C3">
        <v>15</v>
      </c>
      <c r="D3">
        <v>26</v>
      </c>
      <c r="E3">
        <v>74</v>
      </c>
      <c r="G3">
        <v>77</v>
      </c>
      <c r="H3">
        <v>23</v>
      </c>
      <c r="I3">
        <v>4</v>
      </c>
      <c r="J3">
        <v>96</v>
      </c>
      <c r="L3">
        <v>64</v>
      </c>
      <c r="M3">
        <v>36</v>
      </c>
      <c r="N3">
        <v>29</v>
      </c>
      <c r="O3">
        <v>71</v>
      </c>
      <c r="Q3">
        <f>AVERAGE(C3:D3)</f>
        <v>20.5</v>
      </c>
      <c r="R3">
        <f>AVERAGE(H3:I3)</f>
        <v>13.5</v>
      </c>
      <c r="S3">
        <f>AVERAGE(M3:N3)</f>
        <v>32.5</v>
      </c>
      <c r="T3">
        <f>AVERAGE(Q3:S3)</f>
        <v>22.166666666666668</v>
      </c>
      <c r="U3">
        <f>MIN(Q3:S3)</f>
        <v>13.5</v>
      </c>
      <c r="V3">
        <f>T3-U3</f>
        <v>8.6666666666666679</v>
      </c>
      <c r="X3">
        <f>AVERAGE(Q3:Q7)</f>
        <v>20.8</v>
      </c>
      <c r="Y3">
        <f>_xlfn.STDEV.S(Q3:Q7)</f>
        <v>0.75828754440515511</v>
      </c>
      <c r="Z3">
        <f>AVERAGE(R3:R7)</f>
        <v>13.4</v>
      </c>
      <c r="AA3">
        <f>_xlfn.STDEV.S(R3:R7)</f>
        <v>0.65192024052026487</v>
      </c>
      <c r="AB3">
        <f>AVERAGE(S3:S7)</f>
        <v>31.9</v>
      </c>
      <c r="AC3">
        <f>_xlfn.STDEV.S(S3:S7)</f>
        <v>3.4532593299664014</v>
      </c>
      <c r="AD3">
        <f>AVERAGE(T3:T7)</f>
        <v>22.033333333333335</v>
      </c>
      <c r="AE3">
        <f>_xlfn.STDEV.S(T3:T7)</f>
        <v>1.31444961020869</v>
      </c>
      <c r="AF3">
        <f>AVERAGE(V3:V7)</f>
        <v>8.6333333333333346</v>
      </c>
      <c r="AG3">
        <f>_xlfn.STDEV.S(V3:V7)</f>
        <v>1.4643921757659104</v>
      </c>
    </row>
    <row r="4" spans="1:33" x14ac:dyDescent="0.3">
      <c r="B4">
        <v>78</v>
      </c>
      <c r="C4">
        <v>22</v>
      </c>
      <c r="D4">
        <v>22</v>
      </c>
      <c r="E4">
        <v>78</v>
      </c>
      <c r="G4">
        <v>86</v>
      </c>
      <c r="H4">
        <v>14</v>
      </c>
      <c r="I4">
        <v>11</v>
      </c>
      <c r="J4">
        <v>89</v>
      </c>
      <c r="L4">
        <v>69</v>
      </c>
      <c r="M4">
        <v>31</v>
      </c>
      <c r="N4">
        <v>40</v>
      </c>
      <c r="O4">
        <v>60</v>
      </c>
      <c r="Q4">
        <f t="shared" ref="Q4:Q7" si="0">AVERAGE(C4:D4)</f>
        <v>22</v>
      </c>
      <c r="R4">
        <f t="shared" ref="R4:R7" si="1">AVERAGE(H4:I4)</f>
        <v>12.5</v>
      </c>
      <c r="S4">
        <f t="shared" ref="S4:S7" si="2">AVERAGE(M4:N4)</f>
        <v>35.5</v>
      </c>
      <c r="T4">
        <f t="shared" ref="T4:T7" si="3">AVERAGE(Q4:S4)</f>
        <v>23.333333333333332</v>
      </c>
      <c r="U4">
        <f t="shared" ref="U4:U7" si="4">MIN(Q4:S4)</f>
        <v>12.5</v>
      </c>
      <c r="V4">
        <f t="shared" ref="V4:V7" si="5">T4-U4</f>
        <v>10.833333333333332</v>
      </c>
    </row>
    <row r="5" spans="1:33" x14ac:dyDescent="0.3">
      <c r="B5">
        <v>88</v>
      </c>
      <c r="C5">
        <v>12</v>
      </c>
      <c r="D5">
        <v>29</v>
      </c>
      <c r="E5">
        <v>71</v>
      </c>
      <c r="G5">
        <v>86</v>
      </c>
      <c r="H5">
        <v>14</v>
      </c>
      <c r="I5">
        <v>12</v>
      </c>
      <c r="J5">
        <v>88</v>
      </c>
      <c r="L5">
        <v>73</v>
      </c>
      <c r="M5">
        <v>27</v>
      </c>
      <c r="N5">
        <v>26</v>
      </c>
      <c r="O5">
        <v>74</v>
      </c>
      <c r="Q5">
        <f t="shared" si="0"/>
        <v>20.5</v>
      </c>
      <c r="R5">
        <f t="shared" si="1"/>
        <v>13</v>
      </c>
      <c r="S5">
        <f t="shared" si="2"/>
        <v>26.5</v>
      </c>
      <c r="T5">
        <f t="shared" si="3"/>
        <v>20</v>
      </c>
      <c r="U5">
        <f t="shared" si="4"/>
        <v>13</v>
      </c>
      <c r="V5">
        <f t="shared" si="5"/>
        <v>7</v>
      </c>
    </row>
    <row r="6" spans="1:33" x14ac:dyDescent="0.3">
      <c r="B6">
        <v>91</v>
      </c>
      <c r="C6">
        <v>9</v>
      </c>
      <c r="D6">
        <v>31</v>
      </c>
      <c r="E6">
        <v>69</v>
      </c>
      <c r="G6">
        <v>83</v>
      </c>
      <c r="H6">
        <v>17</v>
      </c>
      <c r="I6">
        <v>11</v>
      </c>
      <c r="J6">
        <v>89</v>
      </c>
      <c r="L6">
        <v>68</v>
      </c>
      <c r="M6">
        <v>32</v>
      </c>
      <c r="N6">
        <v>30</v>
      </c>
      <c r="O6">
        <v>70</v>
      </c>
      <c r="Q6">
        <f t="shared" si="0"/>
        <v>20</v>
      </c>
      <c r="R6">
        <f t="shared" si="1"/>
        <v>14</v>
      </c>
      <c r="S6">
        <f t="shared" si="2"/>
        <v>31</v>
      </c>
      <c r="T6">
        <f t="shared" si="3"/>
        <v>21.666666666666668</v>
      </c>
      <c r="U6">
        <f t="shared" si="4"/>
        <v>14</v>
      </c>
      <c r="V6">
        <f t="shared" si="5"/>
        <v>7.6666666666666679</v>
      </c>
    </row>
    <row r="7" spans="1:33" x14ac:dyDescent="0.3">
      <c r="B7">
        <v>87</v>
      </c>
      <c r="C7">
        <v>13</v>
      </c>
      <c r="D7">
        <v>29</v>
      </c>
      <c r="E7">
        <v>71</v>
      </c>
      <c r="G7">
        <v>85</v>
      </c>
      <c r="H7">
        <v>15</v>
      </c>
      <c r="I7">
        <v>13</v>
      </c>
      <c r="J7">
        <v>87</v>
      </c>
      <c r="L7">
        <v>71</v>
      </c>
      <c r="M7">
        <v>29</v>
      </c>
      <c r="N7">
        <v>39</v>
      </c>
      <c r="O7">
        <v>61</v>
      </c>
      <c r="Q7">
        <f t="shared" si="0"/>
        <v>21</v>
      </c>
      <c r="R7">
        <f t="shared" si="1"/>
        <v>14</v>
      </c>
      <c r="S7">
        <f t="shared" si="2"/>
        <v>34</v>
      </c>
      <c r="T7">
        <f t="shared" si="3"/>
        <v>23</v>
      </c>
      <c r="U7">
        <f t="shared" si="4"/>
        <v>14</v>
      </c>
      <c r="V7">
        <f t="shared" si="5"/>
        <v>9</v>
      </c>
    </row>
    <row r="8" spans="1:33" x14ac:dyDescent="0.3">
      <c r="A8" t="s">
        <v>18</v>
      </c>
    </row>
    <row r="9" spans="1:33" x14ac:dyDescent="0.3">
      <c r="X9" t="e">
        <f>AVERAGE(Q9:Q10)</f>
        <v>#DIV/0!</v>
      </c>
      <c r="Y9" t="e">
        <f>_xlfn.STDEV.S(Q9:Q10)</f>
        <v>#DIV/0!</v>
      </c>
      <c r="Z9" t="e">
        <f>AVERAGE(R9:R10)</f>
        <v>#DIV/0!</v>
      </c>
      <c r="AA9" t="e">
        <f>_xlfn.STDEV.S(R9:R10)</f>
        <v>#DIV/0!</v>
      </c>
      <c r="AB9" t="e">
        <f>AVERAGE(S9:S10)</f>
        <v>#DIV/0!</v>
      </c>
      <c r="AC9" t="e">
        <f>_xlfn.STDEV.S(S9:S10)</f>
        <v>#DIV/0!</v>
      </c>
      <c r="AD9" t="e">
        <f>AVERAGE(T9:T10)</f>
        <v>#DIV/0!</v>
      </c>
      <c r="AE9" t="e">
        <f>_xlfn.STDEV.S(T9:T10)</f>
        <v>#DIV/0!</v>
      </c>
      <c r="AF9" t="e">
        <f>AVERAGE(V9:V10)</f>
        <v>#DIV/0!</v>
      </c>
      <c r="AG9" t="e">
        <f>_xlfn.STDEV.S(V9:V10)</f>
        <v>#DIV/0!</v>
      </c>
    </row>
    <row r="12" spans="1:33" x14ac:dyDescent="0.3">
      <c r="A12" t="s">
        <v>17</v>
      </c>
    </row>
    <row r="13" spans="1:33" x14ac:dyDescent="0.3">
      <c r="X13" t="e">
        <f>AVERAGE(Q13:Q14)</f>
        <v>#DIV/0!</v>
      </c>
      <c r="Y13" t="e">
        <f>_xlfn.STDEV.S(Q13:Q14)</f>
        <v>#DIV/0!</v>
      </c>
      <c r="Z13" t="e">
        <f>AVERAGE(R13:R14)</f>
        <v>#DIV/0!</v>
      </c>
      <c r="AA13" t="e">
        <f>_xlfn.STDEV.S(R13:R14)</f>
        <v>#DIV/0!</v>
      </c>
      <c r="AB13" t="e">
        <f>AVERAGE(S13:S14)</f>
        <v>#DIV/0!</v>
      </c>
      <c r="AC13" t="e">
        <f>_xlfn.STDEV.S(S13:S14)</f>
        <v>#DIV/0!</v>
      </c>
      <c r="AD13" t="e">
        <f>AVERAGE(T13:T14)</f>
        <v>#DIV/0!</v>
      </c>
      <c r="AE13" t="e">
        <f>_xlfn.STDEV.S(T13:T14)</f>
        <v>#DIV/0!</v>
      </c>
      <c r="AF13" t="e">
        <f>AVERAGE(V13:V14)</f>
        <v>#DIV/0!</v>
      </c>
      <c r="AG13" t="e">
        <f>_xlfn.STDEV.S(V13:V14)</f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E21E-9CB3-45CD-ADE0-EE4270AB04E7}">
  <dimension ref="A1:AG14"/>
  <sheetViews>
    <sheetView topLeftCell="Q1" workbookViewId="0">
      <selection activeCell="X3" sqref="X3:AG3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90</v>
      </c>
      <c r="C3">
        <v>10</v>
      </c>
      <c r="D3">
        <v>33</v>
      </c>
      <c r="E3">
        <v>67</v>
      </c>
      <c r="G3">
        <v>81</v>
      </c>
      <c r="H3">
        <v>19</v>
      </c>
      <c r="I3">
        <v>9</v>
      </c>
      <c r="J3">
        <v>91</v>
      </c>
      <c r="L3">
        <v>78</v>
      </c>
      <c r="M3">
        <v>22</v>
      </c>
      <c r="N3">
        <v>34</v>
      </c>
      <c r="O3">
        <v>66</v>
      </c>
      <c r="Q3">
        <f>AVERAGE(C3:D3)</f>
        <v>21.5</v>
      </c>
      <c r="R3">
        <f>AVERAGE(H3:I3)</f>
        <v>14</v>
      </c>
      <c r="S3">
        <f>AVERAGE(M3:N3)</f>
        <v>28</v>
      </c>
      <c r="T3">
        <f>AVERAGE(Q3:S3)</f>
        <v>21.166666666666668</v>
      </c>
      <c r="U3">
        <f>MIN(Q3:S3)</f>
        <v>14</v>
      </c>
      <c r="V3">
        <f>T3-U3</f>
        <v>7.1666666666666679</v>
      </c>
      <c r="X3">
        <f>AVERAGE(Q3:Q7)</f>
        <v>20.2</v>
      </c>
      <c r="Y3">
        <f>_xlfn.STDEV.S(Q3:Q7)</f>
        <v>2.8416544476765622</v>
      </c>
      <c r="Z3">
        <f>AVERAGE(R3:R7)</f>
        <v>14.1</v>
      </c>
      <c r="AA3">
        <f>_xlfn.STDEV.S(R3:R7)</f>
        <v>3.1304951684997073</v>
      </c>
      <c r="AB3">
        <f>AVERAGE(S3:S7)</f>
        <v>31.4</v>
      </c>
      <c r="AC3">
        <f>_xlfn.STDEV.S(S3:S7)</f>
        <v>3.7815340802378015</v>
      </c>
      <c r="AD3">
        <f>AVERAGE(T3:T7)</f>
        <v>21.900000000000002</v>
      </c>
      <c r="AE3">
        <f>_xlfn.STDEV.S(T3:T7)</f>
        <v>0.82158383625774856</v>
      </c>
      <c r="AF3">
        <f>AVERAGE(V3:V7)</f>
        <v>7.8</v>
      </c>
      <c r="AG3">
        <f>_xlfn.STDEV.S(V3:V7)</f>
        <v>2.9425046020921268</v>
      </c>
    </row>
    <row r="4" spans="1:33" x14ac:dyDescent="0.3">
      <c r="B4">
        <v>88</v>
      </c>
      <c r="C4">
        <v>12</v>
      </c>
      <c r="D4">
        <v>28</v>
      </c>
      <c r="E4">
        <v>72</v>
      </c>
      <c r="G4">
        <v>87</v>
      </c>
      <c r="H4">
        <v>13</v>
      </c>
      <c r="I4">
        <v>5</v>
      </c>
      <c r="J4">
        <v>95</v>
      </c>
      <c r="L4">
        <v>72</v>
      </c>
      <c r="M4">
        <v>28</v>
      </c>
      <c r="N4">
        <v>44</v>
      </c>
      <c r="O4">
        <v>56</v>
      </c>
      <c r="Q4">
        <f t="shared" ref="Q4:Q14" si="0">AVERAGE(C4:D4)</f>
        <v>20</v>
      </c>
      <c r="R4">
        <f t="shared" ref="R4:R14" si="1">AVERAGE(H4:I4)</f>
        <v>9</v>
      </c>
      <c r="S4">
        <f t="shared" ref="S4:S14" si="2">AVERAGE(M4:N4)</f>
        <v>36</v>
      </c>
      <c r="T4">
        <f t="shared" ref="T4:T14" si="3">AVERAGE(Q4:S4)</f>
        <v>21.666666666666668</v>
      </c>
      <c r="U4">
        <f t="shared" ref="U4:U14" si="4">MIN(Q4:S4)</f>
        <v>9</v>
      </c>
      <c r="V4">
        <f t="shared" ref="V4:V14" si="5">T4-U4</f>
        <v>12.666666666666668</v>
      </c>
    </row>
    <row r="5" spans="1:33" x14ac:dyDescent="0.3">
      <c r="B5">
        <v>83</v>
      </c>
      <c r="C5">
        <v>17</v>
      </c>
      <c r="D5">
        <v>25</v>
      </c>
      <c r="E5">
        <v>75</v>
      </c>
      <c r="G5">
        <v>78</v>
      </c>
      <c r="H5">
        <v>22</v>
      </c>
      <c r="I5">
        <v>8</v>
      </c>
      <c r="J5">
        <v>92</v>
      </c>
      <c r="L5">
        <v>71</v>
      </c>
      <c r="M5">
        <v>29</v>
      </c>
      <c r="N5">
        <v>37</v>
      </c>
      <c r="O5">
        <v>63</v>
      </c>
      <c r="Q5">
        <f t="shared" si="0"/>
        <v>21</v>
      </c>
      <c r="R5">
        <f t="shared" si="1"/>
        <v>15</v>
      </c>
      <c r="S5">
        <f t="shared" si="2"/>
        <v>33</v>
      </c>
      <c r="T5">
        <f t="shared" si="3"/>
        <v>23</v>
      </c>
      <c r="U5">
        <f t="shared" si="4"/>
        <v>15</v>
      </c>
      <c r="V5">
        <f t="shared" si="5"/>
        <v>8</v>
      </c>
    </row>
    <row r="6" spans="1:33" x14ac:dyDescent="0.3">
      <c r="B6">
        <v>85</v>
      </c>
      <c r="C6">
        <v>15</v>
      </c>
      <c r="D6">
        <v>16</v>
      </c>
      <c r="E6">
        <v>84</v>
      </c>
      <c r="G6">
        <v>77</v>
      </c>
      <c r="H6">
        <v>23</v>
      </c>
      <c r="I6">
        <v>7</v>
      </c>
      <c r="J6">
        <v>93</v>
      </c>
      <c r="L6">
        <v>68</v>
      </c>
      <c r="M6">
        <v>32</v>
      </c>
      <c r="N6">
        <v>34</v>
      </c>
      <c r="O6">
        <v>66</v>
      </c>
      <c r="Q6">
        <f t="shared" si="0"/>
        <v>15.5</v>
      </c>
      <c r="R6">
        <f t="shared" si="1"/>
        <v>15</v>
      </c>
      <c r="S6">
        <f t="shared" si="2"/>
        <v>33</v>
      </c>
      <c r="T6">
        <f t="shared" si="3"/>
        <v>21.166666666666668</v>
      </c>
      <c r="U6">
        <f t="shared" si="4"/>
        <v>15</v>
      </c>
      <c r="V6">
        <f t="shared" si="5"/>
        <v>6.1666666666666679</v>
      </c>
    </row>
    <row r="7" spans="1:33" x14ac:dyDescent="0.3">
      <c r="B7">
        <v>85</v>
      </c>
      <c r="C7">
        <v>15</v>
      </c>
      <c r="D7">
        <v>31</v>
      </c>
      <c r="E7">
        <v>69</v>
      </c>
      <c r="G7">
        <v>77</v>
      </c>
      <c r="H7">
        <v>23</v>
      </c>
      <c r="I7">
        <v>12</v>
      </c>
      <c r="J7">
        <v>88</v>
      </c>
      <c r="L7">
        <v>75</v>
      </c>
      <c r="M7">
        <v>25</v>
      </c>
      <c r="N7">
        <v>29</v>
      </c>
      <c r="O7">
        <v>71</v>
      </c>
      <c r="Q7">
        <f t="shared" si="0"/>
        <v>23</v>
      </c>
      <c r="R7">
        <f t="shared" si="1"/>
        <v>17.5</v>
      </c>
      <c r="S7">
        <f t="shared" si="2"/>
        <v>27</v>
      </c>
      <c r="T7">
        <f t="shared" si="3"/>
        <v>22.5</v>
      </c>
      <c r="U7">
        <f t="shared" si="4"/>
        <v>17.5</v>
      </c>
      <c r="V7">
        <f t="shared" si="5"/>
        <v>5</v>
      </c>
    </row>
    <row r="8" spans="1:33" x14ac:dyDescent="0.3">
      <c r="A8" t="s">
        <v>18</v>
      </c>
    </row>
    <row r="9" spans="1:33" x14ac:dyDescent="0.3">
      <c r="Q9" t="e">
        <f t="shared" si="0"/>
        <v>#DIV/0!</v>
      </c>
      <c r="R9" t="e">
        <f t="shared" si="1"/>
        <v>#DIV/0!</v>
      </c>
      <c r="S9" t="e">
        <f t="shared" si="2"/>
        <v>#DIV/0!</v>
      </c>
      <c r="T9" t="e">
        <f t="shared" si="3"/>
        <v>#DIV/0!</v>
      </c>
      <c r="U9" t="e">
        <f t="shared" si="4"/>
        <v>#DIV/0!</v>
      </c>
      <c r="V9" t="e">
        <f t="shared" si="5"/>
        <v>#DIV/0!</v>
      </c>
      <c r="X9" t="e">
        <f>AVERAGE(Q9:Q10)</f>
        <v>#DIV/0!</v>
      </c>
      <c r="Y9" t="e">
        <f>_xlfn.STDEV.S(Q9:Q10)</f>
        <v>#DIV/0!</v>
      </c>
      <c r="Z9" t="e">
        <f>AVERAGE(R9:R10)</f>
        <v>#DIV/0!</v>
      </c>
      <c r="AA9" t="e">
        <f>_xlfn.STDEV.S(R9:R10)</f>
        <v>#DIV/0!</v>
      </c>
      <c r="AB9" t="e">
        <f>AVERAGE(S9:S10)</f>
        <v>#DIV/0!</v>
      </c>
      <c r="AC9" t="e">
        <f>_xlfn.STDEV.S(S9:S10)</f>
        <v>#DIV/0!</v>
      </c>
      <c r="AD9" t="e">
        <f>AVERAGE(T9:T10)</f>
        <v>#DIV/0!</v>
      </c>
      <c r="AE9" t="e">
        <f>_xlfn.STDEV.S(T9:T10)</f>
        <v>#DIV/0!</v>
      </c>
      <c r="AF9" t="e">
        <f>AVERAGE(V9:V10)</f>
        <v>#DIV/0!</v>
      </c>
      <c r="AG9" t="e">
        <f>_xlfn.STDEV.S(V9:V10)</f>
        <v>#DIV/0!</v>
      </c>
    </row>
    <row r="10" spans="1:33" x14ac:dyDescent="0.3">
      <c r="Q10" t="e">
        <f t="shared" si="0"/>
        <v>#DIV/0!</v>
      </c>
      <c r="R10" t="e">
        <f t="shared" si="1"/>
        <v>#DIV/0!</v>
      </c>
      <c r="S10" t="e">
        <f t="shared" si="2"/>
        <v>#DIV/0!</v>
      </c>
      <c r="T10" t="e">
        <f t="shared" si="3"/>
        <v>#DIV/0!</v>
      </c>
      <c r="U10" t="e">
        <f t="shared" si="4"/>
        <v>#DIV/0!</v>
      </c>
      <c r="V10" t="e">
        <f t="shared" si="5"/>
        <v>#DIV/0!</v>
      </c>
    </row>
    <row r="12" spans="1:33" x14ac:dyDescent="0.3">
      <c r="A12" t="s">
        <v>17</v>
      </c>
    </row>
    <row r="13" spans="1:33" x14ac:dyDescent="0.3">
      <c r="Q13" t="e">
        <f t="shared" si="0"/>
        <v>#DIV/0!</v>
      </c>
      <c r="R13" t="e">
        <f t="shared" si="1"/>
        <v>#DIV/0!</v>
      </c>
      <c r="S13" t="e">
        <f t="shared" si="2"/>
        <v>#DIV/0!</v>
      </c>
      <c r="T13" t="e">
        <f t="shared" si="3"/>
        <v>#DIV/0!</v>
      </c>
      <c r="U13" t="e">
        <f t="shared" si="4"/>
        <v>#DIV/0!</v>
      </c>
      <c r="V13" t="e">
        <f t="shared" si="5"/>
        <v>#DIV/0!</v>
      </c>
      <c r="X13" t="e">
        <f>AVERAGE(Q13:Q14)</f>
        <v>#DIV/0!</v>
      </c>
      <c r="Y13" t="e">
        <f>_xlfn.STDEV.S(Q13:Q14)</f>
        <v>#DIV/0!</v>
      </c>
      <c r="Z13" t="e">
        <f>AVERAGE(R13:R14)</f>
        <v>#DIV/0!</v>
      </c>
      <c r="AA13" t="e">
        <f>_xlfn.STDEV.S(R13:R14)</f>
        <v>#DIV/0!</v>
      </c>
      <c r="AB13" t="e">
        <f>AVERAGE(S13:S14)</f>
        <v>#DIV/0!</v>
      </c>
      <c r="AC13" t="e">
        <f>_xlfn.STDEV.S(S13:S14)</f>
        <v>#DIV/0!</v>
      </c>
      <c r="AD13" t="e">
        <f>AVERAGE(T13:T14)</f>
        <v>#DIV/0!</v>
      </c>
      <c r="AE13" t="e">
        <f>_xlfn.STDEV.S(T13:T14)</f>
        <v>#DIV/0!</v>
      </c>
      <c r="AF13" t="e">
        <f>AVERAGE(V13:V14)</f>
        <v>#DIV/0!</v>
      </c>
      <c r="AG13" t="e">
        <f>_xlfn.STDEV.S(V13:V14)</f>
        <v>#DIV/0!</v>
      </c>
    </row>
    <row r="14" spans="1:33" x14ac:dyDescent="0.3">
      <c r="Q14" t="e">
        <f t="shared" si="0"/>
        <v>#DIV/0!</v>
      </c>
      <c r="R14" t="e">
        <f t="shared" si="1"/>
        <v>#DIV/0!</v>
      </c>
      <c r="S14" t="e">
        <f t="shared" si="2"/>
        <v>#DIV/0!</v>
      </c>
      <c r="T14" t="e">
        <f t="shared" si="3"/>
        <v>#DIV/0!</v>
      </c>
      <c r="U14" t="e">
        <f t="shared" si="4"/>
        <v>#DIV/0!</v>
      </c>
      <c r="V14" t="e">
        <f t="shared" si="5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2E050-0D53-43C0-B5FC-AD6D7416AA3A}">
  <dimension ref="B1:AG11"/>
  <sheetViews>
    <sheetView topLeftCell="T1" workbookViewId="0">
      <selection activeCell="X2" sqref="X2:AG2"/>
    </sheetView>
  </sheetViews>
  <sheetFormatPr defaultRowHeight="14.4" x14ac:dyDescent="0.3"/>
  <sheetData>
    <row r="1" spans="2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2:33" x14ac:dyDescent="0.3">
      <c r="B2">
        <v>90</v>
      </c>
      <c r="C2">
        <v>10</v>
      </c>
      <c r="D2">
        <v>30</v>
      </c>
      <c r="E2">
        <v>70</v>
      </c>
      <c r="G2">
        <v>83</v>
      </c>
      <c r="H2">
        <v>17</v>
      </c>
      <c r="I2">
        <v>9</v>
      </c>
      <c r="J2">
        <v>91</v>
      </c>
      <c r="L2">
        <v>68</v>
      </c>
      <c r="M2">
        <v>32</v>
      </c>
      <c r="N2">
        <v>28</v>
      </c>
      <c r="O2">
        <v>72</v>
      </c>
      <c r="Q2">
        <f>AVERAGE(C2:D2)</f>
        <v>20</v>
      </c>
      <c r="R2">
        <f>AVERAGE(H2:I2)</f>
        <v>13</v>
      </c>
      <c r="S2">
        <f>AVERAGE(M2:N2)</f>
        <v>30</v>
      </c>
      <c r="T2">
        <f>AVERAGE(Q2:S2)</f>
        <v>21</v>
      </c>
      <c r="U2">
        <f>MIN(Q2:S2)</f>
        <v>13</v>
      </c>
      <c r="V2">
        <f>T2-U2</f>
        <v>8</v>
      </c>
      <c r="X2">
        <f>AVERAGE(Q2:Q11)</f>
        <v>20.9</v>
      </c>
      <c r="Y2">
        <f>_xlfn.STDEV.S(Q2:Q11)</f>
        <v>2.9702225879927218</v>
      </c>
      <c r="Z2">
        <f>AVERAGE(R2:R11)</f>
        <v>12.8</v>
      </c>
      <c r="AA2">
        <f>_xlfn.STDEV.S(R2:R11)</f>
        <v>1.9321835661585891</v>
      </c>
      <c r="AB2">
        <f>AVERAGE(S2:S11)</f>
        <v>30.8</v>
      </c>
      <c r="AC2">
        <f>_xlfn.STDEV.S(S2:S11)</f>
        <v>1.6532795690182991</v>
      </c>
      <c r="AD2">
        <f>AVERAGE(T2:T11)</f>
        <v>21.499999999999996</v>
      </c>
      <c r="AE2">
        <f>_xlfn.STDEV.S(T2:T11)</f>
        <v>1.0452715401237105</v>
      </c>
      <c r="AF2">
        <f>AVERAGE(V2:V11)</f>
        <v>8.6999999999999993</v>
      </c>
      <c r="AG2">
        <f>_xlfn.STDEV.S(V2:V11)</f>
        <v>1.6588706555520989</v>
      </c>
    </row>
    <row r="3" spans="2:33" x14ac:dyDescent="0.3">
      <c r="B3">
        <v>83</v>
      </c>
      <c r="C3">
        <v>17</v>
      </c>
      <c r="D3">
        <v>27</v>
      </c>
      <c r="E3">
        <v>73</v>
      </c>
      <c r="G3">
        <v>88</v>
      </c>
      <c r="H3">
        <v>12</v>
      </c>
      <c r="I3">
        <v>8</v>
      </c>
      <c r="J3">
        <v>92</v>
      </c>
      <c r="L3">
        <v>73</v>
      </c>
      <c r="M3">
        <v>27</v>
      </c>
      <c r="N3">
        <v>35</v>
      </c>
      <c r="O3">
        <v>65</v>
      </c>
      <c r="Q3">
        <f t="shared" ref="Q3:Q11" si="0">AVERAGE(C3:D3)</f>
        <v>22</v>
      </c>
      <c r="R3">
        <f t="shared" ref="R3:R11" si="1">AVERAGE(H3:I3)</f>
        <v>10</v>
      </c>
      <c r="S3">
        <f t="shared" ref="S3:S11" si="2">AVERAGE(M3:N3)</f>
        <v>31</v>
      </c>
      <c r="T3">
        <f t="shared" ref="T3:T11" si="3">AVERAGE(Q3:S3)</f>
        <v>21</v>
      </c>
      <c r="U3">
        <f t="shared" ref="U3:U11" si="4">MIN(Q3:S3)</f>
        <v>10</v>
      </c>
      <c r="V3">
        <f t="shared" ref="V3:V11" si="5">T3-U3</f>
        <v>11</v>
      </c>
    </row>
    <row r="4" spans="2:33" x14ac:dyDescent="0.3">
      <c r="B4">
        <v>75</v>
      </c>
      <c r="C4">
        <v>25</v>
      </c>
      <c r="D4">
        <v>24</v>
      </c>
      <c r="E4">
        <v>76</v>
      </c>
      <c r="G4">
        <v>83</v>
      </c>
      <c r="H4">
        <v>17</v>
      </c>
      <c r="I4">
        <v>4</v>
      </c>
      <c r="J4">
        <v>96</v>
      </c>
      <c r="L4">
        <v>70</v>
      </c>
      <c r="M4">
        <v>30</v>
      </c>
      <c r="N4">
        <v>33</v>
      </c>
      <c r="O4">
        <v>67</v>
      </c>
      <c r="Q4">
        <f t="shared" si="0"/>
        <v>24.5</v>
      </c>
      <c r="R4">
        <f t="shared" si="1"/>
        <v>10.5</v>
      </c>
      <c r="S4">
        <f t="shared" si="2"/>
        <v>31.5</v>
      </c>
      <c r="T4">
        <f t="shared" si="3"/>
        <v>22.166666666666668</v>
      </c>
      <c r="U4">
        <f t="shared" si="4"/>
        <v>10.5</v>
      </c>
      <c r="V4">
        <f t="shared" si="5"/>
        <v>11.666666666666668</v>
      </c>
    </row>
    <row r="5" spans="2:33" x14ac:dyDescent="0.3">
      <c r="B5">
        <v>83</v>
      </c>
      <c r="C5">
        <v>17</v>
      </c>
      <c r="D5">
        <v>18</v>
      </c>
      <c r="E5">
        <v>82</v>
      </c>
      <c r="G5">
        <v>88</v>
      </c>
      <c r="H5">
        <v>12</v>
      </c>
      <c r="I5">
        <v>13</v>
      </c>
      <c r="J5">
        <v>87</v>
      </c>
      <c r="L5">
        <v>70</v>
      </c>
      <c r="M5">
        <v>30</v>
      </c>
      <c r="N5">
        <v>38</v>
      </c>
      <c r="O5">
        <v>62</v>
      </c>
      <c r="Q5">
        <f t="shared" si="0"/>
        <v>17.5</v>
      </c>
      <c r="R5">
        <f t="shared" si="1"/>
        <v>12.5</v>
      </c>
      <c r="S5">
        <f t="shared" si="2"/>
        <v>34</v>
      </c>
      <c r="T5">
        <f t="shared" si="3"/>
        <v>21.333333333333332</v>
      </c>
      <c r="U5">
        <f t="shared" si="4"/>
        <v>12.5</v>
      </c>
      <c r="V5">
        <f t="shared" si="5"/>
        <v>8.8333333333333321</v>
      </c>
    </row>
    <row r="6" spans="2:33" x14ac:dyDescent="0.3">
      <c r="B6">
        <v>84</v>
      </c>
      <c r="C6">
        <v>16</v>
      </c>
      <c r="D6">
        <v>24</v>
      </c>
      <c r="E6">
        <v>76</v>
      </c>
      <c r="G6">
        <v>84</v>
      </c>
      <c r="H6">
        <v>16</v>
      </c>
      <c r="I6">
        <v>10</v>
      </c>
      <c r="J6">
        <v>90</v>
      </c>
      <c r="L6">
        <v>76</v>
      </c>
      <c r="M6">
        <v>24</v>
      </c>
      <c r="N6">
        <v>38</v>
      </c>
      <c r="O6">
        <v>62</v>
      </c>
      <c r="Q6">
        <f t="shared" si="0"/>
        <v>20</v>
      </c>
      <c r="R6">
        <f t="shared" si="1"/>
        <v>13</v>
      </c>
      <c r="S6">
        <f t="shared" si="2"/>
        <v>31</v>
      </c>
      <c r="T6">
        <f t="shared" si="3"/>
        <v>21.333333333333332</v>
      </c>
      <c r="U6">
        <f t="shared" si="4"/>
        <v>13</v>
      </c>
      <c r="V6">
        <f t="shared" si="5"/>
        <v>8.3333333333333321</v>
      </c>
    </row>
    <row r="7" spans="2:33" x14ac:dyDescent="0.3">
      <c r="B7">
        <v>85</v>
      </c>
      <c r="C7">
        <v>15</v>
      </c>
      <c r="D7">
        <v>26</v>
      </c>
      <c r="E7">
        <v>74</v>
      </c>
      <c r="G7">
        <v>83</v>
      </c>
      <c r="H7">
        <v>17</v>
      </c>
      <c r="I7">
        <v>8</v>
      </c>
      <c r="J7">
        <v>92</v>
      </c>
      <c r="L7">
        <v>76</v>
      </c>
      <c r="M7">
        <v>24</v>
      </c>
      <c r="N7">
        <v>36</v>
      </c>
      <c r="O7">
        <v>64</v>
      </c>
      <c r="Q7">
        <f t="shared" si="0"/>
        <v>20.5</v>
      </c>
      <c r="R7">
        <f t="shared" si="1"/>
        <v>12.5</v>
      </c>
      <c r="S7">
        <f t="shared" si="2"/>
        <v>30</v>
      </c>
      <c r="T7">
        <f t="shared" si="3"/>
        <v>21</v>
      </c>
      <c r="U7">
        <f t="shared" si="4"/>
        <v>12.5</v>
      </c>
      <c r="V7">
        <f t="shared" si="5"/>
        <v>8.5</v>
      </c>
    </row>
    <row r="8" spans="2:33" x14ac:dyDescent="0.3">
      <c r="B8">
        <v>78</v>
      </c>
      <c r="C8">
        <v>22</v>
      </c>
      <c r="D8">
        <v>19</v>
      </c>
      <c r="E8">
        <v>81</v>
      </c>
      <c r="G8">
        <v>85</v>
      </c>
      <c r="H8">
        <v>15</v>
      </c>
      <c r="I8">
        <v>12</v>
      </c>
      <c r="J8">
        <v>88</v>
      </c>
      <c r="L8">
        <v>72</v>
      </c>
      <c r="M8">
        <v>28</v>
      </c>
      <c r="N8">
        <v>29</v>
      </c>
      <c r="O8">
        <v>71</v>
      </c>
      <c r="Q8">
        <f t="shared" si="0"/>
        <v>20.5</v>
      </c>
      <c r="R8">
        <f t="shared" si="1"/>
        <v>13.5</v>
      </c>
      <c r="S8">
        <f t="shared" si="2"/>
        <v>28.5</v>
      </c>
      <c r="T8">
        <f t="shared" si="3"/>
        <v>20.833333333333332</v>
      </c>
      <c r="U8">
        <f t="shared" si="4"/>
        <v>13.5</v>
      </c>
      <c r="V8">
        <f t="shared" si="5"/>
        <v>7.3333333333333321</v>
      </c>
    </row>
    <row r="9" spans="2:33" x14ac:dyDescent="0.3">
      <c r="B9">
        <v>83</v>
      </c>
      <c r="C9">
        <v>17</v>
      </c>
      <c r="D9">
        <v>31</v>
      </c>
      <c r="E9">
        <v>69</v>
      </c>
      <c r="G9">
        <v>78</v>
      </c>
      <c r="H9">
        <v>22</v>
      </c>
      <c r="I9">
        <v>12</v>
      </c>
      <c r="J9">
        <v>88</v>
      </c>
      <c r="L9">
        <v>72</v>
      </c>
      <c r="M9">
        <v>28</v>
      </c>
      <c r="N9">
        <v>35</v>
      </c>
      <c r="O9">
        <v>65</v>
      </c>
      <c r="Q9">
        <f t="shared" si="0"/>
        <v>24</v>
      </c>
      <c r="R9">
        <f t="shared" si="1"/>
        <v>17</v>
      </c>
      <c r="S9">
        <f t="shared" si="2"/>
        <v>31.5</v>
      </c>
      <c r="T9">
        <f t="shared" si="3"/>
        <v>24.166666666666668</v>
      </c>
      <c r="U9">
        <f t="shared" si="4"/>
        <v>17</v>
      </c>
      <c r="V9">
        <f t="shared" si="5"/>
        <v>7.1666666666666679</v>
      </c>
    </row>
    <row r="10" spans="2:33" x14ac:dyDescent="0.3">
      <c r="B10">
        <v>90</v>
      </c>
      <c r="C10">
        <v>10</v>
      </c>
      <c r="D10">
        <v>21</v>
      </c>
      <c r="E10">
        <v>79</v>
      </c>
      <c r="G10">
        <v>82</v>
      </c>
      <c r="H10">
        <v>18</v>
      </c>
      <c r="I10">
        <v>10</v>
      </c>
      <c r="J10">
        <v>90</v>
      </c>
      <c r="L10">
        <v>63</v>
      </c>
      <c r="M10">
        <v>37</v>
      </c>
      <c r="N10">
        <v>27</v>
      </c>
      <c r="O10">
        <v>73</v>
      </c>
      <c r="Q10">
        <f t="shared" si="0"/>
        <v>15.5</v>
      </c>
      <c r="R10">
        <f t="shared" si="1"/>
        <v>14</v>
      </c>
      <c r="S10">
        <f t="shared" si="2"/>
        <v>32</v>
      </c>
      <c r="T10">
        <f t="shared" si="3"/>
        <v>20.5</v>
      </c>
      <c r="U10">
        <f t="shared" si="4"/>
        <v>14</v>
      </c>
      <c r="V10">
        <f t="shared" si="5"/>
        <v>6.5</v>
      </c>
    </row>
    <row r="11" spans="2:33" x14ac:dyDescent="0.3">
      <c r="B11">
        <v>82</v>
      </c>
      <c r="C11">
        <v>18</v>
      </c>
      <c r="D11">
        <v>31</v>
      </c>
      <c r="E11">
        <v>69</v>
      </c>
      <c r="G11">
        <v>86</v>
      </c>
      <c r="H11">
        <v>14</v>
      </c>
      <c r="I11">
        <v>10</v>
      </c>
      <c r="J11">
        <v>90</v>
      </c>
      <c r="L11">
        <v>79</v>
      </c>
      <c r="M11">
        <v>21</v>
      </c>
      <c r="N11">
        <v>36</v>
      </c>
      <c r="O11">
        <v>64</v>
      </c>
      <c r="Q11">
        <f t="shared" si="0"/>
        <v>24.5</v>
      </c>
      <c r="R11">
        <f t="shared" si="1"/>
        <v>12</v>
      </c>
      <c r="S11">
        <f t="shared" si="2"/>
        <v>28.5</v>
      </c>
      <c r="T11">
        <f t="shared" si="3"/>
        <v>21.666666666666668</v>
      </c>
      <c r="U11">
        <f t="shared" si="4"/>
        <v>12</v>
      </c>
      <c r="V11">
        <f t="shared" si="5"/>
        <v>9.6666666666666679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Foglio1</vt:lpstr>
      <vt:lpstr>ADV_NOCLSDIV</vt:lpstr>
      <vt:lpstr>ADV_CLSDIV</vt:lpstr>
      <vt:lpstr>NOAUG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2026-03-18T17:35:40Z</dcterms:modified>
</cp:coreProperties>
</file>