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PreprocessingADV\LT\0.2\"/>
    </mc:Choice>
  </mc:AlternateContent>
  <xr:revisionPtr revIDLastSave="0" documentId="13_ncr:1_{314BFC67-B0E4-485A-B3BC-74B7EF9E9E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4" l="1"/>
  <c r="R11" i="4"/>
  <c r="S11" i="4"/>
  <c r="T11" i="4"/>
  <c r="U11" i="4"/>
  <c r="V11" i="4"/>
  <c r="Q15" i="4"/>
  <c r="R15" i="4"/>
  <c r="S15" i="4"/>
  <c r="T15" i="4"/>
  <c r="U15" i="4"/>
  <c r="V15" i="4"/>
  <c r="X13" i="4"/>
  <c r="Y9" i="4"/>
  <c r="X9" i="4"/>
  <c r="AG13" i="3"/>
  <c r="AF13" i="3"/>
  <c r="AE13" i="3"/>
  <c r="AD13" i="3"/>
  <c r="AC13" i="3"/>
  <c r="AB13" i="3"/>
  <c r="AA13" i="3"/>
  <c r="Z13" i="3"/>
  <c r="Y13" i="3"/>
  <c r="X13" i="3"/>
  <c r="AG9" i="3"/>
  <c r="AF9" i="3"/>
  <c r="AE9" i="3"/>
  <c r="AD9" i="3"/>
  <c r="AC9" i="3"/>
  <c r="AB9" i="3"/>
  <c r="AA9" i="3"/>
  <c r="Z9" i="3"/>
  <c r="Y9" i="3"/>
  <c r="X9" i="3"/>
  <c r="Q15" i="3"/>
  <c r="R15" i="3"/>
  <c r="S15" i="3"/>
  <c r="T15" i="3"/>
  <c r="U15" i="3"/>
  <c r="V15" i="3"/>
  <c r="Q11" i="3"/>
  <c r="R11" i="3"/>
  <c r="S11" i="3"/>
  <c r="T11" i="3" s="1"/>
  <c r="V11" i="3" s="1"/>
  <c r="U11" i="3"/>
  <c r="AG2" i="2"/>
  <c r="AF2" i="2"/>
  <c r="AE2" i="2"/>
  <c r="AD2" i="2"/>
  <c r="AC2" i="2"/>
  <c r="AB2" i="2"/>
  <c r="AA2" i="2"/>
  <c r="Z2" i="2"/>
  <c r="Y2" i="2"/>
  <c r="X2" i="2"/>
  <c r="Q12" i="2"/>
  <c r="R12" i="2"/>
  <c r="S12" i="2"/>
  <c r="T12" i="2"/>
  <c r="V12" i="2" s="1"/>
  <c r="U12" i="2"/>
  <c r="Q13" i="2"/>
  <c r="R13" i="2"/>
  <c r="S13" i="2"/>
  <c r="T13" i="2"/>
  <c r="U13" i="2"/>
  <c r="V13" i="2"/>
  <c r="Q14" i="2"/>
  <c r="R14" i="2"/>
  <c r="S14" i="2"/>
  <c r="T14" i="2"/>
  <c r="U14" i="2"/>
  <c r="V14" i="2"/>
  <c r="Q15" i="2"/>
  <c r="T15" i="2" s="1"/>
  <c r="R15" i="2"/>
  <c r="S15" i="2"/>
  <c r="Q16" i="2"/>
  <c r="R16" i="2"/>
  <c r="S16" i="2"/>
  <c r="T16" i="2"/>
  <c r="U16" i="2"/>
  <c r="V16" i="2"/>
  <c r="Q17" i="2"/>
  <c r="R17" i="2"/>
  <c r="S17" i="2"/>
  <c r="T17" i="2"/>
  <c r="U17" i="2"/>
  <c r="V17" i="2"/>
  <c r="Q18" i="2"/>
  <c r="T18" i="2" s="1"/>
  <c r="R18" i="2"/>
  <c r="S18" i="2"/>
  <c r="Q19" i="2"/>
  <c r="R19" i="2"/>
  <c r="S19" i="2"/>
  <c r="T19" i="2"/>
  <c r="U19" i="2"/>
  <c r="V19" i="2"/>
  <c r="Q20" i="2"/>
  <c r="R20" i="2"/>
  <c r="S20" i="2"/>
  <c r="T20" i="2"/>
  <c r="V20" i="2" s="1"/>
  <c r="U20" i="2"/>
  <c r="Q21" i="2"/>
  <c r="R21" i="2"/>
  <c r="S21" i="2"/>
  <c r="T21" i="2"/>
  <c r="U21" i="2"/>
  <c r="V21" i="2"/>
  <c r="S14" i="4"/>
  <c r="R14" i="4"/>
  <c r="Q14" i="4"/>
  <c r="S13" i="4"/>
  <c r="R13" i="4"/>
  <c r="AA13" i="4" s="1"/>
  <c r="Q13" i="4"/>
  <c r="S10" i="4"/>
  <c r="R10" i="4"/>
  <c r="Q10" i="4"/>
  <c r="S9" i="4"/>
  <c r="R9" i="4"/>
  <c r="AA9" i="4" s="1"/>
  <c r="Q9" i="4"/>
  <c r="S7" i="4"/>
  <c r="R7" i="4"/>
  <c r="Q7" i="4"/>
  <c r="U7" i="4" s="1"/>
  <c r="S6" i="4"/>
  <c r="R6" i="4"/>
  <c r="Q6" i="4"/>
  <c r="S5" i="4"/>
  <c r="R5" i="4"/>
  <c r="Q5" i="4"/>
  <c r="U5" i="4" s="1"/>
  <c r="S4" i="4"/>
  <c r="R4" i="4"/>
  <c r="Q4" i="4"/>
  <c r="S3" i="4"/>
  <c r="R3" i="4"/>
  <c r="Q3" i="4"/>
  <c r="Q4" i="3"/>
  <c r="R4" i="3"/>
  <c r="S4" i="3"/>
  <c r="T4" i="3"/>
  <c r="Q5" i="3"/>
  <c r="R5" i="3"/>
  <c r="S5" i="3"/>
  <c r="Q6" i="3"/>
  <c r="R6" i="3"/>
  <c r="S6" i="3"/>
  <c r="Q7" i="3"/>
  <c r="R7" i="3"/>
  <c r="S7" i="3"/>
  <c r="Q9" i="3"/>
  <c r="R9" i="3"/>
  <c r="S9" i="3"/>
  <c r="Q10" i="3"/>
  <c r="R10" i="3"/>
  <c r="S10" i="3"/>
  <c r="Q13" i="3"/>
  <c r="R13" i="3"/>
  <c r="S13" i="3"/>
  <c r="Q14" i="3"/>
  <c r="R14" i="3"/>
  <c r="S14" i="3"/>
  <c r="S3" i="3"/>
  <c r="R3" i="3"/>
  <c r="Q3" i="3"/>
  <c r="Q3" i="2"/>
  <c r="R3" i="2"/>
  <c r="S3" i="2"/>
  <c r="Q4" i="2"/>
  <c r="R4" i="2"/>
  <c r="S4" i="2"/>
  <c r="Q5" i="2"/>
  <c r="R5" i="2"/>
  <c r="S5" i="2"/>
  <c r="Q6" i="2"/>
  <c r="R6" i="2"/>
  <c r="S6" i="2"/>
  <c r="T6" i="2"/>
  <c r="U6" i="2"/>
  <c r="Q7" i="2"/>
  <c r="R7" i="2"/>
  <c r="S7" i="2"/>
  <c r="Q8" i="2"/>
  <c r="R8" i="2"/>
  <c r="S8" i="2"/>
  <c r="Q9" i="2"/>
  <c r="R9" i="2"/>
  <c r="S9" i="2"/>
  <c r="U9" i="2"/>
  <c r="Q10" i="2"/>
  <c r="R10" i="2"/>
  <c r="S10" i="2"/>
  <c r="Q11" i="2"/>
  <c r="R11" i="2"/>
  <c r="S11" i="2"/>
  <c r="T11" i="2"/>
  <c r="S2" i="2"/>
  <c r="R2" i="2"/>
  <c r="Q2" i="2"/>
  <c r="T4" i="4" l="1"/>
  <c r="AC9" i="4"/>
  <c r="AB9" i="4"/>
  <c r="Z9" i="4"/>
  <c r="AC13" i="4"/>
  <c r="AB13" i="4"/>
  <c r="T14" i="4"/>
  <c r="Z13" i="4"/>
  <c r="Y13" i="4"/>
  <c r="T3" i="3"/>
  <c r="U18" i="2"/>
  <c r="V18" i="2" s="1"/>
  <c r="U15" i="2"/>
  <c r="V15" i="2" s="1"/>
  <c r="T5" i="2"/>
  <c r="T13" i="4"/>
  <c r="U14" i="3"/>
  <c r="T14" i="3"/>
  <c r="U4" i="3"/>
  <c r="V4" i="3" s="1"/>
  <c r="AC3" i="3"/>
  <c r="T8" i="2"/>
  <c r="T9" i="2"/>
  <c r="V9" i="2" s="1"/>
  <c r="T13" i="3"/>
  <c r="T10" i="3"/>
  <c r="U9" i="3"/>
  <c r="U10" i="3"/>
  <c r="T9" i="3"/>
  <c r="AB3" i="3"/>
  <c r="U7" i="3"/>
  <c r="T7" i="3"/>
  <c r="Z3" i="3"/>
  <c r="AA3" i="3"/>
  <c r="T6" i="3"/>
  <c r="T5" i="3"/>
  <c r="AD3" i="3" s="1"/>
  <c r="U6" i="3"/>
  <c r="V6" i="3" s="1"/>
  <c r="U3" i="3"/>
  <c r="V3" i="3" s="1"/>
  <c r="X3" i="3"/>
  <c r="Y3" i="3"/>
  <c r="AA3" i="4"/>
  <c r="U11" i="2"/>
  <c r="V11" i="2" s="1"/>
  <c r="U2" i="2"/>
  <c r="T4" i="2"/>
  <c r="U5" i="2"/>
  <c r="V5" i="2" s="1"/>
  <c r="T3" i="2"/>
  <c r="V6" i="2"/>
  <c r="U7" i="2"/>
  <c r="T10" i="2"/>
  <c r="U4" i="2"/>
  <c r="U10" i="2"/>
  <c r="T7" i="2"/>
  <c r="V7" i="2" s="1"/>
  <c r="U3" i="2"/>
  <c r="T2" i="2"/>
  <c r="AC3" i="4"/>
  <c r="U6" i="4"/>
  <c r="Z3" i="4"/>
  <c r="T6" i="4"/>
  <c r="X3" i="4"/>
  <c r="U10" i="4"/>
  <c r="U14" i="4"/>
  <c r="V14" i="4" s="1"/>
  <c r="U13" i="4"/>
  <c r="T3" i="4"/>
  <c r="U4" i="4"/>
  <c r="T7" i="4"/>
  <c r="V7" i="4" s="1"/>
  <c r="Y3" i="4"/>
  <c r="U3" i="4"/>
  <c r="T5" i="4"/>
  <c r="V5" i="4" s="1"/>
  <c r="AB3" i="4"/>
  <c r="T9" i="4"/>
  <c r="T10" i="4"/>
  <c r="U9" i="4"/>
  <c r="U13" i="3"/>
  <c r="U5" i="3"/>
  <c r="U8" i="2"/>
  <c r="V4" i="4" l="1"/>
  <c r="AE9" i="4"/>
  <c r="AD9" i="4"/>
  <c r="V13" i="4"/>
  <c r="AF13" i="4"/>
  <c r="AG13" i="4"/>
  <c r="AD13" i="4"/>
  <c r="AE13" i="4"/>
  <c r="V14" i="3"/>
  <c r="V9" i="3"/>
  <c r="V7" i="3"/>
  <c r="V10" i="3"/>
  <c r="V5" i="3"/>
  <c r="V8" i="2"/>
  <c r="V10" i="2"/>
  <c r="V3" i="2"/>
  <c r="V4" i="2"/>
  <c r="V6" i="4"/>
  <c r="V13" i="3"/>
  <c r="AE3" i="3"/>
  <c r="V2" i="2"/>
  <c r="AF3" i="3"/>
  <c r="AG3" i="3"/>
  <c r="V10" i="4"/>
  <c r="V9" i="4"/>
  <c r="AE3" i="4"/>
  <c r="AD3" i="4"/>
  <c r="V3" i="4"/>
  <c r="AF9" i="4" l="1"/>
  <c r="AG9" i="4"/>
  <c r="AF3" i="4"/>
  <c r="AG3" i="4"/>
</calcChain>
</file>

<file path=xl/sharedStrings.xml><?xml version="1.0" encoding="utf-8"?>
<sst xmlns="http://schemas.openxmlformats.org/spreadsheetml/2006/main" count="67" uniqueCount="22">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</sst>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B2" sqref="B2:K4"/>
    </sheetView>
  </sheetViews>
  <sheetFormatPr defaultRowHeight="14.4" x14ac:dyDescent="0.3"/>
  <sheetData>
    <row r="1" spans="1:11" x14ac:dyDescent="0.3">
      <c r="B1" t="s">
        <v>6</v>
      </c>
      <c r="C1" t="s">
        <v>9</v>
      </c>
      <c r="D1" t="s">
        <v>7</v>
      </c>
      <c r="E1" t="s">
        <v>10</v>
      </c>
      <c r="F1" t="s">
        <v>8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">
      <c r="A2" t="s">
        <v>16</v>
      </c>
      <c r="B2" s="1">
        <v>19.625</v>
      </c>
      <c r="C2" s="1">
        <v>3.2439214410631885</v>
      </c>
      <c r="D2" s="1">
        <v>20.024999999999999</v>
      </c>
      <c r="E2" s="1">
        <v>2.9085852954748708</v>
      </c>
      <c r="F2" s="1">
        <v>11.65</v>
      </c>
      <c r="G2" s="1">
        <v>2.0137683972827527</v>
      </c>
      <c r="H2" s="1">
        <v>17.100000000000001</v>
      </c>
      <c r="I2" s="1">
        <v>1.8804939005329337</v>
      </c>
      <c r="J2" s="1">
        <v>5.4500000000000011</v>
      </c>
      <c r="K2" s="1">
        <v>2.0413130735699201</v>
      </c>
    </row>
    <row r="3" spans="1:11" x14ac:dyDescent="0.3">
      <c r="A3" t="s">
        <v>20</v>
      </c>
      <c r="B3" s="1">
        <v>19.5</v>
      </c>
      <c r="C3" s="1">
        <v>1.7320508075688772</v>
      </c>
      <c r="D3" s="1">
        <v>17</v>
      </c>
      <c r="E3" s="1">
        <v>6.5383484153110105</v>
      </c>
      <c r="F3" s="1">
        <v>10.666666666666666</v>
      </c>
      <c r="G3" s="1">
        <v>2.4664414311581258</v>
      </c>
      <c r="H3" s="1">
        <v>15.722222222222221</v>
      </c>
      <c r="I3" s="1">
        <v>2.9642936826564621</v>
      </c>
      <c r="J3" s="1">
        <v>5.0555555555555554</v>
      </c>
      <c r="K3" s="1">
        <v>2.1751968833835433</v>
      </c>
    </row>
    <row r="4" spans="1:11" x14ac:dyDescent="0.3">
      <c r="A4" t="s">
        <v>21</v>
      </c>
      <c r="B4" s="1">
        <v>19.166666666666668</v>
      </c>
      <c r="C4" s="1">
        <v>5.0083264004389099</v>
      </c>
      <c r="D4" s="1">
        <v>18.333333333333332</v>
      </c>
      <c r="E4" s="1">
        <v>6.5064070986477098</v>
      </c>
      <c r="F4" s="1">
        <v>9</v>
      </c>
      <c r="G4" s="1">
        <v>2.2912878474779199</v>
      </c>
      <c r="H4" s="1">
        <v>15.5</v>
      </c>
      <c r="I4" s="1">
        <v>4.2557151116012388</v>
      </c>
      <c r="J4" s="1">
        <v>6.5</v>
      </c>
      <c r="K4" s="1">
        <v>2.3154073315749679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5"/>
  <sheetViews>
    <sheetView topLeftCell="P1" workbookViewId="0">
      <selection activeCell="X13" sqref="X13:AG1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69</v>
      </c>
      <c r="C3">
        <v>31</v>
      </c>
      <c r="D3">
        <v>9</v>
      </c>
      <c r="E3">
        <v>91</v>
      </c>
      <c r="G3">
        <v>83</v>
      </c>
      <c r="H3">
        <v>17</v>
      </c>
      <c r="I3">
        <v>26</v>
      </c>
      <c r="J3">
        <v>74</v>
      </c>
      <c r="L3">
        <v>88</v>
      </c>
      <c r="M3">
        <v>12</v>
      </c>
      <c r="N3">
        <v>9</v>
      </c>
      <c r="O3">
        <v>91</v>
      </c>
      <c r="Q3">
        <f>AVERAGE(C3:D3)</f>
        <v>20</v>
      </c>
      <c r="R3">
        <f>AVERAGE(H3:I3)</f>
        <v>21.5</v>
      </c>
      <c r="S3">
        <f>AVERAGE(M3:N3)</f>
        <v>10.5</v>
      </c>
      <c r="T3">
        <f>AVERAGE(Q3:S3)</f>
        <v>17.333333333333332</v>
      </c>
      <c r="U3">
        <f>MIN(Q3:S3)</f>
        <v>10.5</v>
      </c>
      <c r="V3">
        <f>T3-U3</f>
        <v>6.8333333333333321</v>
      </c>
      <c r="X3">
        <f>AVERAGE(Q3:Q7)</f>
        <v>24.6</v>
      </c>
      <c r="Y3">
        <f>_xlfn.STDEV.S(Q3:Q7)</f>
        <v>3.5951356024495036</v>
      </c>
      <c r="Z3">
        <f>AVERAGE(R3:R7)</f>
        <v>22</v>
      </c>
      <c r="AA3">
        <f>_xlfn.STDEV.S(R3:R7)</f>
        <v>2.6457513110645907</v>
      </c>
      <c r="AB3">
        <f>AVERAGE(S3:S7)</f>
        <v>11.3</v>
      </c>
      <c r="AC3">
        <f>_xlfn.STDEV.S(S3:S7)</f>
        <v>2.1679483388678773</v>
      </c>
      <c r="AD3">
        <f>AVERAGE(T3:T7)</f>
        <v>19.3</v>
      </c>
      <c r="AE3">
        <f>_xlfn.STDEV.S(T3:T7)</f>
        <v>1.4210715831528145</v>
      </c>
      <c r="AF3">
        <f>AVERAGE(V3:V7)</f>
        <v>8</v>
      </c>
      <c r="AG3">
        <f>_xlfn.STDEV.S(V3:V7)</f>
        <v>1.4953632037438644</v>
      </c>
    </row>
    <row r="4" spans="1:33" x14ac:dyDescent="0.3">
      <c r="B4">
        <v>72</v>
      </c>
      <c r="C4">
        <v>28</v>
      </c>
      <c r="D4">
        <v>18</v>
      </c>
      <c r="E4">
        <v>82</v>
      </c>
      <c r="G4">
        <v>78</v>
      </c>
      <c r="H4">
        <v>22</v>
      </c>
      <c r="I4">
        <v>25</v>
      </c>
      <c r="J4">
        <v>75</v>
      </c>
      <c r="L4">
        <v>88</v>
      </c>
      <c r="M4">
        <v>12</v>
      </c>
      <c r="N4">
        <v>7</v>
      </c>
      <c r="O4">
        <v>93</v>
      </c>
      <c r="Q4">
        <f t="shared" ref="Q4:Q14" si="0">AVERAGE(C4:D4)</f>
        <v>23</v>
      </c>
      <c r="R4">
        <f t="shared" ref="R4:R14" si="1">AVERAGE(H4:I4)</f>
        <v>23.5</v>
      </c>
      <c r="S4">
        <f t="shared" ref="S4:S14" si="2">AVERAGE(M4:N4)</f>
        <v>9.5</v>
      </c>
      <c r="T4">
        <f t="shared" ref="T4:T14" si="3">AVERAGE(Q4:S4)</f>
        <v>18.666666666666668</v>
      </c>
      <c r="U4">
        <f t="shared" ref="U4:U14" si="4">MIN(Q4:S4)</f>
        <v>9.5</v>
      </c>
      <c r="V4">
        <f t="shared" ref="V4:V14" si="5">T4-U4</f>
        <v>9.1666666666666679</v>
      </c>
    </row>
    <row r="5" spans="1:33" x14ac:dyDescent="0.3">
      <c r="B5">
        <v>64</v>
      </c>
      <c r="C5">
        <v>36</v>
      </c>
      <c r="D5">
        <v>21</v>
      </c>
      <c r="E5">
        <v>79</v>
      </c>
      <c r="G5">
        <v>78</v>
      </c>
      <c r="H5">
        <v>22</v>
      </c>
      <c r="I5">
        <v>15</v>
      </c>
      <c r="J5">
        <v>85</v>
      </c>
      <c r="L5">
        <v>79</v>
      </c>
      <c r="M5">
        <v>21</v>
      </c>
      <c r="N5">
        <v>4</v>
      </c>
      <c r="O5">
        <v>96</v>
      </c>
      <c r="Q5">
        <f t="shared" si="0"/>
        <v>28.5</v>
      </c>
      <c r="R5">
        <f t="shared" si="1"/>
        <v>18.5</v>
      </c>
      <c r="S5">
        <f t="shared" si="2"/>
        <v>12.5</v>
      </c>
      <c r="T5">
        <f t="shared" si="3"/>
        <v>19.833333333333332</v>
      </c>
      <c r="U5">
        <f t="shared" si="4"/>
        <v>12.5</v>
      </c>
      <c r="V5">
        <f t="shared" si="5"/>
        <v>7.3333333333333321</v>
      </c>
    </row>
    <row r="6" spans="1:33" x14ac:dyDescent="0.3">
      <c r="B6">
        <v>73</v>
      </c>
      <c r="C6">
        <v>27</v>
      </c>
      <c r="D6">
        <v>29</v>
      </c>
      <c r="E6">
        <v>71</v>
      </c>
      <c r="G6">
        <v>85</v>
      </c>
      <c r="H6">
        <v>15</v>
      </c>
      <c r="I6">
        <v>27</v>
      </c>
      <c r="J6">
        <v>73</v>
      </c>
      <c r="L6">
        <v>90</v>
      </c>
      <c r="M6">
        <v>10</v>
      </c>
      <c r="N6">
        <v>9</v>
      </c>
      <c r="O6">
        <v>91</v>
      </c>
      <c r="Q6">
        <f t="shared" si="0"/>
        <v>28</v>
      </c>
      <c r="R6">
        <f t="shared" si="1"/>
        <v>21</v>
      </c>
      <c r="S6">
        <f t="shared" si="2"/>
        <v>9.5</v>
      </c>
      <c r="T6">
        <f t="shared" si="3"/>
        <v>19.5</v>
      </c>
      <c r="U6">
        <f t="shared" si="4"/>
        <v>9.5</v>
      </c>
      <c r="V6">
        <f t="shared" si="5"/>
        <v>10</v>
      </c>
    </row>
    <row r="7" spans="1:33" x14ac:dyDescent="0.3">
      <c r="B7">
        <v>70</v>
      </c>
      <c r="C7">
        <v>30</v>
      </c>
      <c r="D7">
        <v>17</v>
      </c>
      <c r="E7">
        <v>83</v>
      </c>
      <c r="G7">
        <v>77</v>
      </c>
      <c r="H7">
        <v>23</v>
      </c>
      <c r="I7">
        <v>28</v>
      </c>
      <c r="J7">
        <v>72</v>
      </c>
      <c r="L7">
        <v>78</v>
      </c>
      <c r="M7">
        <v>22</v>
      </c>
      <c r="N7">
        <v>7</v>
      </c>
      <c r="O7">
        <v>93</v>
      </c>
      <c r="Q7">
        <f t="shared" si="0"/>
        <v>23.5</v>
      </c>
      <c r="R7">
        <f t="shared" si="1"/>
        <v>25.5</v>
      </c>
      <c r="S7">
        <f t="shared" si="2"/>
        <v>14.5</v>
      </c>
      <c r="T7">
        <f t="shared" si="3"/>
        <v>21.166666666666668</v>
      </c>
      <c r="U7">
        <f t="shared" si="4"/>
        <v>14.5</v>
      </c>
      <c r="V7">
        <f t="shared" si="5"/>
        <v>6.6666666666666679</v>
      </c>
    </row>
    <row r="8" spans="1:33" x14ac:dyDescent="0.3">
      <c r="A8" t="s">
        <v>18</v>
      </c>
    </row>
    <row r="9" spans="1:33" x14ac:dyDescent="0.3">
      <c r="B9">
        <v>80</v>
      </c>
      <c r="C9">
        <v>20</v>
      </c>
      <c r="D9">
        <v>10</v>
      </c>
      <c r="E9">
        <v>90</v>
      </c>
      <c r="G9">
        <v>87</v>
      </c>
      <c r="H9">
        <v>13</v>
      </c>
      <c r="I9">
        <v>18</v>
      </c>
      <c r="J9">
        <v>82</v>
      </c>
      <c r="L9">
        <v>91</v>
      </c>
      <c r="M9">
        <v>9</v>
      </c>
      <c r="N9">
        <v>4</v>
      </c>
      <c r="O9">
        <v>96</v>
      </c>
      <c r="Q9">
        <f t="shared" si="0"/>
        <v>15</v>
      </c>
      <c r="R9">
        <f t="shared" si="1"/>
        <v>15.5</v>
      </c>
      <c r="S9">
        <f t="shared" si="2"/>
        <v>6.5</v>
      </c>
      <c r="T9">
        <f t="shared" si="3"/>
        <v>12.333333333333334</v>
      </c>
      <c r="U9">
        <f t="shared" si="4"/>
        <v>6.5</v>
      </c>
      <c r="V9">
        <f t="shared" si="5"/>
        <v>5.8333333333333339</v>
      </c>
      <c r="X9">
        <f>AVERAGE(Q9:Q11)</f>
        <v>20.166666666666668</v>
      </c>
      <c r="Y9">
        <f>_xlfn.STDEV.S(Q9:Q11)</f>
        <v>5.5302200076790227</v>
      </c>
      <c r="Z9">
        <f>AVERAGE(R9:R11)</f>
        <v>21.166666666666668</v>
      </c>
      <c r="AA9">
        <f>_xlfn.STDEV.S(R9:R11)</f>
        <v>4.9074772881118225</v>
      </c>
      <c r="AB9">
        <f>AVERAGE(S9:S11)</f>
        <v>10</v>
      </c>
      <c r="AC9">
        <f>_xlfn.STDEV.S(S9:S11)</f>
        <v>3.0413812651491097</v>
      </c>
      <c r="AD9">
        <f>AVERAGE(T9:T11)</f>
        <v>17.111111111111111</v>
      </c>
      <c r="AE9">
        <f>_xlfn.STDEV.S(T9:T11)</f>
        <v>4.2990093604784789</v>
      </c>
      <c r="AF9">
        <f>AVERAGE(V9:V11)</f>
        <v>7.1111111111111116</v>
      </c>
      <c r="AG9">
        <f>_xlfn.STDEV.S(V9:V11)</f>
        <v>1.4369463507086162</v>
      </c>
    </row>
    <row r="10" spans="1:33" x14ac:dyDescent="0.3">
      <c r="B10">
        <v>76</v>
      </c>
      <c r="C10">
        <v>24</v>
      </c>
      <c r="D10">
        <v>15</v>
      </c>
      <c r="E10">
        <v>85</v>
      </c>
      <c r="G10">
        <v>77</v>
      </c>
      <c r="H10">
        <v>23</v>
      </c>
      <c r="I10">
        <v>25</v>
      </c>
      <c r="J10">
        <v>75</v>
      </c>
      <c r="L10">
        <v>85</v>
      </c>
      <c r="M10">
        <v>15</v>
      </c>
      <c r="N10">
        <v>8</v>
      </c>
      <c r="O10">
        <v>92</v>
      </c>
      <c r="Q10">
        <f t="shared" si="0"/>
        <v>19.5</v>
      </c>
      <c r="R10">
        <f t="shared" si="1"/>
        <v>24</v>
      </c>
      <c r="S10">
        <f t="shared" si="2"/>
        <v>11.5</v>
      </c>
      <c r="T10">
        <f t="shared" si="3"/>
        <v>18.333333333333332</v>
      </c>
      <c r="U10">
        <f t="shared" si="4"/>
        <v>11.5</v>
      </c>
      <c r="V10">
        <f t="shared" si="5"/>
        <v>6.8333333333333321</v>
      </c>
    </row>
    <row r="11" spans="1:33" x14ac:dyDescent="0.3">
      <c r="B11">
        <v>67</v>
      </c>
      <c r="C11">
        <v>33</v>
      </c>
      <c r="D11">
        <v>19</v>
      </c>
      <c r="E11">
        <v>81</v>
      </c>
      <c r="G11">
        <v>78</v>
      </c>
      <c r="H11">
        <v>22</v>
      </c>
      <c r="I11">
        <v>26</v>
      </c>
      <c r="J11">
        <v>74</v>
      </c>
      <c r="L11">
        <v>83</v>
      </c>
      <c r="M11">
        <v>17</v>
      </c>
      <c r="N11">
        <v>7</v>
      </c>
      <c r="O11">
        <v>93</v>
      </c>
      <c r="Q11">
        <f t="shared" ref="Q11" si="6">AVERAGE(C11:D11)</f>
        <v>26</v>
      </c>
      <c r="R11">
        <f t="shared" ref="R11" si="7">AVERAGE(H11:I11)</f>
        <v>24</v>
      </c>
      <c r="S11">
        <f t="shared" ref="S11" si="8">AVERAGE(M11:N11)</f>
        <v>12</v>
      </c>
      <c r="T11">
        <f t="shared" ref="T11" si="9">AVERAGE(Q11:S11)</f>
        <v>20.666666666666668</v>
      </c>
      <c r="U11">
        <f t="shared" ref="U11" si="10">MIN(Q11:S11)</f>
        <v>12</v>
      </c>
      <c r="V11">
        <f t="shared" ref="V11" si="11">T11-U11</f>
        <v>8.6666666666666679</v>
      </c>
    </row>
    <row r="12" spans="1:33" x14ac:dyDescent="0.3">
      <c r="A12" t="s">
        <v>17</v>
      </c>
    </row>
    <row r="13" spans="1:33" x14ac:dyDescent="0.3">
      <c r="B13">
        <v>86</v>
      </c>
      <c r="C13">
        <v>14</v>
      </c>
      <c r="D13">
        <v>13</v>
      </c>
      <c r="E13">
        <v>87</v>
      </c>
      <c r="G13">
        <v>93</v>
      </c>
      <c r="H13">
        <v>7</v>
      </c>
      <c r="I13">
        <v>17</v>
      </c>
      <c r="J13">
        <v>83</v>
      </c>
      <c r="L13">
        <v>98</v>
      </c>
      <c r="M13">
        <v>2</v>
      </c>
      <c r="N13">
        <v>12</v>
      </c>
      <c r="O13">
        <v>88</v>
      </c>
      <c r="Q13">
        <f t="shared" si="0"/>
        <v>13.5</v>
      </c>
      <c r="R13">
        <f t="shared" si="1"/>
        <v>12</v>
      </c>
      <c r="S13">
        <f t="shared" si="2"/>
        <v>7</v>
      </c>
      <c r="T13">
        <f t="shared" si="3"/>
        <v>10.833333333333334</v>
      </c>
      <c r="U13">
        <f t="shared" si="4"/>
        <v>7</v>
      </c>
      <c r="V13">
        <f t="shared" si="5"/>
        <v>3.8333333333333339</v>
      </c>
      <c r="X13">
        <f>AVERAGE(Q13:Q15)</f>
        <v>19.166666666666668</v>
      </c>
      <c r="Y13">
        <f>_xlfn.STDEV.S(Q13:Q15)</f>
        <v>5.0083264004389099</v>
      </c>
      <c r="Z13">
        <f>AVERAGE(R13:R15)</f>
        <v>18.333333333333332</v>
      </c>
      <c r="AA13">
        <f>_xlfn.STDEV.S(R13:R15)</f>
        <v>6.5064070986477098</v>
      </c>
      <c r="AB13">
        <f>AVERAGE(S13:S15)</f>
        <v>9</v>
      </c>
      <c r="AC13">
        <f>_xlfn.STDEV.S(S13:S15)</f>
        <v>2.2912878474779199</v>
      </c>
      <c r="AD13">
        <f>AVERAGE(T13:T15)</f>
        <v>15.5</v>
      </c>
      <c r="AE13">
        <f>_xlfn.STDEV.S(T13:T15)</f>
        <v>4.2557151116012388</v>
      </c>
      <c r="AF13">
        <f>AVERAGE(V13:V15)</f>
        <v>6.5</v>
      </c>
      <c r="AG13">
        <f>_xlfn.STDEV.S(V13:V15)</f>
        <v>2.3154073315749679</v>
      </c>
    </row>
    <row r="14" spans="1:33" x14ac:dyDescent="0.3">
      <c r="B14">
        <v>72</v>
      </c>
      <c r="C14">
        <v>28</v>
      </c>
      <c r="D14">
        <v>18</v>
      </c>
      <c r="E14">
        <v>82</v>
      </c>
      <c r="G14">
        <v>87</v>
      </c>
      <c r="H14">
        <v>13</v>
      </c>
      <c r="I14">
        <v>23</v>
      </c>
      <c r="J14">
        <v>77</v>
      </c>
      <c r="L14">
        <v>88</v>
      </c>
      <c r="M14">
        <v>12</v>
      </c>
      <c r="N14">
        <v>5</v>
      </c>
      <c r="O14">
        <v>95</v>
      </c>
      <c r="Q14">
        <f t="shared" si="0"/>
        <v>23</v>
      </c>
      <c r="R14">
        <f t="shared" si="1"/>
        <v>18</v>
      </c>
      <c r="S14">
        <f t="shared" si="2"/>
        <v>8.5</v>
      </c>
      <c r="T14">
        <f t="shared" si="3"/>
        <v>16.5</v>
      </c>
      <c r="U14">
        <f t="shared" si="4"/>
        <v>8.5</v>
      </c>
      <c r="V14">
        <f t="shared" si="5"/>
        <v>8</v>
      </c>
    </row>
    <row r="15" spans="1:33" x14ac:dyDescent="0.3">
      <c r="B15">
        <v>67</v>
      </c>
      <c r="C15">
        <v>33</v>
      </c>
      <c r="D15">
        <v>9</v>
      </c>
      <c r="E15">
        <v>91</v>
      </c>
      <c r="G15">
        <v>82</v>
      </c>
      <c r="H15">
        <v>18</v>
      </c>
      <c r="I15">
        <v>32</v>
      </c>
      <c r="J15">
        <v>68</v>
      </c>
      <c r="L15">
        <v>87</v>
      </c>
      <c r="M15">
        <v>13</v>
      </c>
      <c r="N15">
        <v>10</v>
      </c>
      <c r="O15">
        <v>90</v>
      </c>
      <c r="Q15">
        <f t="shared" ref="Q15" si="12">AVERAGE(C15:D15)</f>
        <v>21</v>
      </c>
      <c r="R15">
        <f t="shared" ref="R15" si="13">AVERAGE(H15:I15)</f>
        <v>25</v>
      </c>
      <c r="S15">
        <f t="shared" ref="S15" si="14">AVERAGE(M15:N15)</f>
        <v>11.5</v>
      </c>
      <c r="T15">
        <f t="shared" ref="T15" si="15">AVERAGE(Q15:S15)</f>
        <v>19.166666666666668</v>
      </c>
      <c r="U15">
        <f t="shared" ref="U15" si="16">MIN(Q15:S15)</f>
        <v>11.5</v>
      </c>
      <c r="V15">
        <f t="shared" ref="V15" si="17">T15-U15</f>
        <v>7.6666666666666679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5"/>
  <sheetViews>
    <sheetView topLeftCell="N1" workbookViewId="0">
      <selection activeCell="X13" sqref="X13:AG1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73</v>
      </c>
      <c r="C3">
        <v>27</v>
      </c>
      <c r="D3">
        <v>18</v>
      </c>
      <c r="E3">
        <v>82</v>
      </c>
      <c r="G3">
        <v>82</v>
      </c>
      <c r="H3">
        <v>18</v>
      </c>
      <c r="I3">
        <v>15</v>
      </c>
      <c r="J3">
        <v>85</v>
      </c>
      <c r="L3">
        <v>84</v>
      </c>
      <c r="M3">
        <v>16</v>
      </c>
      <c r="N3">
        <v>12</v>
      </c>
      <c r="O3">
        <v>88</v>
      </c>
      <c r="Q3">
        <f>AVERAGE(C3:D3)</f>
        <v>22.5</v>
      </c>
      <c r="R3">
        <f>AVERAGE(H3:I3)</f>
        <v>16.5</v>
      </c>
      <c r="S3">
        <f>AVERAGE(M3:N3)</f>
        <v>14</v>
      </c>
      <c r="T3">
        <f>AVERAGE(Q3:S3)</f>
        <v>17.666666666666668</v>
      </c>
      <c r="U3">
        <f>MIN(Q3:S3)</f>
        <v>14</v>
      </c>
      <c r="V3">
        <f>T3-U3</f>
        <v>3.6666666666666679</v>
      </c>
      <c r="X3">
        <f>AVERAGE(Q3:Q7)</f>
        <v>22.6</v>
      </c>
      <c r="Y3">
        <f>_xlfn.STDEV.S(Q3:Q7)</f>
        <v>3.6979724174201132</v>
      </c>
      <c r="Z3">
        <f>AVERAGE(R3:R7)</f>
        <v>19.899999999999999</v>
      </c>
      <c r="AA3">
        <f>_xlfn.STDEV.S(R3:R7)</f>
        <v>3.781534080237809</v>
      </c>
      <c r="AB3">
        <f>AVERAGE(S3:S7)</f>
        <v>11.7</v>
      </c>
      <c r="AC3">
        <f>_xlfn.STDEV.S(S3:S7)</f>
        <v>2.0186629238186322</v>
      </c>
      <c r="AD3">
        <f>AVERAGE(T3:T7)</f>
        <v>18.06666666666667</v>
      </c>
      <c r="AE3">
        <f>_xlfn.STDEV.S(T3:T7)</f>
        <v>2.4455174412699447</v>
      </c>
      <c r="AF3">
        <f>AVERAGE(V3:V7)</f>
        <v>6.3666666666666671</v>
      </c>
      <c r="AG3">
        <f>_xlfn.STDEV.S(V3:V7)</f>
        <v>2.3106035767497826</v>
      </c>
    </row>
    <row r="4" spans="1:33" x14ac:dyDescent="0.3">
      <c r="B4">
        <v>74</v>
      </c>
      <c r="C4">
        <v>26</v>
      </c>
      <c r="D4">
        <v>10</v>
      </c>
      <c r="E4">
        <v>90</v>
      </c>
      <c r="G4">
        <v>80</v>
      </c>
      <c r="H4">
        <v>20</v>
      </c>
      <c r="I4">
        <v>20</v>
      </c>
      <c r="J4">
        <v>80</v>
      </c>
      <c r="L4">
        <v>95</v>
      </c>
      <c r="M4">
        <v>5</v>
      </c>
      <c r="N4">
        <v>12</v>
      </c>
      <c r="O4">
        <v>88</v>
      </c>
      <c r="Q4">
        <f t="shared" ref="Q4:Q14" si="0">AVERAGE(C4:D4)</f>
        <v>18</v>
      </c>
      <c r="R4">
        <f t="shared" ref="R4:R14" si="1">AVERAGE(H4:I4)</f>
        <v>20</v>
      </c>
      <c r="S4">
        <f t="shared" ref="S4:S14" si="2">AVERAGE(M4:N4)</f>
        <v>8.5</v>
      </c>
      <c r="T4">
        <f t="shared" ref="T4:T14" si="3">AVERAGE(Q4:S4)</f>
        <v>15.5</v>
      </c>
      <c r="U4">
        <f t="shared" ref="U4:U14" si="4">MIN(Q4:S4)</f>
        <v>8.5</v>
      </c>
      <c r="V4">
        <f t="shared" ref="V4:V14" si="5">T4-U4</f>
        <v>7</v>
      </c>
    </row>
    <row r="5" spans="1:33" x14ac:dyDescent="0.3">
      <c r="B5">
        <v>66</v>
      </c>
      <c r="C5">
        <v>34</v>
      </c>
      <c r="D5">
        <v>18</v>
      </c>
      <c r="E5">
        <v>82</v>
      </c>
      <c r="G5">
        <v>89</v>
      </c>
      <c r="H5">
        <v>11</v>
      </c>
      <c r="I5">
        <v>29</v>
      </c>
      <c r="J5">
        <v>71</v>
      </c>
      <c r="L5">
        <v>90</v>
      </c>
      <c r="M5">
        <v>10</v>
      </c>
      <c r="N5">
        <v>13</v>
      </c>
      <c r="O5">
        <v>87</v>
      </c>
      <c r="Q5">
        <f t="shared" si="0"/>
        <v>26</v>
      </c>
      <c r="R5">
        <f t="shared" si="1"/>
        <v>20</v>
      </c>
      <c r="S5">
        <f t="shared" si="2"/>
        <v>11.5</v>
      </c>
      <c r="T5">
        <f t="shared" si="3"/>
        <v>19.166666666666668</v>
      </c>
      <c r="U5">
        <f t="shared" si="4"/>
        <v>11.5</v>
      </c>
      <c r="V5">
        <f t="shared" si="5"/>
        <v>7.6666666666666679</v>
      </c>
    </row>
    <row r="6" spans="1:33" x14ac:dyDescent="0.3">
      <c r="B6">
        <v>73</v>
      </c>
      <c r="C6">
        <v>27</v>
      </c>
      <c r="D6">
        <v>13</v>
      </c>
      <c r="E6">
        <v>87</v>
      </c>
      <c r="G6">
        <v>85</v>
      </c>
      <c r="H6">
        <v>15</v>
      </c>
      <c r="I6">
        <v>19</v>
      </c>
      <c r="J6">
        <v>81</v>
      </c>
      <c r="L6">
        <v>90</v>
      </c>
      <c r="M6">
        <v>10</v>
      </c>
      <c r="N6">
        <v>14</v>
      </c>
      <c r="O6">
        <v>86</v>
      </c>
      <c r="Q6">
        <f t="shared" si="0"/>
        <v>20</v>
      </c>
      <c r="R6">
        <f t="shared" si="1"/>
        <v>17</v>
      </c>
      <c r="S6">
        <f t="shared" si="2"/>
        <v>12</v>
      </c>
      <c r="T6">
        <f t="shared" si="3"/>
        <v>16.333333333333332</v>
      </c>
      <c r="U6">
        <f t="shared" si="4"/>
        <v>12</v>
      </c>
      <c r="V6">
        <f t="shared" si="5"/>
        <v>4.3333333333333321</v>
      </c>
    </row>
    <row r="7" spans="1:33" x14ac:dyDescent="0.3">
      <c r="B7">
        <v>69</v>
      </c>
      <c r="C7">
        <v>31</v>
      </c>
      <c r="D7">
        <v>22</v>
      </c>
      <c r="E7">
        <v>78</v>
      </c>
      <c r="G7">
        <v>69</v>
      </c>
      <c r="H7">
        <v>31</v>
      </c>
      <c r="I7">
        <v>21</v>
      </c>
      <c r="J7">
        <v>79</v>
      </c>
      <c r="L7">
        <v>88</v>
      </c>
      <c r="M7">
        <v>12</v>
      </c>
      <c r="N7">
        <v>13</v>
      </c>
      <c r="O7">
        <v>87</v>
      </c>
      <c r="Q7">
        <f t="shared" si="0"/>
        <v>26.5</v>
      </c>
      <c r="R7">
        <f t="shared" si="1"/>
        <v>26</v>
      </c>
      <c r="S7">
        <f t="shared" si="2"/>
        <v>12.5</v>
      </c>
      <c r="T7">
        <f t="shared" si="3"/>
        <v>21.666666666666668</v>
      </c>
      <c r="U7">
        <f t="shared" si="4"/>
        <v>12.5</v>
      </c>
      <c r="V7">
        <f t="shared" si="5"/>
        <v>9.1666666666666679</v>
      </c>
    </row>
    <row r="8" spans="1:33" x14ac:dyDescent="0.3">
      <c r="A8" t="s">
        <v>18</v>
      </c>
    </row>
    <row r="9" spans="1:33" x14ac:dyDescent="0.3">
      <c r="B9">
        <v>69</v>
      </c>
      <c r="C9">
        <v>31</v>
      </c>
      <c r="D9">
        <v>20</v>
      </c>
      <c r="E9">
        <v>80</v>
      </c>
      <c r="G9">
        <v>71</v>
      </c>
      <c r="H9">
        <v>29</v>
      </c>
      <c r="I9">
        <v>22</v>
      </c>
      <c r="J9">
        <v>78</v>
      </c>
      <c r="L9">
        <v>84</v>
      </c>
      <c r="M9">
        <v>16</v>
      </c>
      <c r="N9">
        <v>11</v>
      </c>
      <c r="O9">
        <v>89</v>
      </c>
      <c r="Q9">
        <f t="shared" si="0"/>
        <v>25.5</v>
      </c>
      <c r="R9">
        <f t="shared" si="1"/>
        <v>25.5</v>
      </c>
      <c r="S9">
        <f t="shared" si="2"/>
        <v>13.5</v>
      </c>
      <c r="T9">
        <f t="shared" si="3"/>
        <v>21.5</v>
      </c>
      <c r="U9">
        <f t="shared" si="4"/>
        <v>13.5</v>
      </c>
      <c r="V9">
        <f t="shared" si="5"/>
        <v>8</v>
      </c>
      <c r="X9">
        <f>AVERAGE(Q9:Q11)</f>
        <v>22.5</v>
      </c>
      <c r="Y9">
        <f>_xlfn.STDEV.S(Q9:Q11)</f>
        <v>4.358898943540674</v>
      </c>
      <c r="Z9">
        <f>AVERAGE(R9:R11)</f>
        <v>22.5</v>
      </c>
      <c r="AA9">
        <f>_xlfn.STDEV.S(R9:R11)</f>
        <v>3</v>
      </c>
      <c r="AB9">
        <f>AVERAGE(S9:S11)</f>
        <v>11.666666666666666</v>
      </c>
      <c r="AC9">
        <f>_xlfn.STDEV.S(S9:S11)</f>
        <v>1.6072751268321621</v>
      </c>
      <c r="AD9">
        <f>AVERAGE(T9:T11)</f>
        <v>18.888888888888889</v>
      </c>
      <c r="AE9">
        <f>_xlfn.STDEV.S(T9:T11)</f>
        <v>2.3353166174426074</v>
      </c>
      <c r="AF9">
        <f>AVERAGE(V9:V11)</f>
        <v>7.2222222222222223</v>
      </c>
      <c r="AG9">
        <f>_xlfn.STDEV.S(V9:V11)</f>
        <v>1.0715167512214414</v>
      </c>
    </row>
    <row r="10" spans="1:33" x14ac:dyDescent="0.3">
      <c r="B10">
        <v>77</v>
      </c>
      <c r="C10">
        <v>23</v>
      </c>
      <c r="D10">
        <v>12</v>
      </c>
      <c r="E10">
        <v>88</v>
      </c>
      <c r="G10">
        <v>76</v>
      </c>
      <c r="H10">
        <v>24</v>
      </c>
      <c r="I10">
        <v>21</v>
      </c>
      <c r="J10">
        <v>79</v>
      </c>
      <c r="L10">
        <v>88</v>
      </c>
      <c r="M10">
        <v>12</v>
      </c>
      <c r="N10">
        <v>10</v>
      </c>
      <c r="O10">
        <v>90</v>
      </c>
      <c r="Q10">
        <f t="shared" si="0"/>
        <v>17.5</v>
      </c>
      <c r="R10">
        <f t="shared" si="1"/>
        <v>22.5</v>
      </c>
      <c r="S10">
        <f t="shared" si="2"/>
        <v>11</v>
      </c>
      <c r="T10">
        <f t="shared" si="3"/>
        <v>17</v>
      </c>
      <c r="U10">
        <f t="shared" si="4"/>
        <v>11</v>
      </c>
      <c r="V10">
        <f t="shared" si="5"/>
        <v>6</v>
      </c>
    </row>
    <row r="11" spans="1:33" x14ac:dyDescent="0.3">
      <c r="B11">
        <v>77</v>
      </c>
      <c r="C11">
        <v>23</v>
      </c>
      <c r="D11">
        <v>26</v>
      </c>
      <c r="E11">
        <v>74</v>
      </c>
      <c r="G11">
        <v>85</v>
      </c>
      <c r="H11">
        <v>15</v>
      </c>
      <c r="I11">
        <v>24</v>
      </c>
      <c r="J11">
        <v>76</v>
      </c>
      <c r="L11">
        <v>87</v>
      </c>
      <c r="M11">
        <v>13</v>
      </c>
      <c r="N11">
        <v>8</v>
      </c>
      <c r="O11">
        <v>92</v>
      </c>
      <c r="Q11">
        <f t="shared" ref="Q11" si="6">AVERAGE(C11:D11)</f>
        <v>24.5</v>
      </c>
      <c r="R11">
        <f t="shared" ref="R11" si="7">AVERAGE(H11:I11)</f>
        <v>19.5</v>
      </c>
      <c r="S11">
        <f t="shared" ref="S11" si="8">AVERAGE(M11:N11)</f>
        <v>10.5</v>
      </c>
      <c r="T11">
        <f t="shared" ref="T11" si="9">AVERAGE(Q11:S11)</f>
        <v>18.166666666666668</v>
      </c>
      <c r="U11">
        <f t="shared" ref="U11" si="10">MIN(Q11:S11)</f>
        <v>10.5</v>
      </c>
      <c r="V11">
        <f t="shared" ref="V11" si="11">T11-U11</f>
        <v>7.6666666666666679</v>
      </c>
    </row>
    <row r="12" spans="1:33" x14ac:dyDescent="0.3">
      <c r="A12" t="s">
        <v>17</v>
      </c>
    </row>
    <row r="13" spans="1:33" x14ac:dyDescent="0.3">
      <c r="B13">
        <v>68</v>
      </c>
      <c r="C13">
        <v>32</v>
      </c>
      <c r="D13">
        <v>11</v>
      </c>
      <c r="E13">
        <v>89</v>
      </c>
      <c r="G13">
        <v>84</v>
      </c>
      <c r="H13">
        <v>16</v>
      </c>
      <c r="I13">
        <v>24</v>
      </c>
      <c r="J13">
        <v>76</v>
      </c>
      <c r="L13">
        <v>87</v>
      </c>
      <c r="M13">
        <v>13</v>
      </c>
      <c r="N13">
        <v>6</v>
      </c>
      <c r="O13">
        <v>94</v>
      </c>
      <c r="Q13">
        <f t="shared" si="0"/>
        <v>21.5</v>
      </c>
      <c r="R13">
        <f t="shared" si="1"/>
        <v>20</v>
      </c>
      <c r="S13">
        <f t="shared" si="2"/>
        <v>9.5</v>
      </c>
      <c r="T13">
        <f t="shared" si="3"/>
        <v>17</v>
      </c>
      <c r="U13">
        <f t="shared" si="4"/>
        <v>9.5</v>
      </c>
      <c r="V13">
        <f t="shared" si="5"/>
        <v>7.5</v>
      </c>
      <c r="X13">
        <f>AVERAGE(Q13:Q15)</f>
        <v>19.5</v>
      </c>
      <c r="Y13">
        <f>_xlfn.STDEV.S(Q13:Q15)</f>
        <v>1.7320508075688772</v>
      </c>
      <c r="Z13">
        <f>AVERAGE(R13:R15)</f>
        <v>17</v>
      </c>
      <c r="AA13">
        <f>_xlfn.STDEV.S(R13:R15)</f>
        <v>6.5383484153110105</v>
      </c>
      <c r="AB13">
        <f>AVERAGE(S13:S15)</f>
        <v>10.666666666666666</v>
      </c>
      <c r="AC13">
        <f>_xlfn.STDEV.S(S13:S15)</f>
        <v>2.4664414311581258</v>
      </c>
      <c r="AD13">
        <f>AVERAGE(T13:T15)</f>
        <v>15.722222222222221</v>
      </c>
      <c r="AE13">
        <f>_xlfn.STDEV.S(T13:T15)</f>
        <v>2.9642936826564621</v>
      </c>
      <c r="AF13">
        <f>AVERAGE(V13:V15)</f>
        <v>5.0555555555555554</v>
      </c>
      <c r="AG13">
        <f>_xlfn.STDEV.S(V13:V15)</f>
        <v>2.1751968833835433</v>
      </c>
    </row>
    <row r="14" spans="1:33" x14ac:dyDescent="0.3">
      <c r="B14">
        <v>75</v>
      </c>
      <c r="C14">
        <v>25</v>
      </c>
      <c r="D14">
        <v>12</v>
      </c>
      <c r="E14">
        <v>88</v>
      </c>
      <c r="G14">
        <v>76</v>
      </c>
      <c r="H14">
        <v>24</v>
      </c>
      <c r="I14">
        <v>19</v>
      </c>
      <c r="J14">
        <v>81</v>
      </c>
      <c r="L14">
        <v>84</v>
      </c>
      <c r="M14">
        <v>16</v>
      </c>
      <c r="N14">
        <v>11</v>
      </c>
      <c r="O14">
        <v>89</v>
      </c>
      <c r="Q14">
        <f t="shared" si="0"/>
        <v>18.5</v>
      </c>
      <c r="R14">
        <f t="shared" si="1"/>
        <v>21.5</v>
      </c>
      <c r="S14">
        <f t="shared" si="2"/>
        <v>13.5</v>
      </c>
      <c r="T14">
        <f t="shared" si="3"/>
        <v>17.833333333333332</v>
      </c>
      <c r="U14">
        <f t="shared" si="4"/>
        <v>13.5</v>
      </c>
      <c r="V14">
        <f t="shared" si="5"/>
        <v>4.3333333333333321</v>
      </c>
    </row>
    <row r="15" spans="1:33" x14ac:dyDescent="0.3">
      <c r="B15">
        <v>79</v>
      </c>
      <c r="C15">
        <v>21</v>
      </c>
      <c r="D15">
        <v>16</v>
      </c>
      <c r="E15">
        <v>84</v>
      </c>
      <c r="G15">
        <v>94</v>
      </c>
      <c r="H15">
        <v>6</v>
      </c>
      <c r="I15">
        <v>13</v>
      </c>
      <c r="J15">
        <v>87</v>
      </c>
      <c r="L15">
        <v>88</v>
      </c>
      <c r="M15">
        <v>12</v>
      </c>
      <c r="N15">
        <v>6</v>
      </c>
      <c r="O15">
        <v>94</v>
      </c>
      <c r="Q15">
        <f t="shared" ref="Q15" si="12">AVERAGE(C15:D15)</f>
        <v>18.5</v>
      </c>
      <c r="R15">
        <f t="shared" ref="R15" si="13">AVERAGE(H15:I15)</f>
        <v>9.5</v>
      </c>
      <c r="S15">
        <f t="shared" ref="S15" si="14">AVERAGE(M15:N15)</f>
        <v>9</v>
      </c>
      <c r="T15">
        <f t="shared" ref="T15" si="15">AVERAGE(Q15:S15)</f>
        <v>12.333333333333334</v>
      </c>
      <c r="U15">
        <f t="shared" ref="U15" si="16">MIN(Q15:S15)</f>
        <v>9</v>
      </c>
      <c r="V15">
        <f t="shared" ref="V15" si="17">T15-U15</f>
        <v>3.3333333333333339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21"/>
  <sheetViews>
    <sheetView topLeftCell="K1" workbookViewId="0">
      <selection activeCell="X2" sqref="X2:AG2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74</v>
      </c>
      <c r="C2">
        <v>26</v>
      </c>
      <c r="D2">
        <v>10</v>
      </c>
      <c r="E2">
        <v>90</v>
      </c>
      <c r="G2">
        <v>85</v>
      </c>
      <c r="H2">
        <v>15</v>
      </c>
      <c r="I2">
        <v>27</v>
      </c>
      <c r="J2">
        <v>73</v>
      </c>
      <c r="L2">
        <v>87</v>
      </c>
      <c r="M2">
        <v>13</v>
      </c>
      <c r="N2">
        <v>11</v>
      </c>
      <c r="O2">
        <v>89</v>
      </c>
      <c r="Q2">
        <f>AVERAGE(C2:D2)</f>
        <v>18</v>
      </c>
      <c r="R2">
        <f>AVERAGE(H2:I2)</f>
        <v>21</v>
      </c>
      <c r="S2">
        <f>AVERAGE(M2:N2)</f>
        <v>12</v>
      </c>
      <c r="T2">
        <f>AVERAGE(Q2:S2)</f>
        <v>17</v>
      </c>
      <c r="U2">
        <f>MIN(Q2:S2)</f>
        <v>12</v>
      </c>
      <c r="V2">
        <f>T2-U2</f>
        <v>5</v>
      </c>
      <c r="X2">
        <f>AVERAGE(Q2:Q21)</f>
        <v>19.625</v>
      </c>
      <c r="Y2">
        <f>_xlfn.STDEV.S(Q2:Q21)</f>
        <v>3.2439214410631885</v>
      </c>
      <c r="Z2">
        <f>AVERAGE(R2:R21)</f>
        <v>20.024999999999999</v>
      </c>
      <c r="AA2">
        <f>_xlfn.STDEV.S(R2:R21)</f>
        <v>2.9085852954748708</v>
      </c>
      <c r="AB2">
        <f>AVERAGE(S2:S21)</f>
        <v>11.65</v>
      </c>
      <c r="AC2">
        <f>_xlfn.STDEV.S(S2:S21)</f>
        <v>2.0137683972827527</v>
      </c>
      <c r="AD2">
        <f>AVERAGE(T2:T21)</f>
        <v>17.100000000000001</v>
      </c>
      <c r="AE2">
        <f>_xlfn.STDEV.S(T2:T21)</f>
        <v>1.8804939005329337</v>
      </c>
      <c r="AF2">
        <f>AVERAGE(V2:V21)</f>
        <v>5.4500000000000011</v>
      </c>
      <c r="AG2">
        <f>_xlfn.STDEV.S(V2:V21)</f>
        <v>2.0413130735699201</v>
      </c>
    </row>
    <row r="3" spans="2:33" x14ac:dyDescent="0.3">
      <c r="B3">
        <v>75</v>
      </c>
      <c r="C3">
        <v>25</v>
      </c>
      <c r="D3">
        <v>22</v>
      </c>
      <c r="E3">
        <v>78</v>
      </c>
      <c r="G3">
        <v>80</v>
      </c>
      <c r="H3">
        <v>20</v>
      </c>
      <c r="I3">
        <v>27</v>
      </c>
      <c r="J3">
        <v>73</v>
      </c>
      <c r="L3">
        <v>85</v>
      </c>
      <c r="M3">
        <v>15</v>
      </c>
      <c r="N3">
        <v>15</v>
      </c>
      <c r="O3">
        <v>85</v>
      </c>
      <c r="Q3">
        <f t="shared" ref="Q3:Q11" si="0">AVERAGE(C3:D3)</f>
        <v>23.5</v>
      </c>
      <c r="R3">
        <f t="shared" ref="R3:R11" si="1">AVERAGE(H3:I3)</f>
        <v>23.5</v>
      </c>
      <c r="S3">
        <f t="shared" ref="S3:S11" si="2">AVERAGE(M3:N3)</f>
        <v>15</v>
      </c>
      <c r="T3">
        <f t="shared" ref="T3:T11" si="3">AVERAGE(Q3:S3)</f>
        <v>20.666666666666668</v>
      </c>
      <c r="U3">
        <f t="shared" ref="U3:U11" si="4">MIN(Q3:S3)</f>
        <v>15</v>
      </c>
      <c r="V3">
        <f t="shared" ref="V3:V11" si="5">T3-U3</f>
        <v>5.6666666666666679</v>
      </c>
    </row>
    <row r="4" spans="2:33" x14ac:dyDescent="0.3">
      <c r="B4">
        <v>74</v>
      </c>
      <c r="C4">
        <v>26</v>
      </c>
      <c r="D4">
        <v>19</v>
      </c>
      <c r="E4">
        <v>81</v>
      </c>
      <c r="G4">
        <v>81</v>
      </c>
      <c r="H4">
        <v>19</v>
      </c>
      <c r="I4">
        <v>14</v>
      </c>
      <c r="J4">
        <v>86</v>
      </c>
      <c r="L4">
        <v>86</v>
      </c>
      <c r="M4">
        <v>14</v>
      </c>
      <c r="N4">
        <v>16</v>
      </c>
      <c r="O4">
        <v>84</v>
      </c>
      <c r="Q4">
        <f t="shared" si="0"/>
        <v>22.5</v>
      </c>
      <c r="R4">
        <f t="shared" si="1"/>
        <v>16.5</v>
      </c>
      <c r="S4">
        <f t="shared" si="2"/>
        <v>15</v>
      </c>
      <c r="T4">
        <f t="shared" si="3"/>
        <v>18</v>
      </c>
      <c r="U4">
        <f t="shared" si="4"/>
        <v>15</v>
      </c>
      <c r="V4">
        <f t="shared" si="5"/>
        <v>3</v>
      </c>
    </row>
    <row r="5" spans="2:33" x14ac:dyDescent="0.3">
      <c r="B5">
        <v>71</v>
      </c>
      <c r="C5">
        <v>29</v>
      </c>
      <c r="D5">
        <v>14</v>
      </c>
      <c r="E5">
        <v>86</v>
      </c>
      <c r="G5">
        <v>76</v>
      </c>
      <c r="H5">
        <v>24</v>
      </c>
      <c r="I5">
        <v>25</v>
      </c>
      <c r="J5">
        <v>75</v>
      </c>
      <c r="L5">
        <v>93</v>
      </c>
      <c r="M5">
        <v>7</v>
      </c>
      <c r="N5">
        <v>12</v>
      </c>
      <c r="O5">
        <v>88</v>
      </c>
      <c r="Q5">
        <f t="shared" si="0"/>
        <v>21.5</v>
      </c>
      <c r="R5">
        <f t="shared" si="1"/>
        <v>24.5</v>
      </c>
      <c r="S5">
        <f t="shared" si="2"/>
        <v>9.5</v>
      </c>
      <c r="T5">
        <f t="shared" si="3"/>
        <v>18.5</v>
      </c>
      <c r="U5">
        <f t="shared" si="4"/>
        <v>9.5</v>
      </c>
      <c r="V5">
        <f t="shared" si="5"/>
        <v>9</v>
      </c>
    </row>
    <row r="6" spans="2:33" x14ac:dyDescent="0.3">
      <c r="B6">
        <v>80</v>
      </c>
      <c r="C6">
        <v>20</v>
      </c>
      <c r="D6">
        <v>17</v>
      </c>
      <c r="E6">
        <v>83</v>
      </c>
      <c r="G6">
        <v>88</v>
      </c>
      <c r="H6">
        <v>12</v>
      </c>
      <c r="I6">
        <v>21</v>
      </c>
      <c r="J6">
        <v>79</v>
      </c>
      <c r="L6">
        <v>87</v>
      </c>
      <c r="M6">
        <v>13</v>
      </c>
      <c r="N6">
        <v>13</v>
      </c>
      <c r="O6">
        <v>87</v>
      </c>
      <c r="Q6">
        <f t="shared" si="0"/>
        <v>18.5</v>
      </c>
      <c r="R6">
        <f t="shared" si="1"/>
        <v>16.5</v>
      </c>
      <c r="S6">
        <f t="shared" si="2"/>
        <v>13</v>
      </c>
      <c r="T6">
        <f t="shared" si="3"/>
        <v>16</v>
      </c>
      <c r="U6">
        <f t="shared" si="4"/>
        <v>13</v>
      </c>
      <c r="V6">
        <f t="shared" si="5"/>
        <v>3</v>
      </c>
    </row>
    <row r="7" spans="2:33" x14ac:dyDescent="0.3">
      <c r="B7">
        <v>78</v>
      </c>
      <c r="C7">
        <v>22</v>
      </c>
      <c r="D7">
        <v>9</v>
      </c>
      <c r="E7">
        <v>91</v>
      </c>
      <c r="G7">
        <v>77</v>
      </c>
      <c r="H7">
        <v>23</v>
      </c>
      <c r="I7">
        <v>18</v>
      </c>
      <c r="J7">
        <v>82</v>
      </c>
      <c r="L7">
        <v>88</v>
      </c>
      <c r="M7">
        <v>12</v>
      </c>
      <c r="N7">
        <v>14</v>
      </c>
      <c r="O7">
        <v>86</v>
      </c>
      <c r="Q7">
        <f t="shared" si="0"/>
        <v>15.5</v>
      </c>
      <c r="R7">
        <f t="shared" si="1"/>
        <v>20.5</v>
      </c>
      <c r="S7">
        <f t="shared" si="2"/>
        <v>13</v>
      </c>
      <c r="T7">
        <f t="shared" si="3"/>
        <v>16.333333333333332</v>
      </c>
      <c r="U7">
        <f t="shared" si="4"/>
        <v>13</v>
      </c>
      <c r="V7">
        <f t="shared" si="5"/>
        <v>3.3333333333333321</v>
      </c>
    </row>
    <row r="8" spans="2:33" x14ac:dyDescent="0.3">
      <c r="B8">
        <v>80</v>
      </c>
      <c r="C8">
        <v>20</v>
      </c>
      <c r="D8">
        <v>16</v>
      </c>
      <c r="E8">
        <v>84</v>
      </c>
      <c r="G8">
        <v>85</v>
      </c>
      <c r="H8">
        <v>15</v>
      </c>
      <c r="I8">
        <v>21</v>
      </c>
      <c r="J8">
        <v>79</v>
      </c>
      <c r="L8">
        <v>82</v>
      </c>
      <c r="M8">
        <v>18</v>
      </c>
      <c r="N8">
        <v>7</v>
      </c>
      <c r="O8">
        <v>93</v>
      </c>
      <c r="Q8">
        <f t="shared" si="0"/>
        <v>18</v>
      </c>
      <c r="R8">
        <f t="shared" si="1"/>
        <v>18</v>
      </c>
      <c r="S8">
        <f t="shared" si="2"/>
        <v>12.5</v>
      </c>
      <c r="T8">
        <f t="shared" si="3"/>
        <v>16.166666666666668</v>
      </c>
      <c r="U8">
        <f t="shared" si="4"/>
        <v>12.5</v>
      </c>
      <c r="V8">
        <f t="shared" si="5"/>
        <v>3.6666666666666679</v>
      </c>
    </row>
    <row r="9" spans="2:33" x14ac:dyDescent="0.3">
      <c r="B9">
        <v>77</v>
      </c>
      <c r="C9">
        <v>23</v>
      </c>
      <c r="D9">
        <v>16</v>
      </c>
      <c r="E9">
        <v>84</v>
      </c>
      <c r="G9">
        <v>89</v>
      </c>
      <c r="H9">
        <v>11</v>
      </c>
      <c r="I9">
        <v>22</v>
      </c>
      <c r="J9">
        <v>78</v>
      </c>
      <c r="L9">
        <v>92</v>
      </c>
      <c r="M9">
        <v>8</v>
      </c>
      <c r="N9">
        <v>10</v>
      </c>
      <c r="O9">
        <v>90</v>
      </c>
      <c r="Q9">
        <f t="shared" si="0"/>
        <v>19.5</v>
      </c>
      <c r="R9">
        <f t="shared" si="1"/>
        <v>16.5</v>
      </c>
      <c r="S9">
        <f t="shared" si="2"/>
        <v>9</v>
      </c>
      <c r="T9">
        <f t="shared" si="3"/>
        <v>15</v>
      </c>
      <c r="U9">
        <f t="shared" si="4"/>
        <v>9</v>
      </c>
      <c r="V9">
        <f t="shared" si="5"/>
        <v>6</v>
      </c>
    </row>
    <row r="10" spans="2:33" x14ac:dyDescent="0.3">
      <c r="B10">
        <v>81</v>
      </c>
      <c r="C10">
        <v>19</v>
      </c>
      <c r="D10">
        <v>17</v>
      </c>
      <c r="E10">
        <v>83</v>
      </c>
      <c r="G10">
        <v>80</v>
      </c>
      <c r="H10">
        <v>20</v>
      </c>
      <c r="I10">
        <v>17</v>
      </c>
      <c r="J10">
        <v>83</v>
      </c>
      <c r="L10">
        <v>91</v>
      </c>
      <c r="M10">
        <v>9</v>
      </c>
      <c r="N10">
        <v>14</v>
      </c>
      <c r="O10">
        <v>86</v>
      </c>
      <c r="Q10">
        <f t="shared" si="0"/>
        <v>18</v>
      </c>
      <c r="R10">
        <f t="shared" si="1"/>
        <v>18.5</v>
      </c>
      <c r="S10">
        <f t="shared" si="2"/>
        <v>11.5</v>
      </c>
      <c r="T10">
        <f t="shared" si="3"/>
        <v>16</v>
      </c>
      <c r="U10">
        <f t="shared" si="4"/>
        <v>11.5</v>
      </c>
      <c r="V10">
        <f t="shared" si="5"/>
        <v>4.5</v>
      </c>
    </row>
    <row r="11" spans="2:33" x14ac:dyDescent="0.3">
      <c r="B11">
        <v>79</v>
      </c>
      <c r="C11">
        <v>21</v>
      </c>
      <c r="D11">
        <v>8</v>
      </c>
      <c r="E11">
        <v>92</v>
      </c>
      <c r="G11">
        <v>88</v>
      </c>
      <c r="H11">
        <v>12</v>
      </c>
      <c r="I11">
        <v>24</v>
      </c>
      <c r="J11">
        <v>76</v>
      </c>
      <c r="L11">
        <v>90</v>
      </c>
      <c r="M11">
        <v>10</v>
      </c>
      <c r="N11">
        <v>18</v>
      </c>
      <c r="O11">
        <v>82</v>
      </c>
      <c r="Q11">
        <f t="shared" si="0"/>
        <v>14.5</v>
      </c>
      <c r="R11">
        <f t="shared" si="1"/>
        <v>18</v>
      </c>
      <c r="S11">
        <f t="shared" si="2"/>
        <v>14</v>
      </c>
      <c r="T11">
        <f t="shared" si="3"/>
        <v>15.5</v>
      </c>
      <c r="U11">
        <f t="shared" si="4"/>
        <v>14</v>
      </c>
      <c r="V11">
        <f t="shared" si="5"/>
        <v>1.5</v>
      </c>
    </row>
    <row r="12" spans="2:33" x14ac:dyDescent="0.3">
      <c r="B12">
        <v>70</v>
      </c>
      <c r="C12">
        <v>30</v>
      </c>
      <c r="D12">
        <v>17</v>
      </c>
      <c r="E12">
        <v>83</v>
      </c>
      <c r="G12">
        <v>85</v>
      </c>
      <c r="H12">
        <v>15</v>
      </c>
      <c r="I12">
        <v>27</v>
      </c>
      <c r="J12">
        <v>73</v>
      </c>
      <c r="L12">
        <v>88</v>
      </c>
      <c r="M12">
        <v>12</v>
      </c>
      <c r="N12">
        <v>9</v>
      </c>
      <c r="O12">
        <v>91</v>
      </c>
      <c r="Q12">
        <f t="shared" ref="Q12:Q21" si="6">AVERAGE(C12:D12)</f>
        <v>23.5</v>
      </c>
      <c r="R12">
        <f t="shared" ref="R12:R21" si="7">AVERAGE(H12:I12)</f>
        <v>21</v>
      </c>
      <c r="S12">
        <f t="shared" ref="S12:S21" si="8">AVERAGE(M12:N12)</f>
        <v>10.5</v>
      </c>
      <c r="T12">
        <f t="shared" ref="T12:T21" si="9">AVERAGE(Q12:S12)</f>
        <v>18.333333333333332</v>
      </c>
      <c r="U12">
        <f t="shared" ref="U12:U21" si="10">MIN(Q12:S12)</f>
        <v>10.5</v>
      </c>
      <c r="V12">
        <f t="shared" ref="V12:V21" si="11">T12-U12</f>
        <v>7.8333333333333321</v>
      </c>
    </row>
    <row r="13" spans="2:33" x14ac:dyDescent="0.3">
      <c r="B13">
        <v>75</v>
      </c>
      <c r="C13">
        <v>25</v>
      </c>
      <c r="D13">
        <v>15</v>
      </c>
      <c r="E13">
        <v>85</v>
      </c>
      <c r="G13">
        <v>76</v>
      </c>
      <c r="H13">
        <v>24</v>
      </c>
      <c r="I13">
        <v>20</v>
      </c>
      <c r="J13">
        <v>80</v>
      </c>
      <c r="L13">
        <v>88</v>
      </c>
      <c r="M13">
        <v>12</v>
      </c>
      <c r="N13">
        <v>7</v>
      </c>
      <c r="O13">
        <v>93</v>
      </c>
      <c r="Q13">
        <f t="shared" si="6"/>
        <v>20</v>
      </c>
      <c r="R13">
        <f t="shared" si="7"/>
        <v>22</v>
      </c>
      <c r="S13">
        <f t="shared" si="8"/>
        <v>9.5</v>
      </c>
      <c r="T13">
        <f t="shared" si="9"/>
        <v>17.166666666666668</v>
      </c>
      <c r="U13">
        <f t="shared" si="10"/>
        <v>9.5</v>
      </c>
      <c r="V13">
        <f t="shared" si="11"/>
        <v>7.6666666666666679</v>
      </c>
    </row>
    <row r="14" spans="2:33" x14ac:dyDescent="0.3">
      <c r="B14">
        <v>73</v>
      </c>
      <c r="C14">
        <v>27</v>
      </c>
      <c r="D14">
        <v>16</v>
      </c>
      <c r="E14">
        <v>84</v>
      </c>
      <c r="G14">
        <v>83</v>
      </c>
      <c r="H14">
        <v>17</v>
      </c>
      <c r="I14">
        <v>29</v>
      </c>
      <c r="J14">
        <v>71</v>
      </c>
      <c r="L14">
        <v>84</v>
      </c>
      <c r="M14">
        <v>16</v>
      </c>
      <c r="N14">
        <v>10</v>
      </c>
      <c r="O14">
        <v>90</v>
      </c>
      <c r="Q14">
        <f t="shared" si="6"/>
        <v>21.5</v>
      </c>
      <c r="R14">
        <f t="shared" si="7"/>
        <v>23</v>
      </c>
      <c r="S14">
        <f t="shared" si="8"/>
        <v>13</v>
      </c>
      <c r="T14">
        <f t="shared" si="9"/>
        <v>19.166666666666668</v>
      </c>
      <c r="U14">
        <f t="shared" si="10"/>
        <v>13</v>
      </c>
      <c r="V14">
        <f t="shared" si="11"/>
        <v>6.1666666666666679</v>
      </c>
    </row>
    <row r="15" spans="2:33" x14ac:dyDescent="0.3">
      <c r="B15">
        <v>78</v>
      </c>
      <c r="C15">
        <v>22</v>
      </c>
      <c r="D15">
        <v>8</v>
      </c>
      <c r="E15">
        <v>92</v>
      </c>
      <c r="G15">
        <v>84</v>
      </c>
      <c r="H15">
        <v>16</v>
      </c>
      <c r="I15">
        <v>14</v>
      </c>
      <c r="J15">
        <v>86</v>
      </c>
      <c r="L15">
        <v>90</v>
      </c>
      <c r="M15">
        <v>10</v>
      </c>
      <c r="N15">
        <v>9</v>
      </c>
      <c r="O15">
        <v>91</v>
      </c>
      <c r="Q15">
        <f t="shared" si="6"/>
        <v>15</v>
      </c>
      <c r="R15">
        <f t="shared" si="7"/>
        <v>15</v>
      </c>
      <c r="S15">
        <f t="shared" si="8"/>
        <v>9.5</v>
      </c>
      <c r="T15">
        <f t="shared" si="9"/>
        <v>13.166666666666666</v>
      </c>
      <c r="U15">
        <f t="shared" si="10"/>
        <v>9.5</v>
      </c>
      <c r="V15">
        <f t="shared" si="11"/>
        <v>3.6666666666666661</v>
      </c>
    </row>
    <row r="16" spans="2:33" x14ac:dyDescent="0.3">
      <c r="B16">
        <v>73</v>
      </c>
      <c r="C16">
        <v>27</v>
      </c>
      <c r="D16">
        <v>21</v>
      </c>
      <c r="E16">
        <v>79</v>
      </c>
      <c r="G16">
        <v>76</v>
      </c>
      <c r="H16">
        <v>24</v>
      </c>
      <c r="I16">
        <v>17</v>
      </c>
      <c r="J16">
        <v>83</v>
      </c>
      <c r="L16">
        <v>80</v>
      </c>
      <c r="M16">
        <v>20</v>
      </c>
      <c r="N16">
        <v>5</v>
      </c>
      <c r="O16">
        <v>95</v>
      </c>
      <c r="Q16">
        <f t="shared" si="6"/>
        <v>24</v>
      </c>
      <c r="R16">
        <f t="shared" si="7"/>
        <v>20.5</v>
      </c>
      <c r="S16">
        <f t="shared" si="8"/>
        <v>12.5</v>
      </c>
      <c r="T16">
        <f t="shared" si="9"/>
        <v>19</v>
      </c>
      <c r="U16">
        <f t="shared" si="10"/>
        <v>12.5</v>
      </c>
      <c r="V16">
        <f t="shared" si="11"/>
        <v>6.5</v>
      </c>
    </row>
    <row r="17" spans="2:22" x14ac:dyDescent="0.3">
      <c r="B17">
        <v>69</v>
      </c>
      <c r="C17">
        <v>31</v>
      </c>
      <c r="D17">
        <v>15</v>
      </c>
      <c r="E17">
        <v>85</v>
      </c>
      <c r="G17">
        <v>88</v>
      </c>
      <c r="H17">
        <v>12</v>
      </c>
      <c r="I17">
        <v>21</v>
      </c>
      <c r="J17">
        <v>79</v>
      </c>
      <c r="L17">
        <v>90</v>
      </c>
      <c r="M17">
        <v>10</v>
      </c>
      <c r="N17">
        <v>11</v>
      </c>
      <c r="O17">
        <v>89</v>
      </c>
      <c r="Q17">
        <f t="shared" si="6"/>
        <v>23</v>
      </c>
      <c r="R17">
        <f t="shared" si="7"/>
        <v>16.5</v>
      </c>
      <c r="S17">
        <f t="shared" si="8"/>
        <v>10.5</v>
      </c>
      <c r="T17">
        <f t="shared" si="9"/>
        <v>16.666666666666668</v>
      </c>
      <c r="U17">
        <f t="shared" si="10"/>
        <v>10.5</v>
      </c>
      <c r="V17">
        <f t="shared" si="11"/>
        <v>6.1666666666666679</v>
      </c>
    </row>
    <row r="18" spans="2:22" x14ac:dyDescent="0.3">
      <c r="B18">
        <v>67</v>
      </c>
      <c r="C18">
        <v>33</v>
      </c>
      <c r="D18">
        <v>12</v>
      </c>
      <c r="E18">
        <v>88</v>
      </c>
      <c r="G18">
        <v>77</v>
      </c>
      <c r="H18">
        <v>23</v>
      </c>
      <c r="I18">
        <v>26</v>
      </c>
      <c r="J18">
        <v>74</v>
      </c>
      <c r="L18">
        <v>81</v>
      </c>
      <c r="M18">
        <v>19</v>
      </c>
      <c r="N18">
        <v>9</v>
      </c>
      <c r="O18">
        <v>91</v>
      </c>
      <c r="Q18">
        <f t="shared" si="6"/>
        <v>22.5</v>
      </c>
      <c r="R18">
        <f t="shared" si="7"/>
        <v>24.5</v>
      </c>
      <c r="S18">
        <f t="shared" si="8"/>
        <v>14</v>
      </c>
      <c r="T18">
        <f t="shared" si="9"/>
        <v>20.333333333333332</v>
      </c>
      <c r="U18">
        <f t="shared" si="10"/>
        <v>14</v>
      </c>
      <c r="V18">
        <f t="shared" si="11"/>
        <v>6.3333333333333321</v>
      </c>
    </row>
    <row r="19" spans="2:22" x14ac:dyDescent="0.3">
      <c r="B19">
        <v>84</v>
      </c>
      <c r="C19">
        <v>16</v>
      </c>
      <c r="D19">
        <v>12</v>
      </c>
      <c r="E19">
        <v>88</v>
      </c>
      <c r="G19">
        <v>85</v>
      </c>
      <c r="H19">
        <v>15</v>
      </c>
      <c r="I19">
        <v>26</v>
      </c>
      <c r="J19">
        <v>74</v>
      </c>
      <c r="L19">
        <v>93</v>
      </c>
      <c r="M19">
        <v>7</v>
      </c>
      <c r="N19">
        <v>14</v>
      </c>
      <c r="O19">
        <v>86</v>
      </c>
      <c r="Q19">
        <f t="shared" si="6"/>
        <v>14</v>
      </c>
      <c r="R19">
        <f t="shared" si="7"/>
        <v>20.5</v>
      </c>
      <c r="S19">
        <f t="shared" si="8"/>
        <v>10.5</v>
      </c>
      <c r="T19">
        <f t="shared" si="9"/>
        <v>15</v>
      </c>
      <c r="U19">
        <f t="shared" si="10"/>
        <v>10.5</v>
      </c>
      <c r="V19">
        <f t="shared" si="11"/>
        <v>4.5</v>
      </c>
    </row>
    <row r="20" spans="2:22" x14ac:dyDescent="0.3">
      <c r="B20">
        <v>77</v>
      </c>
      <c r="C20">
        <v>23</v>
      </c>
      <c r="D20">
        <v>21</v>
      </c>
      <c r="E20">
        <v>79</v>
      </c>
      <c r="G20">
        <v>77</v>
      </c>
      <c r="H20">
        <v>23</v>
      </c>
      <c r="I20">
        <v>21</v>
      </c>
      <c r="J20">
        <v>79</v>
      </c>
      <c r="L20">
        <v>93</v>
      </c>
      <c r="M20">
        <v>7</v>
      </c>
      <c r="N20">
        <v>11</v>
      </c>
      <c r="O20">
        <v>89</v>
      </c>
      <c r="Q20">
        <f t="shared" si="6"/>
        <v>22</v>
      </c>
      <c r="R20">
        <f t="shared" si="7"/>
        <v>22</v>
      </c>
      <c r="S20">
        <f t="shared" si="8"/>
        <v>9</v>
      </c>
      <c r="T20">
        <f t="shared" si="9"/>
        <v>17.666666666666668</v>
      </c>
      <c r="U20">
        <f t="shared" si="10"/>
        <v>9</v>
      </c>
      <c r="V20">
        <f t="shared" si="11"/>
        <v>8.6666666666666679</v>
      </c>
    </row>
    <row r="21" spans="2:22" x14ac:dyDescent="0.3">
      <c r="B21">
        <v>81</v>
      </c>
      <c r="C21">
        <v>19</v>
      </c>
      <c r="D21">
        <v>16</v>
      </c>
      <c r="E21">
        <v>84</v>
      </c>
      <c r="G21">
        <v>81</v>
      </c>
      <c r="H21">
        <v>19</v>
      </c>
      <c r="I21">
        <v>25</v>
      </c>
      <c r="J21">
        <v>75</v>
      </c>
      <c r="L21">
        <v>90</v>
      </c>
      <c r="M21">
        <v>10</v>
      </c>
      <c r="N21">
        <v>9</v>
      </c>
      <c r="O21">
        <v>91</v>
      </c>
      <c r="Q21">
        <f t="shared" si="6"/>
        <v>17.5</v>
      </c>
      <c r="R21">
        <f t="shared" si="7"/>
        <v>22</v>
      </c>
      <c r="S21">
        <f t="shared" si="8"/>
        <v>9.5</v>
      </c>
      <c r="T21">
        <f t="shared" si="9"/>
        <v>16.333333333333332</v>
      </c>
      <c r="U21">
        <f t="shared" si="10"/>
        <v>9.5</v>
      </c>
      <c r="V21">
        <f t="shared" si="11"/>
        <v>6.8333333333333321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2026-03-18T18:24:43Z</dcterms:modified>
</cp:coreProperties>
</file>