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I\0.05\"/>
    </mc:Choice>
  </mc:AlternateContent>
  <xr:revisionPtr revIDLastSave="0" documentId="13_ncr:1_{B343D2EE-9133-4F32-902A-F5041EE27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MIT_DIFF_ONLYMIN_STDAUG" sheetId="19" r:id="rId2"/>
    <sheet name="MIT_DIFF_ONLYMIN_NOAUG" sheetId="18" r:id="rId3"/>
    <sheet name="MIT_PARBS_DIFF_ONLYMIN_STDAUG" sheetId="17" r:id="rId4"/>
    <sheet name="MIT_PARBS_STDAUG" sheetId="14" r:id="rId5"/>
    <sheet name="MIT_DIFF_STDAUG" sheetId="16" r:id="rId6"/>
    <sheet name="MIT_DIFF_NOAUG" sheetId="15" r:id="rId7"/>
    <sheet name="MIT_STDAUG" sheetId="12" r:id="rId8"/>
    <sheet name="MIT_NOAUG" sheetId="11" r:id="rId9"/>
    <sheet name="MIT_PARBS_NOAUG" sheetId="13" r:id="rId10"/>
    <sheet name="STD_IMB_AUG" sheetId="10" r:id="rId11"/>
    <sheet name="STD_IMB_NOAUG" sheetId="9" r:id="rId12"/>
    <sheet name="DIFF" sheetId="8" r:id="rId13"/>
    <sheet name="STD_BAL_ADV_NOCLSDIV" sheetId="7" r:id="rId14"/>
    <sheet name="STD_BAL_ADV_CLSDIV" sheetId="6" r:id="rId15"/>
    <sheet name="STD_BAL_STDAUG" sheetId="5" r:id="rId16"/>
    <sheet name="STD_BAL_NOAUG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7" l="1"/>
  <c r="AE4" i="17"/>
  <c r="AB4" i="17"/>
  <c r="AA4" i="17"/>
  <c r="Z4" i="17"/>
  <c r="Y4" i="17"/>
  <c r="X4" i="17"/>
  <c r="W4" i="17"/>
  <c r="V4" i="17"/>
  <c r="U4" i="17"/>
  <c r="Q5" i="17"/>
  <c r="T5" i="17" s="1"/>
  <c r="AD5" i="17" s="1"/>
  <c r="R5" i="17"/>
  <c r="S5" i="17"/>
  <c r="AC5" i="17"/>
  <c r="Q6" i="17"/>
  <c r="T6" i="17" s="1"/>
  <c r="R6" i="17"/>
  <c r="S6" i="17"/>
  <c r="Q7" i="17"/>
  <c r="AC7" i="17" s="1"/>
  <c r="R7" i="17"/>
  <c r="S7" i="17"/>
  <c r="T7" i="17"/>
  <c r="AD7" i="17" s="1"/>
  <c r="AD4" i="17"/>
  <c r="AC4" i="17"/>
  <c r="T4" i="17"/>
  <c r="S4" i="17"/>
  <c r="R4" i="17"/>
  <c r="Q4" i="17"/>
  <c r="AF4" i="19"/>
  <c r="AE4" i="19"/>
  <c r="AB4" i="19"/>
  <c r="AA4" i="19"/>
  <c r="Z4" i="19"/>
  <c r="Y4" i="19"/>
  <c r="X4" i="19"/>
  <c r="W4" i="19"/>
  <c r="V4" i="19"/>
  <c r="U4" i="19"/>
  <c r="Q5" i="19"/>
  <c r="R5" i="19"/>
  <c r="S5" i="19"/>
  <c r="T5" i="19"/>
  <c r="AC5" i="19"/>
  <c r="AD5" i="19"/>
  <c r="Q6" i="19"/>
  <c r="R6" i="19"/>
  <c r="S6" i="19"/>
  <c r="T6" i="19"/>
  <c r="AC6" i="19"/>
  <c r="AD6" i="19"/>
  <c r="Q7" i="19"/>
  <c r="AC7" i="19" s="1"/>
  <c r="R7" i="19"/>
  <c r="S7" i="19"/>
  <c r="T7" i="19"/>
  <c r="AD7" i="19" s="1"/>
  <c r="AD4" i="19"/>
  <c r="AC4" i="19"/>
  <c r="T4" i="19"/>
  <c r="S4" i="19"/>
  <c r="R4" i="19"/>
  <c r="Q4" i="19"/>
  <c r="AE27" i="16"/>
  <c r="AA27" i="16"/>
  <c r="Q27" i="16"/>
  <c r="R27" i="16"/>
  <c r="S27" i="16"/>
  <c r="T27" i="16"/>
  <c r="AC27" i="16"/>
  <c r="AD27" i="16"/>
  <c r="Q28" i="16"/>
  <c r="R28" i="16"/>
  <c r="S28" i="16"/>
  <c r="T28" i="16"/>
  <c r="AC28" i="16"/>
  <c r="AD28" i="16"/>
  <c r="Q29" i="16"/>
  <c r="T29" i="16" s="1"/>
  <c r="R29" i="16"/>
  <c r="S29" i="16"/>
  <c r="Q30" i="16"/>
  <c r="AC30" i="16" s="1"/>
  <c r="R30" i="16"/>
  <c r="S30" i="16"/>
  <c r="T30" i="16"/>
  <c r="AD30" i="16" s="1"/>
  <c r="Q31" i="16"/>
  <c r="R31" i="16"/>
  <c r="S31" i="16"/>
  <c r="T31" i="16"/>
  <c r="AC31" i="16"/>
  <c r="AD31" i="16"/>
  <c r="AE16" i="16"/>
  <c r="AA16" i="16"/>
  <c r="U16" i="16"/>
  <c r="Q16" i="16"/>
  <c r="AC16" i="16" s="1"/>
  <c r="R16" i="16"/>
  <c r="S16" i="16"/>
  <c r="T16" i="16"/>
  <c r="AD16" i="16" s="1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T19" i="16" s="1"/>
  <c r="R19" i="16"/>
  <c r="S19" i="16"/>
  <c r="Q20" i="16"/>
  <c r="R20" i="16"/>
  <c r="S20" i="16"/>
  <c r="T20" i="16"/>
  <c r="AC20" i="16"/>
  <c r="AD20" i="16"/>
  <c r="Q21" i="16"/>
  <c r="R21" i="16"/>
  <c r="S21" i="16"/>
  <c r="T21" i="16"/>
  <c r="AC21" i="16"/>
  <c r="AD21" i="16"/>
  <c r="Q22" i="16"/>
  <c r="R22" i="16"/>
  <c r="S22" i="16"/>
  <c r="T22" i="16"/>
  <c r="AC22" i="16"/>
  <c r="AD22" i="16"/>
  <c r="Q23" i="16"/>
  <c r="R23" i="16"/>
  <c r="S23" i="16"/>
  <c r="T23" i="16"/>
  <c r="AC23" i="16"/>
  <c r="AD23" i="16"/>
  <c r="AF4" i="16"/>
  <c r="AE4" i="16"/>
  <c r="AB4" i="16"/>
  <c r="AA4" i="16"/>
  <c r="Z4" i="16"/>
  <c r="Y4" i="16"/>
  <c r="X4" i="16"/>
  <c r="W4" i="16"/>
  <c r="V4" i="16"/>
  <c r="U4" i="16"/>
  <c r="Q5" i="16"/>
  <c r="T5" i="16" s="1"/>
  <c r="R5" i="16"/>
  <c r="S5" i="16"/>
  <c r="Q6" i="16"/>
  <c r="R6" i="16"/>
  <c r="S6" i="16"/>
  <c r="T6" i="16"/>
  <c r="AC6" i="16"/>
  <c r="AD6" i="16"/>
  <c r="Q7" i="16"/>
  <c r="R7" i="16"/>
  <c r="S7" i="16"/>
  <c r="T7" i="16"/>
  <c r="AD7" i="16" s="1"/>
  <c r="AC7" i="16"/>
  <c r="Q8" i="16"/>
  <c r="T8" i="16" s="1"/>
  <c r="R8" i="16"/>
  <c r="AC8" i="16" s="1"/>
  <c r="S8" i="16"/>
  <c r="Q9" i="16"/>
  <c r="R9" i="16"/>
  <c r="S9" i="16"/>
  <c r="T9" i="16"/>
  <c r="AC9" i="16"/>
  <c r="AD9" i="16"/>
  <c r="Q10" i="16"/>
  <c r="T10" i="16" s="1"/>
  <c r="R10" i="16"/>
  <c r="S10" i="16"/>
  <c r="Q11" i="16"/>
  <c r="R11" i="16"/>
  <c r="S11" i="16"/>
  <c r="T11" i="16"/>
  <c r="AC11" i="16"/>
  <c r="AD11" i="16"/>
  <c r="Q12" i="16"/>
  <c r="R12" i="16"/>
  <c r="S12" i="16"/>
  <c r="T12" i="16"/>
  <c r="AC12" i="16"/>
  <c r="AD12" i="16"/>
  <c r="Q13" i="16"/>
  <c r="T13" i="16" s="1"/>
  <c r="R13" i="16"/>
  <c r="S13" i="16"/>
  <c r="AD4" i="16"/>
  <c r="AC4" i="16"/>
  <c r="T4" i="16"/>
  <c r="S4" i="16"/>
  <c r="R4" i="16"/>
  <c r="Q4" i="16"/>
  <c r="AF15" i="10"/>
  <c r="AE15" i="10"/>
  <c r="AD15" i="10"/>
  <c r="AC15" i="10"/>
  <c r="AB15" i="10"/>
  <c r="AA15" i="10"/>
  <c r="Z15" i="10"/>
  <c r="Y15" i="10"/>
  <c r="X15" i="10"/>
  <c r="W15" i="10"/>
  <c r="Q24" i="10"/>
  <c r="R24" i="10"/>
  <c r="S24" i="10"/>
  <c r="AE3" i="9"/>
  <c r="AE4" i="9"/>
  <c r="AE5" i="9"/>
  <c r="AE6" i="9"/>
  <c r="AE7" i="9"/>
  <c r="AE8" i="9"/>
  <c r="AE9" i="9"/>
  <c r="AE10" i="9"/>
  <c r="AE11" i="9"/>
  <c r="AE2" i="9"/>
  <c r="V17" i="5"/>
  <c r="V18" i="5"/>
  <c r="V16" i="5"/>
  <c r="AD5" i="12"/>
  <c r="AD6" i="12"/>
  <c r="AD7" i="12"/>
  <c r="AD8" i="12"/>
  <c r="AD9" i="12"/>
  <c r="AD4" i="12"/>
  <c r="AB4" i="12"/>
  <c r="AA4" i="12"/>
  <c r="Z4" i="12"/>
  <c r="Y4" i="12"/>
  <c r="X4" i="12"/>
  <c r="W4" i="12"/>
  <c r="V4" i="12"/>
  <c r="U4" i="12"/>
  <c r="Q5" i="12"/>
  <c r="T5" i="12" s="1"/>
  <c r="R5" i="12"/>
  <c r="S5" i="12"/>
  <c r="Q6" i="12"/>
  <c r="R6" i="12"/>
  <c r="S6" i="12"/>
  <c r="T6" i="12"/>
  <c r="AC6" i="12"/>
  <c r="Q7" i="12"/>
  <c r="R7" i="12"/>
  <c r="AC7" i="12" s="1"/>
  <c r="S7" i="12"/>
  <c r="T7" i="12"/>
  <c r="Q8" i="12"/>
  <c r="R8" i="12"/>
  <c r="S8" i="12"/>
  <c r="T8" i="12"/>
  <c r="AC8" i="12"/>
  <c r="Q9" i="12"/>
  <c r="R9" i="12"/>
  <c r="S9" i="12"/>
  <c r="T9" i="12"/>
  <c r="AC9" i="12"/>
  <c r="AF4" i="14"/>
  <c r="AE4" i="14"/>
  <c r="AB4" i="14"/>
  <c r="AA4" i="14"/>
  <c r="Z4" i="14"/>
  <c r="Y4" i="14"/>
  <c r="X4" i="14"/>
  <c r="W4" i="14"/>
  <c r="V4" i="14"/>
  <c r="U4" i="14"/>
  <c r="Q5" i="14"/>
  <c r="T5" i="14" s="1"/>
  <c r="R5" i="14"/>
  <c r="S5" i="14"/>
  <c r="Q6" i="14"/>
  <c r="R6" i="14"/>
  <c r="S6" i="14"/>
  <c r="T6" i="14"/>
  <c r="AC6" i="14"/>
  <c r="AD6" i="14"/>
  <c r="Q7" i="14"/>
  <c r="R7" i="14"/>
  <c r="S7" i="14"/>
  <c r="T7" i="14"/>
  <c r="AC7" i="14"/>
  <c r="AD7" i="14"/>
  <c r="Q8" i="14"/>
  <c r="R8" i="14"/>
  <c r="S8" i="14"/>
  <c r="T8" i="14"/>
  <c r="AC8" i="14"/>
  <c r="AD8" i="14"/>
  <c r="AD4" i="14"/>
  <c r="AC4" i="14"/>
  <c r="T4" i="14"/>
  <c r="S4" i="14"/>
  <c r="R4" i="14"/>
  <c r="Q4" i="14"/>
  <c r="AF4" i="13"/>
  <c r="AE4" i="13"/>
  <c r="AB4" i="13"/>
  <c r="AA4" i="13"/>
  <c r="Z4" i="13"/>
  <c r="Y4" i="13"/>
  <c r="X4" i="13"/>
  <c r="W4" i="13"/>
  <c r="V4" i="13"/>
  <c r="U4" i="13"/>
  <c r="Q5" i="13"/>
  <c r="R5" i="13"/>
  <c r="S5" i="13"/>
  <c r="T5" i="13"/>
  <c r="AC5" i="13"/>
  <c r="AD5" i="13"/>
  <c r="Q6" i="13"/>
  <c r="R6" i="13"/>
  <c r="S6" i="13"/>
  <c r="T6" i="13"/>
  <c r="AC6" i="13"/>
  <c r="AD6" i="13"/>
  <c r="Q7" i="13"/>
  <c r="AC7" i="13" s="1"/>
  <c r="R7" i="13"/>
  <c r="S7" i="13"/>
  <c r="T7" i="13"/>
  <c r="AD7" i="13" s="1"/>
  <c r="Q8" i="13"/>
  <c r="R8" i="13"/>
  <c r="S8" i="13"/>
  <c r="T8" i="13"/>
  <c r="AC8" i="13"/>
  <c r="AD8" i="13"/>
  <c r="Q9" i="13"/>
  <c r="R9" i="13"/>
  <c r="S9" i="13"/>
  <c r="T9" i="13"/>
  <c r="AC9" i="13"/>
  <c r="AD9" i="13"/>
  <c r="AD4" i="13"/>
  <c r="AF4" i="11"/>
  <c r="AE4" i="11"/>
  <c r="AD5" i="11"/>
  <c r="AD6" i="11"/>
  <c r="AD7" i="11"/>
  <c r="AD8" i="11"/>
  <c r="AD9" i="11"/>
  <c r="AD10" i="11"/>
  <c r="AD4" i="11"/>
  <c r="AB4" i="11"/>
  <c r="AA4" i="11"/>
  <c r="Z4" i="11"/>
  <c r="Y4" i="11"/>
  <c r="X4" i="11"/>
  <c r="W4" i="11"/>
  <c r="V4" i="11"/>
  <c r="U4" i="11"/>
  <c r="Q5" i="11"/>
  <c r="T5" i="11" s="1"/>
  <c r="R5" i="11"/>
  <c r="S5" i="11"/>
  <c r="Q6" i="11"/>
  <c r="T6" i="11" s="1"/>
  <c r="R6" i="11"/>
  <c r="S6" i="11"/>
  <c r="Q7" i="11"/>
  <c r="R7" i="11"/>
  <c r="S7" i="11"/>
  <c r="T7" i="11"/>
  <c r="AC7" i="11"/>
  <c r="Q8" i="11"/>
  <c r="R8" i="11"/>
  <c r="S8" i="11"/>
  <c r="T8" i="11"/>
  <c r="AC8" i="11"/>
  <c r="Q9" i="11"/>
  <c r="R9" i="11"/>
  <c r="S9" i="11"/>
  <c r="T9" i="11"/>
  <c r="AC9" i="11"/>
  <c r="Q10" i="11"/>
  <c r="T10" i="11" s="1"/>
  <c r="R10" i="11"/>
  <c r="S10" i="11"/>
  <c r="AC4" i="11"/>
  <c r="Q5" i="8"/>
  <c r="R5" i="8"/>
  <c r="S5" i="8"/>
  <c r="Q6" i="8"/>
  <c r="R6" i="8"/>
  <c r="S6" i="8"/>
  <c r="U6" i="8"/>
  <c r="Q7" i="8"/>
  <c r="R7" i="8"/>
  <c r="S7" i="8"/>
  <c r="T7" i="8"/>
  <c r="Q8" i="8"/>
  <c r="T8" i="8" s="1"/>
  <c r="R8" i="8"/>
  <c r="S8" i="8"/>
  <c r="Q9" i="8"/>
  <c r="R9" i="8"/>
  <c r="S9" i="8"/>
  <c r="Q10" i="8"/>
  <c r="R10" i="8"/>
  <c r="S10" i="8"/>
  <c r="T10" i="8"/>
  <c r="AF40" i="7"/>
  <c r="AE40" i="7"/>
  <c r="AD40" i="7"/>
  <c r="AC40" i="7"/>
  <c r="AB40" i="7"/>
  <c r="AA40" i="7"/>
  <c r="Z40" i="7"/>
  <c r="Y40" i="7"/>
  <c r="X40" i="7"/>
  <c r="W40" i="7"/>
  <c r="Q41" i="7"/>
  <c r="R41" i="7"/>
  <c r="S41" i="7"/>
  <c r="T41" i="7"/>
  <c r="U41" i="7"/>
  <c r="V41" i="7"/>
  <c r="V40" i="7"/>
  <c r="U40" i="7"/>
  <c r="T40" i="7"/>
  <c r="S40" i="7"/>
  <c r="R40" i="7"/>
  <c r="Q40" i="7"/>
  <c r="AF40" i="6"/>
  <c r="AE40" i="6"/>
  <c r="AD40" i="6"/>
  <c r="AC40" i="6"/>
  <c r="AB40" i="6"/>
  <c r="AA40" i="6"/>
  <c r="Z40" i="6"/>
  <c r="Y40" i="6"/>
  <c r="X40" i="6"/>
  <c r="W40" i="6"/>
  <c r="Q41" i="6"/>
  <c r="T41" i="6" s="1"/>
  <c r="R41" i="6"/>
  <c r="S41" i="6"/>
  <c r="V40" i="6"/>
  <c r="U40" i="6"/>
  <c r="T40" i="6"/>
  <c r="S40" i="6"/>
  <c r="R40" i="6"/>
  <c r="Q40" i="6"/>
  <c r="AB16" i="5"/>
  <c r="AA16" i="5"/>
  <c r="Z16" i="5"/>
  <c r="Y16" i="5"/>
  <c r="X16" i="5"/>
  <c r="W16" i="5"/>
  <c r="AF3" i="2"/>
  <c r="AE3" i="2"/>
  <c r="AD3" i="2"/>
  <c r="AC3" i="2"/>
  <c r="AB3" i="2"/>
  <c r="AA3" i="2"/>
  <c r="Z3" i="2"/>
  <c r="Y3" i="2"/>
  <c r="X3" i="2"/>
  <c r="W3" i="2"/>
  <c r="Q4" i="2"/>
  <c r="R4" i="2"/>
  <c r="T4" i="2" s="1"/>
  <c r="S4" i="2"/>
  <c r="Q5" i="2"/>
  <c r="R5" i="2"/>
  <c r="S5" i="2"/>
  <c r="S3" i="2"/>
  <c r="R3" i="2"/>
  <c r="Q3" i="2"/>
  <c r="T3" i="2" s="1"/>
  <c r="Z4" i="18"/>
  <c r="Y4" i="18"/>
  <c r="X4" i="18"/>
  <c r="W4" i="18"/>
  <c r="V4" i="18"/>
  <c r="U4" i="18"/>
  <c r="Q5" i="18"/>
  <c r="T5" i="18" s="1"/>
  <c r="R5" i="18"/>
  <c r="S5" i="18"/>
  <c r="S4" i="18"/>
  <c r="R4" i="18"/>
  <c r="Q4" i="18"/>
  <c r="AC4" i="18" s="1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T4" i="13" s="1"/>
  <c r="S4" i="12"/>
  <c r="R4" i="12"/>
  <c r="Q4" i="12"/>
  <c r="AC4" i="12" s="1"/>
  <c r="S4" i="11"/>
  <c r="R4" i="11"/>
  <c r="Q4" i="11"/>
  <c r="Q4" i="10"/>
  <c r="T4" i="10" s="1"/>
  <c r="R4" i="10"/>
  <c r="S4" i="10"/>
  <c r="Q5" i="10"/>
  <c r="T5" i="10" s="1"/>
  <c r="R5" i="10"/>
  <c r="S5" i="10"/>
  <c r="Q6" i="10"/>
  <c r="U6" i="10" s="1"/>
  <c r="R6" i="10"/>
  <c r="S6" i="10"/>
  <c r="Q7" i="10"/>
  <c r="T7" i="10" s="1"/>
  <c r="R7" i="10"/>
  <c r="S7" i="10"/>
  <c r="Q8" i="10"/>
  <c r="T8" i="10" s="1"/>
  <c r="R8" i="10"/>
  <c r="S8" i="10"/>
  <c r="Q9" i="10"/>
  <c r="T9" i="10" s="1"/>
  <c r="R9" i="10"/>
  <c r="S9" i="10"/>
  <c r="Q10" i="10"/>
  <c r="T10" i="10" s="1"/>
  <c r="R10" i="10"/>
  <c r="S10" i="10"/>
  <c r="Q11" i="10"/>
  <c r="T11" i="10" s="1"/>
  <c r="R11" i="10"/>
  <c r="S11" i="10"/>
  <c r="Q12" i="10"/>
  <c r="T12" i="10" s="1"/>
  <c r="R12" i="10"/>
  <c r="S12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Q19" i="10"/>
  <c r="R19" i="10"/>
  <c r="S19" i="10"/>
  <c r="Q20" i="10"/>
  <c r="R20" i="10"/>
  <c r="S20" i="10"/>
  <c r="Q21" i="10"/>
  <c r="R21" i="10"/>
  <c r="S21" i="10"/>
  <c r="Q22" i="10"/>
  <c r="R22" i="10"/>
  <c r="S22" i="10"/>
  <c r="Q23" i="10"/>
  <c r="R23" i="10"/>
  <c r="S23" i="10"/>
  <c r="Q26" i="10"/>
  <c r="T26" i="10" s="1"/>
  <c r="R26" i="10"/>
  <c r="S26" i="10"/>
  <c r="Q27" i="10"/>
  <c r="T27" i="10" s="1"/>
  <c r="R27" i="10"/>
  <c r="S27" i="10"/>
  <c r="Q28" i="10"/>
  <c r="R28" i="10"/>
  <c r="S28" i="10"/>
  <c r="T28" i="10"/>
  <c r="U28" i="10"/>
  <c r="Q31" i="10"/>
  <c r="U31" i="10" s="1"/>
  <c r="R31" i="10"/>
  <c r="S31" i="10"/>
  <c r="T31" i="10"/>
  <c r="AD31" i="10" s="1"/>
  <c r="Q32" i="10"/>
  <c r="T32" i="10" s="1"/>
  <c r="R32" i="10"/>
  <c r="S32" i="10"/>
  <c r="Q33" i="10"/>
  <c r="T33" i="10" s="1"/>
  <c r="R33" i="10"/>
  <c r="S33" i="10"/>
  <c r="Q34" i="10"/>
  <c r="U34" i="10" s="1"/>
  <c r="R34" i="10"/>
  <c r="S34" i="10"/>
  <c r="T34" i="10"/>
  <c r="Q35" i="10"/>
  <c r="U35" i="10" s="1"/>
  <c r="R35" i="10"/>
  <c r="S35" i="10"/>
  <c r="T35" i="10"/>
  <c r="Q36" i="10"/>
  <c r="T36" i="10" s="1"/>
  <c r="R36" i="10"/>
  <c r="S36" i="10"/>
  <c r="Q37" i="10"/>
  <c r="T37" i="10" s="1"/>
  <c r="R37" i="10"/>
  <c r="S37" i="10"/>
  <c r="Q38" i="10"/>
  <c r="U38" i="10" s="1"/>
  <c r="R38" i="10"/>
  <c r="S38" i="10"/>
  <c r="Q39" i="10"/>
  <c r="U39" i="10" s="1"/>
  <c r="R39" i="10"/>
  <c r="S39" i="10"/>
  <c r="Q42" i="10"/>
  <c r="R42" i="10"/>
  <c r="S42" i="10"/>
  <c r="T42" i="10"/>
  <c r="AE42" i="10" s="1"/>
  <c r="U42" i="10"/>
  <c r="Q43" i="10"/>
  <c r="T43" i="10" s="1"/>
  <c r="R43" i="10"/>
  <c r="S43" i="10"/>
  <c r="Q44" i="10"/>
  <c r="T44" i="10" s="1"/>
  <c r="R44" i="10"/>
  <c r="S44" i="10"/>
  <c r="Q45" i="10"/>
  <c r="T45" i="10" s="1"/>
  <c r="R45" i="10"/>
  <c r="S45" i="10"/>
  <c r="Q46" i="10"/>
  <c r="U46" i="10" s="1"/>
  <c r="R46" i="10"/>
  <c r="S46" i="10"/>
  <c r="Q47" i="10"/>
  <c r="T47" i="10" s="1"/>
  <c r="R47" i="10"/>
  <c r="S47" i="10"/>
  <c r="Q48" i="10"/>
  <c r="R48" i="10"/>
  <c r="S48" i="10"/>
  <c r="T48" i="10"/>
  <c r="U48" i="10"/>
  <c r="Q49" i="10"/>
  <c r="T49" i="10" s="1"/>
  <c r="R49" i="10"/>
  <c r="S49" i="10"/>
  <c r="Q50" i="10"/>
  <c r="T50" i="10" s="1"/>
  <c r="R50" i="10"/>
  <c r="S50" i="10"/>
  <c r="Q53" i="10"/>
  <c r="R53" i="10"/>
  <c r="S53" i="10"/>
  <c r="T53" i="10"/>
  <c r="AD53" i="10" s="1"/>
  <c r="U53" i="10"/>
  <c r="Q54" i="10"/>
  <c r="U54" i="10" s="1"/>
  <c r="R54" i="10"/>
  <c r="S54" i="10"/>
  <c r="Q57" i="10"/>
  <c r="T57" i="10" s="1"/>
  <c r="AE57" i="10" s="1"/>
  <c r="R57" i="10"/>
  <c r="S57" i="10"/>
  <c r="Q58" i="10"/>
  <c r="T58" i="10" s="1"/>
  <c r="R58" i="10"/>
  <c r="S58" i="10"/>
  <c r="Q59" i="10"/>
  <c r="R59" i="10"/>
  <c r="S59" i="10"/>
  <c r="T59" i="10"/>
  <c r="U59" i="10"/>
  <c r="Q60" i="10"/>
  <c r="R60" i="10"/>
  <c r="S60" i="10"/>
  <c r="T60" i="10"/>
  <c r="U60" i="10"/>
  <c r="Q61" i="10"/>
  <c r="T61" i="10" s="1"/>
  <c r="R61" i="10"/>
  <c r="S61" i="10"/>
  <c r="Q62" i="10"/>
  <c r="U62" i="10" s="1"/>
  <c r="R62" i="10"/>
  <c r="S62" i="10"/>
  <c r="Q63" i="10"/>
  <c r="R63" i="10"/>
  <c r="S63" i="10"/>
  <c r="T63" i="10"/>
  <c r="U63" i="10"/>
  <c r="Q66" i="10"/>
  <c r="U66" i="10" s="1"/>
  <c r="R66" i="10"/>
  <c r="S66" i="10"/>
  <c r="T66" i="10"/>
  <c r="AD66" i="10" s="1"/>
  <c r="Q67" i="10"/>
  <c r="T67" i="10" s="1"/>
  <c r="R67" i="10"/>
  <c r="S67" i="10"/>
  <c r="Q68" i="10"/>
  <c r="T68" i="10" s="1"/>
  <c r="R68" i="10"/>
  <c r="S68" i="10"/>
  <c r="Q71" i="10"/>
  <c r="T71" i="10" s="1"/>
  <c r="R71" i="10"/>
  <c r="S71" i="10"/>
  <c r="Q72" i="10"/>
  <c r="T72" i="10" s="1"/>
  <c r="R72" i="10"/>
  <c r="S72" i="10"/>
  <c r="Q73" i="10"/>
  <c r="T73" i="10" s="1"/>
  <c r="R73" i="10"/>
  <c r="S73" i="10"/>
  <c r="Q74" i="10"/>
  <c r="U74" i="10" s="1"/>
  <c r="R74" i="10"/>
  <c r="S74" i="10"/>
  <c r="T74" i="10"/>
  <c r="Q75" i="10"/>
  <c r="T75" i="10" s="1"/>
  <c r="R75" i="10"/>
  <c r="S75" i="10"/>
  <c r="Q76" i="10"/>
  <c r="T76" i="10" s="1"/>
  <c r="R76" i="10"/>
  <c r="S76" i="10"/>
  <c r="Q77" i="10"/>
  <c r="T77" i="10" s="1"/>
  <c r="R77" i="10"/>
  <c r="S77" i="10"/>
  <c r="Q78" i="10"/>
  <c r="U78" i="10" s="1"/>
  <c r="R78" i="10"/>
  <c r="S78" i="10"/>
  <c r="T78" i="10"/>
  <c r="V78" i="10" s="1"/>
  <c r="Q79" i="10"/>
  <c r="T79" i="10" s="1"/>
  <c r="R79" i="10"/>
  <c r="S79" i="10"/>
  <c r="Q80" i="10"/>
  <c r="T80" i="10" s="1"/>
  <c r="R80" i="10"/>
  <c r="S80" i="10"/>
  <c r="Q83" i="10"/>
  <c r="T83" i="10" s="1"/>
  <c r="R83" i="10"/>
  <c r="S83" i="10"/>
  <c r="Q84" i="10"/>
  <c r="R84" i="10"/>
  <c r="S84" i="10"/>
  <c r="T84" i="10"/>
  <c r="U84" i="10"/>
  <c r="V84" i="10"/>
  <c r="Q85" i="10"/>
  <c r="U85" i="10" s="1"/>
  <c r="R85" i="10"/>
  <c r="S85" i="10"/>
  <c r="Q86" i="10"/>
  <c r="U86" i="10" s="1"/>
  <c r="R86" i="10"/>
  <c r="S86" i="10"/>
  <c r="Q87" i="10"/>
  <c r="U87" i="10" s="1"/>
  <c r="R87" i="10"/>
  <c r="S87" i="10"/>
  <c r="Q88" i="10"/>
  <c r="U88" i="10" s="1"/>
  <c r="R88" i="10"/>
  <c r="S88" i="10"/>
  <c r="T88" i="10"/>
  <c r="Q91" i="10"/>
  <c r="T91" i="10" s="1"/>
  <c r="R91" i="10"/>
  <c r="S91" i="10"/>
  <c r="Q92" i="10"/>
  <c r="T92" i="10" s="1"/>
  <c r="R92" i="10"/>
  <c r="S92" i="10"/>
  <c r="Q93" i="10"/>
  <c r="T93" i="10" s="1"/>
  <c r="R93" i="10"/>
  <c r="S93" i="10"/>
  <c r="Q94" i="10"/>
  <c r="U94" i="10" s="1"/>
  <c r="R94" i="10"/>
  <c r="S94" i="10"/>
  <c r="Q95" i="10"/>
  <c r="T95" i="10" s="1"/>
  <c r="R95" i="10"/>
  <c r="S95" i="10"/>
  <c r="Q96" i="10"/>
  <c r="T96" i="10" s="1"/>
  <c r="R96" i="10"/>
  <c r="S96" i="10"/>
  <c r="Q97" i="10"/>
  <c r="T97" i="10" s="1"/>
  <c r="R97" i="10"/>
  <c r="S97" i="10"/>
  <c r="Q98" i="10"/>
  <c r="T98" i="10" s="1"/>
  <c r="R98" i="10"/>
  <c r="S98" i="10"/>
  <c r="Q99" i="10"/>
  <c r="T99" i="10" s="1"/>
  <c r="R99" i="10"/>
  <c r="S99" i="10"/>
  <c r="S3" i="10"/>
  <c r="R3" i="10"/>
  <c r="Q3" i="10"/>
  <c r="U3" i="10" s="1"/>
  <c r="AD5" i="9"/>
  <c r="AD10" i="9"/>
  <c r="AD11" i="9"/>
  <c r="R3" i="9"/>
  <c r="S3" i="9"/>
  <c r="T3" i="9"/>
  <c r="R4" i="9"/>
  <c r="S4" i="9"/>
  <c r="T4" i="9"/>
  <c r="AD4" i="9" s="1"/>
  <c r="R5" i="9"/>
  <c r="S5" i="9"/>
  <c r="T5" i="9"/>
  <c r="R6" i="9"/>
  <c r="S6" i="9"/>
  <c r="T6" i="9"/>
  <c r="R7" i="9"/>
  <c r="S7" i="9"/>
  <c r="T7" i="9"/>
  <c r="R8" i="9"/>
  <c r="S8" i="9"/>
  <c r="T8" i="9"/>
  <c r="R9" i="9"/>
  <c r="S9" i="9"/>
  <c r="T9" i="9"/>
  <c r="AD9" i="9" s="1"/>
  <c r="R10" i="9"/>
  <c r="S10" i="9"/>
  <c r="T10" i="9"/>
  <c r="U10" i="9"/>
  <c r="R11" i="9"/>
  <c r="S11" i="9"/>
  <c r="T11" i="9"/>
  <c r="T2" i="9"/>
  <c r="S2" i="9"/>
  <c r="Y2" i="9" s="1"/>
  <c r="R2" i="9"/>
  <c r="S4" i="8"/>
  <c r="R4" i="8"/>
  <c r="Z4" i="8" s="1"/>
  <c r="Q4" i="8"/>
  <c r="AE32" i="7"/>
  <c r="AD32" i="7"/>
  <c r="AA32" i="7"/>
  <c r="Z32" i="7"/>
  <c r="Y32" i="7"/>
  <c r="X32" i="7"/>
  <c r="W32" i="7"/>
  <c r="AD24" i="7"/>
  <c r="AC24" i="7"/>
  <c r="AB24" i="7"/>
  <c r="X24" i="7"/>
  <c r="AD17" i="7"/>
  <c r="AC17" i="7"/>
  <c r="AB17" i="7"/>
  <c r="AA17" i="7"/>
  <c r="Y17" i="7"/>
  <c r="X17" i="7"/>
  <c r="W17" i="7"/>
  <c r="AF10" i="7"/>
  <c r="AE10" i="7"/>
  <c r="AD10" i="7"/>
  <c r="AC10" i="7"/>
  <c r="AB10" i="7"/>
  <c r="AA10" i="7"/>
  <c r="Z10" i="7"/>
  <c r="Y10" i="7"/>
  <c r="X10" i="7"/>
  <c r="W10" i="7"/>
  <c r="AF3" i="7"/>
  <c r="AE3" i="7"/>
  <c r="AD3" i="7"/>
  <c r="AC3" i="7"/>
  <c r="AB3" i="7"/>
  <c r="AA3" i="7"/>
  <c r="Z3" i="7"/>
  <c r="Y3" i="7"/>
  <c r="X3" i="7"/>
  <c r="W3" i="7"/>
  <c r="Q4" i="7"/>
  <c r="U4" i="7" s="1"/>
  <c r="R4" i="7"/>
  <c r="S4" i="7"/>
  <c r="T4" i="7"/>
  <c r="V4" i="7" s="1"/>
  <c r="Q5" i="7"/>
  <c r="R5" i="7"/>
  <c r="S5" i="7"/>
  <c r="T5" i="7"/>
  <c r="V5" i="7" s="1"/>
  <c r="U5" i="7"/>
  <c r="Q6" i="7"/>
  <c r="U6" i="7" s="1"/>
  <c r="R6" i="7"/>
  <c r="S6" i="7"/>
  <c r="T6" i="7"/>
  <c r="V6" i="7" s="1"/>
  <c r="Q10" i="7"/>
  <c r="R10" i="7"/>
  <c r="S10" i="7"/>
  <c r="T10" i="7"/>
  <c r="V10" i="7" s="1"/>
  <c r="U10" i="7"/>
  <c r="Q11" i="7"/>
  <c r="T11" i="7" s="1"/>
  <c r="R11" i="7"/>
  <c r="S11" i="7"/>
  <c r="Q12" i="7"/>
  <c r="U12" i="7" s="1"/>
  <c r="R12" i="7"/>
  <c r="S12" i="7"/>
  <c r="T12" i="7"/>
  <c r="Q13" i="7"/>
  <c r="R13" i="7"/>
  <c r="S13" i="7"/>
  <c r="T13" i="7"/>
  <c r="V13" i="7" s="1"/>
  <c r="U13" i="7"/>
  <c r="Q17" i="7"/>
  <c r="T17" i="7" s="1"/>
  <c r="R17" i="7"/>
  <c r="Z17" i="7" s="1"/>
  <c r="S17" i="7"/>
  <c r="Q18" i="7"/>
  <c r="R18" i="7"/>
  <c r="S18" i="7"/>
  <c r="T18" i="7"/>
  <c r="U18" i="7"/>
  <c r="V18" i="7"/>
  <c r="Q19" i="7"/>
  <c r="T19" i="7" s="1"/>
  <c r="R19" i="7"/>
  <c r="S19" i="7"/>
  <c r="Q20" i="7"/>
  <c r="U20" i="7" s="1"/>
  <c r="R20" i="7"/>
  <c r="S20" i="7"/>
  <c r="Q24" i="7"/>
  <c r="U24" i="7" s="1"/>
  <c r="R24" i="7"/>
  <c r="T24" i="7" s="1"/>
  <c r="S24" i="7"/>
  <c r="AA24" i="7" s="1"/>
  <c r="Q25" i="7"/>
  <c r="T25" i="7" s="1"/>
  <c r="R25" i="7"/>
  <c r="S25" i="7"/>
  <c r="Q26" i="7"/>
  <c r="U26" i="7" s="1"/>
  <c r="R26" i="7"/>
  <c r="S26" i="7"/>
  <c r="T26" i="7"/>
  <c r="V26" i="7" s="1"/>
  <c r="Q27" i="7"/>
  <c r="T27" i="7" s="1"/>
  <c r="R27" i="7"/>
  <c r="S27" i="7"/>
  <c r="Q32" i="7"/>
  <c r="U32" i="7" s="1"/>
  <c r="R32" i="7"/>
  <c r="T32" i="7" s="1"/>
  <c r="V32" i="7" s="1"/>
  <c r="AF32" i="7" s="1"/>
  <c r="S32" i="7"/>
  <c r="AB32" i="7" s="1"/>
  <c r="Q33" i="7"/>
  <c r="T33" i="7" s="1"/>
  <c r="R33" i="7"/>
  <c r="S33" i="7"/>
  <c r="Q34" i="7"/>
  <c r="R34" i="7"/>
  <c r="S34" i="7"/>
  <c r="T34" i="7"/>
  <c r="V34" i="7" s="1"/>
  <c r="U34" i="7"/>
  <c r="Q35" i="7"/>
  <c r="T35" i="7" s="1"/>
  <c r="R35" i="7"/>
  <c r="S35" i="7"/>
  <c r="Q36" i="7"/>
  <c r="U36" i="7" s="1"/>
  <c r="R36" i="7"/>
  <c r="S36" i="7"/>
  <c r="Q37" i="7"/>
  <c r="R37" i="7"/>
  <c r="S37" i="7"/>
  <c r="T37" i="7"/>
  <c r="U37" i="7"/>
  <c r="V3" i="7"/>
  <c r="U3" i="7"/>
  <c r="T3" i="7"/>
  <c r="S3" i="7"/>
  <c r="R3" i="7"/>
  <c r="Q3" i="7"/>
  <c r="AC7" i="6"/>
  <c r="U17" i="6"/>
  <c r="W31" i="6"/>
  <c r="X24" i="6"/>
  <c r="W24" i="6"/>
  <c r="T6" i="6"/>
  <c r="U6" i="6"/>
  <c r="V6" i="6"/>
  <c r="T10" i="6"/>
  <c r="U10" i="6"/>
  <c r="U24" i="6"/>
  <c r="T32" i="6"/>
  <c r="U33" i="6"/>
  <c r="U3" i="6"/>
  <c r="T3" i="6"/>
  <c r="X3" i="6" s="1"/>
  <c r="Q4" i="6"/>
  <c r="T4" i="6" s="1"/>
  <c r="R4" i="6"/>
  <c r="S4" i="6"/>
  <c r="Q5" i="6"/>
  <c r="T5" i="6" s="1"/>
  <c r="R5" i="6"/>
  <c r="S5" i="6"/>
  <c r="Q6" i="6"/>
  <c r="R6" i="6"/>
  <c r="S6" i="6"/>
  <c r="Q10" i="6"/>
  <c r="R10" i="6"/>
  <c r="S10" i="6"/>
  <c r="Q11" i="6"/>
  <c r="T11" i="6" s="1"/>
  <c r="R11" i="6"/>
  <c r="S11" i="6"/>
  <c r="Q12" i="6"/>
  <c r="R12" i="6"/>
  <c r="S12" i="6"/>
  <c r="Q13" i="6"/>
  <c r="T13" i="6" s="1"/>
  <c r="R13" i="6"/>
  <c r="S13" i="6"/>
  <c r="Q17" i="6"/>
  <c r="T17" i="6" s="1"/>
  <c r="R17" i="6"/>
  <c r="AF7" i="6" s="1"/>
  <c r="S17" i="6"/>
  <c r="AH7" i="6" s="1"/>
  <c r="Q18" i="6"/>
  <c r="T18" i="6" s="1"/>
  <c r="R18" i="6"/>
  <c r="S18" i="6"/>
  <c r="Q19" i="6"/>
  <c r="T19" i="6" s="1"/>
  <c r="R19" i="6"/>
  <c r="S19" i="6"/>
  <c r="Q20" i="6"/>
  <c r="U20" i="6" s="1"/>
  <c r="R20" i="6"/>
  <c r="S20" i="6"/>
  <c r="Q24" i="6"/>
  <c r="R24" i="6"/>
  <c r="S24" i="6"/>
  <c r="T24" i="6" s="1"/>
  <c r="Q25" i="6"/>
  <c r="R25" i="6"/>
  <c r="T25" i="6" s="1"/>
  <c r="S25" i="6"/>
  <c r="Q26" i="6"/>
  <c r="T26" i="6" s="1"/>
  <c r="R26" i="6"/>
  <c r="S26" i="6"/>
  <c r="U26" i="6" s="1"/>
  <c r="Q27" i="6"/>
  <c r="T27" i="6" s="1"/>
  <c r="R27" i="6"/>
  <c r="U27" i="6" s="1"/>
  <c r="S27" i="6"/>
  <c r="Q31" i="6"/>
  <c r="T31" i="6" s="1"/>
  <c r="X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U34" i="6" s="1"/>
  <c r="Q35" i="6"/>
  <c r="U35" i="6" s="1"/>
  <c r="R35" i="6"/>
  <c r="S35" i="6"/>
  <c r="Q36" i="6"/>
  <c r="U36" i="6" s="1"/>
  <c r="R36" i="6"/>
  <c r="S36" i="6"/>
  <c r="S3" i="6"/>
  <c r="R3" i="6"/>
  <c r="Q3" i="6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T12" i="5" s="1"/>
  <c r="Q16" i="5"/>
  <c r="Q17" i="5"/>
  <c r="Q18" i="5"/>
  <c r="Q28" i="5"/>
  <c r="Q29" i="5"/>
  <c r="Q30" i="5"/>
  <c r="Q34" i="5"/>
  <c r="T34" i="5" s="1"/>
  <c r="Q35" i="5"/>
  <c r="T35" i="5" s="1"/>
  <c r="Q36" i="5"/>
  <c r="T36" i="5" s="1"/>
  <c r="Q37" i="5"/>
  <c r="T37" i="5" s="1"/>
  <c r="Q38" i="5"/>
  <c r="T38" i="5" s="1"/>
  <c r="Q39" i="5"/>
  <c r="T39" i="5" s="1"/>
  <c r="Q40" i="5"/>
  <c r="U40" i="5" s="1"/>
  <c r="Q41" i="5"/>
  <c r="T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U59" i="5" s="1"/>
  <c r="Q63" i="5"/>
  <c r="T63" i="5" s="1"/>
  <c r="Q64" i="5"/>
  <c r="U64" i="5" s="1"/>
  <c r="Q65" i="5"/>
  <c r="U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U85" i="5" s="1"/>
  <c r="Q86" i="5"/>
  <c r="T86" i="5" s="1"/>
  <c r="Q87" i="5"/>
  <c r="U87" i="5" s="1"/>
  <c r="Q88" i="5"/>
  <c r="T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T106" i="5" s="1"/>
  <c r="Q107" i="5"/>
  <c r="T107" i="5" s="1"/>
  <c r="Q108" i="5"/>
  <c r="T108" i="5" s="1"/>
  <c r="Q109" i="5"/>
  <c r="U109" i="5" s="1"/>
  <c r="Q3" i="5"/>
  <c r="U3" i="5" s="1"/>
  <c r="AC6" i="17" l="1"/>
  <c r="AD6" i="17" s="1"/>
  <c r="AC29" i="16"/>
  <c r="AD29" i="16" s="1"/>
  <c r="AC19" i="16"/>
  <c r="AD19" i="16" s="1"/>
  <c r="AD8" i="16"/>
  <c r="AC13" i="16"/>
  <c r="AD13" i="16" s="1"/>
  <c r="AC5" i="16"/>
  <c r="AD5" i="16" s="1"/>
  <c r="AC10" i="16"/>
  <c r="AD10" i="16" s="1"/>
  <c r="AB4" i="8"/>
  <c r="U7" i="8"/>
  <c r="U4" i="8"/>
  <c r="T6" i="8"/>
  <c r="U10" i="8"/>
  <c r="T5" i="8"/>
  <c r="V10" i="8"/>
  <c r="U9" i="8"/>
  <c r="V6" i="8"/>
  <c r="T9" i="8"/>
  <c r="V9" i="8" s="1"/>
  <c r="W4" i="8"/>
  <c r="X4" i="8"/>
  <c r="U8" i="10"/>
  <c r="V74" i="10"/>
  <c r="U98" i="10"/>
  <c r="V98" i="10" s="1"/>
  <c r="U37" i="10"/>
  <c r="V37" i="10" s="1"/>
  <c r="AE71" i="10"/>
  <c r="V48" i="10"/>
  <c r="V34" i="10"/>
  <c r="V53" i="10"/>
  <c r="AG53" i="10" s="1"/>
  <c r="V42" i="10"/>
  <c r="AF42" i="10" s="1"/>
  <c r="U71" i="10"/>
  <c r="V71" i="10" s="1"/>
  <c r="U92" i="10"/>
  <c r="V92" i="10" s="1"/>
  <c r="V31" i="10"/>
  <c r="AF31" i="10" s="1"/>
  <c r="U11" i="10"/>
  <c r="V11" i="10" s="1"/>
  <c r="T39" i="10"/>
  <c r="V39" i="10" s="1"/>
  <c r="T24" i="10"/>
  <c r="V8" i="10"/>
  <c r="U24" i="10"/>
  <c r="T87" i="10"/>
  <c r="V87" i="10" s="1"/>
  <c r="U83" i="10"/>
  <c r="U77" i="10"/>
  <c r="V77" i="10" s="1"/>
  <c r="AD42" i="10"/>
  <c r="V35" i="10"/>
  <c r="AE31" i="10"/>
  <c r="V59" i="10"/>
  <c r="V83" i="10"/>
  <c r="AF83" i="10" s="1"/>
  <c r="AE53" i="10"/>
  <c r="T3" i="10"/>
  <c r="AE3" i="10" s="1"/>
  <c r="U5" i="10"/>
  <c r="V5" i="10" s="1"/>
  <c r="U95" i="10"/>
  <c r="V95" i="10" s="1"/>
  <c r="U61" i="10"/>
  <c r="V61" i="10" s="1"/>
  <c r="U36" i="10"/>
  <c r="V36" i="10" s="1"/>
  <c r="U27" i="10"/>
  <c r="V27" i="10" s="1"/>
  <c r="AM15" i="10"/>
  <c r="AD83" i="10"/>
  <c r="V60" i="10"/>
  <c r="V63" i="10"/>
  <c r="V28" i="10"/>
  <c r="AE66" i="10"/>
  <c r="T85" i="10"/>
  <c r="V85" i="10" s="1"/>
  <c r="U80" i="10"/>
  <c r="V80" i="10" s="1"/>
  <c r="V66" i="10"/>
  <c r="U45" i="10"/>
  <c r="V45" i="10" s="1"/>
  <c r="T18" i="10"/>
  <c r="AN15" i="10"/>
  <c r="T16" i="10"/>
  <c r="T17" i="10"/>
  <c r="U22" i="10"/>
  <c r="U16" i="10"/>
  <c r="T21" i="10"/>
  <c r="T23" i="10"/>
  <c r="T20" i="10"/>
  <c r="AL15" i="10"/>
  <c r="T19" i="10"/>
  <c r="U19" i="10"/>
  <c r="AJ15" i="10"/>
  <c r="T22" i="10"/>
  <c r="AD8" i="9"/>
  <c r="AA2" i="9"/>
  <c r="U9" i="9"/>
  <c r="U8" i="9"/>
  <c r="U2" i="9"/>
  <c r="AD2" i="9"/>
  <c r="U7" i="9"/>
  <c r="U11" i="9"/>
  <c r="AD6" i="9"/>
  <c r="U5" i="9"/>
  <c r="U3" i="9"/>
  <c r="X2" i="9"/>
  <c r="U4" i="9"/>
  <c r="V2" i="9"/>
  <c r="W2" i="9"/>
  <c r="AF4" i="12"/>
  <c r="AE4" i="12"/>
  <c r="AC5" i="12"/>
  <c r="AC5" i="14"/>
  <c r="AD5" i="14" s="1"/>
  <c r="AC6" i="11"/>
  <c r="AC5" i="11"/>
  <c r="AC10" i="11"/>
  <c r="U8" i="8"/>
  <c r="V8" i="8" s="1"/>
  <c r="V7" i="8"/>
  <c r="Y4" i="8"/>
  <c r="AA4" i="8"/>
  <c r="U5" i="8"/>
  <c r="V5" i="8" s="1"/>
  <c r="U41" i="6"/>
  <c r="V41" i="6" s="1"/>
  <c r="T87" i="5"/>
  <c r="T65" i="5"/>
  <c r="T40" i="5"/>
  <c r="T16" i="5"/>
  <c r="U108" i="5"/>
  <c r="U107" i="5"/>
  <c r="T85" i="5"/>
  <c r="T84" i="5"/>
  <c r="V84" i="5" s="1"/>
  <c r="T66" i="5"/>
  <c r="V66" i="5" s="1"/>
  <c r="AI12" i="5"/>
  <c r="U106" i="5"/>
  <c r="V106" i="5" s="1"/>
  <c r="U86" i="5"/>
  <c r="V86" i="5" s="1"/>
  <c r="U88" i="5"/>
  <c r="V88" i="5" s="1"/>
  <c r="U38" i="5"/>
  <c r="V38" i="5" s="1"/>
  <c r="V85" i="5"/>
  <c r="AL13" i="5"/>
  <c r="T18" i="5"/>
  <c r="T17" i="5"/>
  <c r="T94" i="5"/>
  <c r="V94" i="5" s="1"/>
  <c r="T64" i="5"/>
  <c r="V64" i="5" s="1"/>
  <c r="U63" i="5"/>
  <c r="V63" i="5" s="1"/>
  <c r="U41" i="5"/>
  <c r="V41" i="5" s="1"/>
  <c r="T59" i="5"/>
  <c r="T47" i="5"/>
  <c r="V47" i="5" s="1"/>
  <c r="U39" i="5"/>
  <c r="V39" i="5" s="1"/>
  <c r="T109" i="5"/>
  <c r="U37" i="5"/>
  <c r="V37" i="5" s="1"/>
  <c r="T3" i="5"/>
  <c r="AD3" i="5" s="1"/>
  <c r="U36" i="5"/>
  <c r="V36" i="5" s="1"/>
  <c r="T93" i="5"/>
  <c r="V93" i="5" s="1"/>
  <c r="T46" i="5"/>
  <c r="AC46" i="5" s="1"/>
  <c r="U35" i="5"/>
  <c r="V35" i="5" s="1"/>
  <c r="AJ12" i="5"/>
  <c r="T92" i="5"/>
  <c r="AD92" i="5" s="1"/>
  <c r="T42" i="5"/>
  <c r="V42" i="5" s="1"/>
  <c r="U34" i="5"/>
  <c r="V34" i="5" s="1"/>
  <c r="U83" i="5"/>
  <c r="V83" i="5" s="1"/>
  <c r="U12" i="5"/>
  <c r="V12" i="5" s="1"/>
  <c r="V81" i="5"/>
  <c r="V108" i="5"/>
  <c r="V59" i="5"/>
  <c r="U82" i="5"/>
  <c r="V82" i="5" s="1"/>
  <c r="T69" i="5"/>
  <c r="V69" i="5" s="1"/>
  <c r="V109" i="5"/>
  <c r="V65" i="5"/>
  <c r="V107" i="5"/>
  <c r="AD34" i="5"/>
  <c r="V40" i="5"/>
  <c r="U81" i="5"/>
  <c r="T68" i="5"/>
  <c r="V68" i="5" s="1"/>
  <c r="AK12" i="5"/>
  <c r="T67" i="5"/>
  <c r="V67" i="5" s="1"/>
  <c r="AI13" i="5"/>
  <c r="U18" i="5"/>
  <c r="U17" i="5"/>
  <c r="U16" i="5"/>
  <c r="AN12" i="5"/>
  <c r="AL12" i="5"/>
  <c r="T5" i="2"/>
  <c r="U4" i="2"/>
  <c r="V4" i="2" s="1"/>
  <c r="U3" i="2"/>
  <c r="V3" i="2" s="1"/>
  <c r="U5" i="2"/>
  <c r="V5" i="2" s="1"/>
  <c r="T30" i="5"/>
  <c r="U30" i="5"/>
  <c r="T102" i="5"/>
  <c r="U102" i="5"/>
  <c r="U8" i="5"/>
  <c r="T8" i="5"/>
  <c r="V8" i="5" s="1"/>
  <c r="T79" i="5"/>
  <c r="U79" i="5"/>
  <c r="T51" i="5"/>
  <c r="U51" i="5"/>
  <c r="AM13" i="5"/>
  <c r="T75" i="5"/>
  <c r="U75" i="5"/>
  <c r="T50" i="5"/>
  <c r="U50" i="5"/>
  <c r="T6" i="5"/>
  <c r="U6" i="5"/>
  <c r="AC63" i="5"/>
  <c r="AD63" i="5"/>
  <c r="T49" i="5"/>
  <c r="U49" i="5"/>
  <c r="AC34" i="5"/>
  <c r="V87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M12" i="5"/>
  <c r="U95" i="5"/>
  <c r="V95" i="5" s="1"/>
  <c r="U73" i="5"/>
  <c r="V73" i="5" s="1"/>
  <c r="U48" i="5"/>
  <c r="V48" i="5" s="1"/>
  <c r="U4" i="5"/>
  <c r="V4" i="5" s="1"/>
  <c r="AJ13" i="5"/>
  <c r="X17" i="6"/>
  <c r="V17" i="6"/>
  <c r="W17" i="6"/>
  <c r="V11" i="6"/>
  <c r="V19" i="6"/>
  <c r="V10" i="6"/>
  <c r="V3" i="6"/>
  <c r="V27" i="6"/>
  <c r="W3" i="6"/>
  <c r="W10" i="6"/>
  <c r="U19" i="6"/>
  <c r="U18" i="6"/>
  <c r="V18" i="6" s="1"/>
  <c r="AD7" i="6"/>
  <c r="AE7" i="6"/>
  <c r="V33" i="6"/>
  <c r="V24" i="6"/>
  <c r="AG7" i="6"/>
  <c r="T12" i="6"/>
  <c r="U11" i="6"/>
  <c r="X10" i="6"/>
  <c r="T20" i="6"/>
  <c r="V20" i="6" s="1"/>
  <c r="V37" i="7"/>
  <c r="W24" i="7"/>
  <c r="AC32" i="7"/>
  <c r="T36" i="7"/>
  <c r="Y24" i="7"/>
  <c r="Z24" i="7"/>
  <c r="T20" i="7"/>
  <c r="Z2" i="9"/>
  <c r="AD7" i="9"/>
  <c r="AC2" i="9"/>
  <c r="AD3" i="9"/>
  <c r="U6" i="9"/>
  <c r="AE91" i="10"/>
  <c r="AD91" i="10"/>
  <c r="V88" i="10"/>
  <c r="AE26" i="10"/>
  <c r="AD26" i="10"/>
  <c r="AE83" i="10"/>
  <c r="AD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V68" i="10" s="1"/>
  <c r="U47" i="10"/>
  <c r="V47" i="10" s="1"/>
  <c r="U44" i="10"/>
  <c r="V44" i="10" s="1"/>
  <c r="U18" i="10"/>
  <c r="T15" i="10"/>
  <c r="U7" i="10"/>
  <c r="V7" i="10" s="1"/>
  <c r="U4" i="10"/>
  <c r="V4" i="10" s="1"/>
  <c r="U91" i="10"/>
  <c r="V91" i="10" s="1"/>
  <c r="U50" i="10"/>
  <c r="V50" i="10" s="1"/>
  <c r="U10" i="10"/>
  <c r="V10" i="10" s="1"/>
  <c r="AI15" i="10"/>
  <c r="T86" i="10"/>
  <c r="V86" i="10" s="1"/>
  <c r="AK15" i="10"/>
  <c r="U72" i="10"/>
  <c r="V72" i="10" s="1"/>
  <c r="U23" i="10"/>
  <c r="U20" i="10"/>
  <c r="U96" i="10"/>
  <c r="V96" i="10" s="1"/>
  <c r="U93" i="10"/>
  <c r="V93" i="10" s="1"/>
  <c r="U75" i="10"/>
  <c r="V75" i="10" s="1"/>
  <c r="T46" i="10"/>
  <c r="V46" i="10" s="1"/>
  <c r="U12" i="10"/>
  <c r="V12" i="10" s="1"/>
  <c r="T6" i="10"/>
  <c r="V6" i="10" s="1"/>
  <c r="AD71" i="10"/>
  <c r="U99" i="10"/>
  <c r="V99" i="10" s="1"/>
  <c r="U67" i="10"/>
  <c r="V67" i="10" s="1"/>
  <c r="T54" i="10"/>
  <c r="V54" i="10" s="1"/>
  <c r="U43" i="10"/>
  <c r="V43" i="10" s="1"/>
  <c r="U32" i="10"/>
  <c r="V32" i="10" s="1"/>
  <c r="T62" i="10"/>
  <c r="V62" i="10" s="1"/>
  <c r="T38" i="10"/>
  <c r="V38" i="10" s="1"/>
  <c r="AC4" i="13"/>
  <c r="T4" i="12"/>
  <c r="T4" i="11"/>
  <c r="T4" i="15"/>
  <c r="AC4" i="15"/>
  <c r="T4" i="18"/>
  <c r="AC5" i="18"/>
  <c r="AD5" i="18" s="1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U9" i="10"/>
  <c r="V9" i="10" s="1"/>
  <c r="T4" i="8"/>
  <c r="V19" i="7"/>
  <c r="V27" i="7"/>
  <c r="V17" i="7"/>
  <c r="V25" i="7"/>
  <c r="V20" i="7"/>
  <c r="V12" i="7"/>
  <c r="V36" i="7"/>
  <c r="V24" i="7"/>
  <c r="U35" i="7"/>
  <c r="V35" i="7" s="1"/>
  <c r="U27" i="7"/>
  <c r="U19" i="7"/>
  <c r="U11" i="7"/>
  <c r="V11" i="7" s="1"/>
  <c r="U33" i="7"/>
  <c r="V33" i="7" s="1"/>
  <c r="U25" i="7"/>
  <c r="U17" i="7"/>
  <c r="V26" i="6"/>
  <c r="V34" i="6"/>
  <c r="V31" i="6"/>
  <c r="V32" i="6"/>
  <c r="T36" i="6"/>
  <c r="V36" i="6" s="1"/>
  <c r="T35" i="6"/>
  <c r="V35" i="6" s="1"/>
  <c r="U5" i="6"/>
  <c r="V5" i="6" s="1"/>
  <c r="U12" i="6"/>
  <c r="U25" i="6"/>
  <c r="V25" i="6" s="1"/>
  <c r="U13" i="6"/>
  <c r="V13" i="6" s="1"/>
  <c r="U4" i="6"/>
  <c r="V4" i="6" s="1"/>
  <c r="AF53" i="10" l="1"/>
  <c r="V24" i="10"/>
  <c r="AF71" i="10"/>
  <c r="AG71" i="10"/>
  <c r="AG31" i="10"/>
  <c r="AG42" i="10"/>
  <c r="V18" i="10"/>
  <c r="V22" i="10"/>
  <c r="V19" i="10"/>
  <c r="V20" i="10"/>
  <c r="AF66" i="10"/>
  <c r="AG66" i="10"/>
  <c r="AD3" i="10"/>
  <c r="V17" i="10"/>
  <c r="V15" i="10"/>
  <c r="V16" i="10"/>
  <c r="AG83" i="10"/>
  <c r="V23" i="10"/>
  <c r="V21" i="10"/>
  <c r="V3" i="10"/>
  <c r="AB2" i="9"/>
  <c r="AG2" i="9"/>
  <c r="AF2" i="9"/>
  <c r="AD4" i="8"/>
  <c r="AC4" i="8"/>
  <c r="V4" i="8"/>
  <c r="V52" i="5"/>
  <c r="AC16" i="5"/>
  <c r="AC3" i="5"/>
  <c r="V3" i="5"/>
  <c r="AF3" i="5" s="1"/>
  <c r="AD16" i="5"/>
  <c r="AF34" i="5"/>
  <c r="AE34" i="5"/>
  <c r="V46" i="5"/>
  <c r="AD46" i="5"/>
  <c r="V29" i="5"/>
  <c r="V92" i="5"/>
  <c r="AF92" i="5" s="1"/>
  <c r="AC92" i="5"/>
  <c r="V50" i="5"/>
  <c r="AE16" i="5"/>
  <c r="AF16" i="5"/>
  <c r="V75" i="5"/>
  <c r="AF63" i="5"/>
  <c r="AE6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Y3" i="6"/>
  <c r="Z3" i="6"/>
  <c r="Z10" i="6"/>
  <c r="Y10" i="6"/>
  <c r="Z31" i="6"/>
  <c r="Y31" i="6"/>
  <c r="Z17" i="6"/>
  <c r="Y17" i="6"/>
  <c r="Y24" i="6"/>
  <c r="Z24" i="6"/>
  <c r="V12" i="6"/>
  <c r="AF17" i="7"/>
  <c r="AE17" i="7"/>
  <c r="AF24" i="7"/>
  <c r="AE24" i="7"/>
  <c r="AG26" i="10"/>
  <c r="AF26" i="10"/>
  <c r="AG91" i="10"/>
  <c r="AF91" i="10"/>
  <c r="AG57" i="10"/>
  <c r="AF57" i="10"/>
  <c r="AD4" i="15"/>
  <c r="AE4" i="15" s="1"/>
  <c r="AB4" i="15"/>
  <c r="AA4" i="15"/>
  <c r="AD4" i="18"/>
  <c r="AB4" i="18"/>
  <c r="AA4" i="18"/>
  <c r="AG3" i="10" l="1"/>
  <c r="AF3" i="10"/>
  <c r="AF4" i="8"/>
  <c r="AE4" i="8"/>
  <c r="AE92" i="5"/>
  <c r="AE46" i="5"/>
  <c r="AF46" i="5"/>
  <c r="AF79" i="5"/>
  <c r="AE79" i="5"/>
  <c r="AE101" i="5"/>
  <c r="AF101" i="5"/>
  <c r="AE28" i="5"/>
  <c r="AF28" i="5"/>
  <c r="AF4" i="18"/>
  <c r="AE4" i="18"/>
</calcChain>
</file>

<file path=xl/sharedStrings.xml><?xml version="1.0" encoding="utf-8"?>
<sst xmlns="http://schemas.openxmlformats.org/spreadsheetml/2006/main" count="524" uniqueCount="81">
  <si>
    <t>Dati originali</t>
  </si>
  <si>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</si>
  <si>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</si>
  <si>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</si>
  <si>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</si>
  <si>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</si>
  <si>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</si>
  <si>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</si>
  <si>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</si>
  <si>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</si>
  <si>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</si>
  <si>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</si>
  <si>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</si>
  <si>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</si>
  <si>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</si>
  <si>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</si>
  <si>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</si>
  <si>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</si>
  <si>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</si>
  <si>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</si>
  <si>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</si>
  <si>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</si>
  <si>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</si>
  <si>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</si>
  <si>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</si>
  <si>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</si>
  <si>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</si>
  <si>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</si>
  <si>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</si>
  <si>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</si>
  <si>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</si>
  <si>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</si>
  <si>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</si>
  <si>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</si>
  <si>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</si>
  <si>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</si>
  <si>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</si>
  <si>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</si>
  <si>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</si>
  <si>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</si>
  <si>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</si>
  <si>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</si>
  <si>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eps=0.1</t>
  </si>
  <si>
    <t>eps=0.0056</t>
  </si>
  <si>
    <t>eps=0.0003</t>
  </si>
  <si>
    <t>eps=1.778</t>
  </si>
  <si>
    <t>eps=10^-6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</si>
  <si>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</si>
  <si>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</si>
  <si>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</si>
  <si>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</si>
  <si>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</si>
  <si>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</si>
  <si>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</si>
  <si>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</si>
  <si>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</si>
  <si>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</si>
  <si>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n=5-&gt;1-&gt;1</t>
  </si>
  <si>
    <t>DIFF Without retest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</si>
  <si>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</si>
  <si>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</si>
  <si>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</si>
  <si>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</si>
  <si>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</si>
  <si>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</si>
  <si>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</si>
  <si>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</si>
  <si>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</si>
  <si>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</si>
  <si>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>MIT</t>
  </si>
  <si>
    <t xml:space="preserve">c1 </t>
  </si>
  <si>
    <t>STDAUG</t>
  </si>
  <si>
    <t>PARBS</t>
  </si>
  <si>
    <t>ONLYMIN</t>
  </si>
  <si>
    <t>eps=0.001</t>
  </si>
  <si>
    <t>ERR0_i</t>
  </si>
  <si>
    <t>ERR1_i</t>
  </si>
  <si>
    <t>ERR2_i</t>
  </si>
  <si>
    <t>MIN_i</t>
  </si>
  <si>
    <t>g=0.01</t>
  </si>
  <si>
    <t>88,12,19,81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</si>
</sst>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A8" workbookViewId="0">
      <selection activeCell="M1" sqref="M1:M1048576"/>
    </sheetView>
  </sheetViews>
  <sheetFormatPr defaultRowHeight="14.4" x14ac:dyDescent="0.3"/>
  <cols>
    <col min="1" max="1" width="9.88671875" customWidth="1"/>
  </cols>
  <sheetData>
    <row r="1" spans="1:16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16</v>
      </c>
      <c r="O1" t="s">
        <v>18</v>
      </c>
      <c r="P1" t="s">
        <v>19</v>
      </c>
    </row>
    <row r="2" spans="1:16" x14ac:dyDescent="0.3">
      <c r="B2" t="s">
        <v>3</v>
      </c>
    </row>
    <row r="3" spans="1:16" x14ac:dyDescent="0.3">
      <c r="C3" t="s">
        <v>4</v>
      </c>
      <c r="G3">
        <v>13.166666666666666</v>
      </c>
      <c r="H3">
        <v>0.76376261582597327</v>
      </c>
      <c r="I3">
        <v>24.166666666666668</v>
      </c>
      <c r="J3">
        <v>4.0104031385053265</v>
      </c>
      <c r="K3">
        <v>28.833333333333332</v>
      </c>
      <c r="L3">
        <v>4.3684474740270431</v>
      </c>
      <c r="M3">
        <v>22.055555555555557</v>
      </c>
      <c r="N3">
        <v>1.4561491580090185</v>
      </c>
      <c r="O3">
        <v>8.8888888888888893</v>
      </c>
      <c r="P3">
        <v>0.69388866648871195</v>
      </c>
    </row>
    <row r="4" spans="1:16" x14ac:dyDescent="0.3">
      <c r="C4" t="s">
        <v>2</v>
      </c>
      <c r="F4" t="s">
        <v>20</v>
      </c>
      <c r="G4">
        <v>15.833333333333334</v>
      </c>
      <c r="H4">
        <v>1.5275252316519468</v>
      </c>
      <c r="I4">
        <v>20.5</v>
      </c>
      <c r="J4">
        <v>0.8660254037844386</v>
      </c>
      <c r="K4">
        <v>30</v>
      </c>
      <c r="L4">
        <v>1.5</v>
      </c>
      <c r="M4">
        <v>22.111111111111111</v>
      </c>
      <c r="N4">
        <v>0.34694433324435597</v>
      </c>
      <c r="O4">
        <v>6.2777777777777777</v>
      </c>
      <c r="P4">
        <v>1.7506612507320798</v>
      </c>
    </row>
    <row r="5" spans="1:16" x14ac:dyDescent="0.3">
      <c r="C5" t="s">
        <v>50</v>
      </c>
    </row>
    <row r="6" spans="1:16" x14ac:dyDescent="0.3">
      <c r="D6" t="s">
        <v>55</v>
      </c>
    </row>
    <row r="7" spans="1:16" x14ac:dyDescent="0.3">
      <c r="F7" t="s">
        <v>74</v>
      </c>
      <c r="G7">
        <v>18.75</v>
      </c>
      <c r="H7">
        <v>3.8890872965260113</v>
      </c>
      <c r="I7">
        <v>22.75</v>
      </c>
      <c r="J7">
        <v>8.1317279836452965</v>
      </c>
      <c r="K7">
        <v>32.25</v>
      </c>
      <c r="L7">
        <v>1.0606601717798212</v>
      </c>
      <c r="M7">
        <v>24.583333333333332</v>
      </c>
      <c r="N7">
        <v>1.0606601717798212</v>
      </c>
      <c r="O7">
        <v>8.0833333333333321</v>
      </c>
      <c r="P7">
        <v>1.7677669529663689</v>
      </c>
    </row>
    <row r="8" spans="1:16" x14ac:dyDescent="0.3">
      <c r="D8" t="s">
        <v>56</v>
      </c>
    </row>
    <row r="9" spans="1:16" x14ac:dyDescent="0.3">
      <c r="F9" t="s">
        <v>74</v>
      </c>
      <c r="G9">
        <v>15.25</v>
      </c>
      <c r="H9">
        <v>5.3033008588991066</v>
      </c>
      <c r="I9">
        <v>24.25</v>
      </c>
      <c r="J9">
        <v>2.4748737341529163</v>
      </c>
      <c r="K9">
        <v>28</v>
      </c>
      <c r="L9">
        <v>1.4142135623730951</v>
      </c>
      <c r="M9">
        <v>22.5</v>
      </c>
      <c r="N9">
        <v>2.1213203435596424</v>
      </c>
      <c r="O9">
        <v>7.25</v>
      </c>
      <c r="P9">
        <v>3.1819805153394638</v>
      </c>
    </row>
    <row r="10" spans="1:16" x14ac:dyDescent="0.3">
      <c r="C10" t="s">
        <v>54</v>
      </c>
      <c r="G10">
        <v>14.857142857142858</v>
      </c>
      <c r="H10">
        <v>2.0354009783964311</v>
      </c>
      <c r="I10">
        <v>24.285714285714285</v>
      </c>
      <c r="J10">
        <v>4.8550415622761252</v>
      </c>
      <c r="K10">
        <v>31.214285714285715</v>
      </c>
      <c r="L10">
        <v>0.95118973121134176</v>
      </c>
      <c r="M10">
        <v>23.452380952380953</v>
      </c>
      <c r="N10">
        <v>2.1531937642124515</v>
      </c>
      <c r="O10">
        <v>8.5952380952380967</v>
      </c>
      <c r="P10">
        <v>0.87589712135373932</v>
      </c>
    </row>
    <row r="12" spans="1:16" x14ac:dyDescent="0.3">
      <c r="B12" t="s">
        <v>62</v>
      </c>
    </row>
    <row r="13" spans="1:16" x14ac:dyDescent="0.3">
      <c r="C13" t="s">
        <v>4</v>
      </c>
      <c r="G13">
        <v>17.149999999999999</v>
      </c>
      <c r="H13">
        <v>1.8715709384839754</v>
      </c>
      <c r="I13">
        <v>21</v>
      </c>
      <c r="J13">
        <v>2.4832774042918899</v>
      </c>
      <c r="K13">
        <v>31.5</v>
      </c>
      <c r="L13">
        <v>3.3499585403736298</v>
      </c>
      <c r="M13">
        <v>23.216666666666669</v>
      </c>
      <c r="N13">
        <v>1.8510090674821758</v>
      </c>
      <c r="O13">
        <v>6.2666666666666657</v>
      </c>
      <c r="P13">
        <v>1.354462218459632</v>
      </c>
    </row>
    <row r="15" spans="1:16" x14ac:dyDescent="0.3">
      <c r="C15" t="s">
        <v>2</v>
      </c>
      <c r="F15" t="s">
        <v>20</v>
      </c>
      <c r="G15">
        <v>17</v>
      </c>
      <c r="H15">
        <v>2.8771127502720115</v>
      </c>
      <c r="I15">
        <v>19.95</v>
      </c>
      <c r="J15">
        <v>1.6741498671796915</v>
      </c>
      <c r="K15">
        <v>29.75</v>
      </c>
      <c r="L15">
        <v>2.226731535981231</v>
      </c>
      <c r="M15">
        <v>22.233333333333327</v>
      </c>
      <c r="N15">
        <v>1.3314801936840213</v>
      </c>
      <c r="O15">
        <v>5.2833333333333341</v>
      </c>
      <c r="P15">
        <v>1.777864581214158</v>
      </c>
    </row>
    <row r="16" spans="1:16" x14ac:dyDescent="0.3">
      <c r="A16" t="s">
        <v>69</v>
      </c>
    </row>
    <row r="17" spans="2:16" x14ac:dyDescent="0.3">
      <c r="B17" t="s">
        <v>3</v>
      </c>
    </row>
    <row r="18" spans="2:16" x14ac:dyDescent="0.3">
      <c r="C18" t="s">
        <v>4</v>
      </c>
      <c r="G18">
        <v>14.214285714285714</v>
      </c>
      <c r="H18">
        <v>2.0987524639084736</v>
      </c>
      <c r="I18">
        <v>23</v>
      </c>
      <c r="J18">
        <v>2.5495097567963922</v>
      </c>
      <c r="K18">
        <v>31.428571428571427</v>
      </c>
      <c r="L18">
        <v>5.2870011303555522</v>
      </c>
      <c r="M18">
        <v>22.88095238095238</v>
      </c>
      <c r="N18">
        <v>2.2601914981845255</v>
      </c>
      <c r="O18">
        <v>8.6666666666666661</v>
      </c>
      <c r="P18">
        <v>2.0971762320196583</v>
      </c>
    </row>
    <row r="19" spans="2:16" x14ac:dyDescent="0.3">
      <c r="C19" t="s">
        <v>71</v>
      </c>
      <c r="F19" t="s">
        <v>20</v>
      </c>
      <c r="G19">
        <v>14.916666666666666</v>
      </c>
      <c r="H19">
        <v>2.1775368347439388</v>
      </c>
      <c r="I19">
        <v>20.416666666666668</v>
      </c>
      <c r="J19">
        <v>2.4983327774071045</v>
      </c>
      <c r="K19">
        <v>26.416666666666668</v>
      </c>
      <c r="L19">
        <v>1.4288690166235207</v>
      </c>
      <c r="M19">
        <v>20.583333333333332</v>
      </c>
      <c r="N19">
        <v>1.0368220676663862</v>
      </c>
      <c r="O19">
        <v>5.666666666666667</v>
      </c>
      <c r="P19">
        <v>1.7224014243685055</v>
      </c>
    </row>
    <row r="20" spans="2:16" x14ac:dyDescent="0.3">
      <c r="C20" t="s">
        <v>54</v>
      </c>
    </row>
    <row r="21" spans="2:16" x14ac:dyDescent="0.3">
      <c r="D21" t="s">
        <v>71</v>
      </c>
      <c r="F21" t="s">
        <v>20</v>
      </c>
      <c r="G21">
        <v>15.05</v>
      </c>
      <c r="H21">
        <v>1.571446608843089</v>
      </c>
      <c r="I21">
        <v>19.8</v>
      </c>
      <c r="J21">
        <v>2.9925834249951238</v>
      </c>
      <c r="K21">
        <v>27.35</v>
      </c>
      <c r="L21">
        <v>3.1976553910638899</v>
      </c>
      <c r="M21">
        <v>20.733333333333334</v>
      </c>
      <c r="N21">
        <v>1.2794674818208691</v>
      </c>
      <c r="O21">
        <v>5.6833333333333327</v>
      </c>
      <c r="P21">
        <v>1.780293359096877</v>
      </c>
    </row>
    <row r="22" spans="2:16" x14ac:dyDescent="0.3">
      <c r="D22" t="s">
        <v>71</v>
      </c>
      <c r="F22" t="s">
        <v>20</v>
      </c>
      <c r="G22">
        <v>15.05</v>
      </c>
      <c r="H22">
        <v>1.571446608843089</v>
      </c>
      <c r="I22">
        <v>19.8</v>
      </c>
      <c r="J22">
        <v>2.9925834249951238</v>
      </c>
      <c r="K22">
        <v>27.35</v>
      </c>
      <c r="L22">
        <v>3.1976553910638899</v>
      </c>
      <c r="M22">
        <v>20.733333333333334</v>
      </c>
      <c r="N22">
        <v>1.2794674818208691</v>
      </c>
      <c r="O22">
        <v>5.6833333333333327</v>
      </c>
      <c r="P22">
        <v>1.780293359096877</v>
      </c>
    </row>
    <row r="23" spans="2:16" x14ac:dyDescent="0.3">
      <c r="D23" t="s">
        <v>73</v>
      </c>
    </row>
    <row r="24" spans="2:16" x14ac:dyDescent="0.3">
      <c r="E24" t="s">
        <v>71</v>
      </c>
      <c r="G24">
        <v>15.625</v>
      </c>
      <c r="H24">
        <v>1.6007810593582121</v>
      </c>
      <c r="I24">
        <v>18.625</v>
      </c>
      <c r="J24">
        <v>2.75</v>
      </c>
      <c r="K24">
        <v>20.291666666666668</v>
      </c>
      <c r="L24">
        <v>4.6435439052516774</v>
      </c>
      <c r="M24">
        <v>20.291666666666668</v>
      </c>
      <c r="N24">
        <v>1.8923579255834544</v>
      </c>
      <c r="O24">
        <v>4.791666666666667</v>
      </c>
      <c r="P24">
        <v>1.7393858004948073</v>
      </c>
    </row>
    <row r="26" spans="2:16" x14ac:dyDescent="0.3">
      <c r="B26" t="s">
        <v>72</v>
      </c>
    </row>
    <row r="27" spans="2:16" x14ac:dyDescent="0.3">
      <c r="C27" t="s">
        <v>4</v>
      </c>
      <c r="G27">
        <v>16.416666666666668</v>
      </c>
      <c r="H27">
        <v>2.8881943609574914</v>
      </c>
      <c r="I27">
        <v>15.416666666666666</v>
      </c>
      <c r="J27">
        <v>1.2812754062521714</v>
      </c>
      <c r="K27">
        <v>29.916666666666668</v>
      </c>
      <c r="L27">
        <v>2.437553418218084</v>
      </c>
      <c r="M27">
        <v>20.583333333333332</v>
      </c>
      <c r="N27">
        <v>1.3570801990548194</v>
      </c>
      <c r="O27">
        <v>5.916666666666667</v>
      </c>
      <c r="P27">
        <v>1.0527741131569135</v>
      </c>
    </row>
    <row r="28" spans="2:16" x14ac:dyDescent="0.3">
      <c r="C28" t="s">
        <v>71</v>
      </c>
      <c r="F28" t="s">
        <v>20</v>
      </c>
      <c r="G28">
        <v>16.8</v>
      </c>
      <c r="H28">
        <v>0.57008771254956903</v>
      </c>
      <c r="I28">
        <v>17.7</v>
      </c>
      <c r="J28">
        <v>1.7175564037317668</v>
      </c>
      <c r="K28">
        <v>28.9</v>
      </c>
      <c r="L28">
        <v>3.8794329482541587</v>
      </c>
      <c r="M28">
        <v>21.133333333333333</v>
      </c>
      <c r="N28">
        <v>1.5696779570628134</v>
      </c>
      <c r="O28">
        <v>4.7333333333333325</v>
      </c>
      <c r="P28">
        <v>0.90215790684828923</v>
      </c>
    </row>
    <row r="29" spans="2:16" x14ac:dyDescent="0.3">
      <c r="C29" t="s">
        <v>54</v>
      </c>
    </row>
    <row r="30" spans="2:16" x14ac:dyDescent="0.3">
      <c r="D30" t="s">
        <v>73</v>
      </c>
    </row>
    <row r="31" spans="2:16" x14ac:dyDescent="0.3">
      <c r="E31" t="s">
        <v>71</v>
      </c>
      <c r="G31">
        <v>16.375</v>
      </c>
      <c r="H31">
        <v>3.3008837200563934</v>
      </c>
      <c r="I31">
        <v>20</v>
      </c>
      <c r="J31">
        <v>3.3166247903553998</v>
      </c>
      <c r="K31">
        <v>26.875</v>
      </c>
      <c r="L31">
        <v>1.796988221070652</v>
      </c>
      <c r="M31">
        <v>21.083333333333332</v>
      </c>
      <c r="N31">
        <v>1.5898986690282424</v>
      </c>
      <c r="O31">
        <v>4.708333333333333</v>
      </c>
      <c r="P31">
        <v>2.9071272570854019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7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88</v>
      </c>
      <c r="C4">
        <v>12</v>
      </c>
      <c r="D4">
        <v>16</v>
      </c>
      <c r="E4">
        <v>84</v>
      </c>
      <c r="G4">
        <v>71</v>
      </c>
      <c r="H4">
        <v>29</v>
      </c>
      <c r="I4">
        <v>3</v>
      </c>
      <c r="J4">
        <v>97</v>
      </c>
      <c r="L4">
        <v>71</v>
      </c>
      <c r="M4">
        <v>29</v>
      </c>
      <c r="N4">
        <v>17</v>
      </c>
      <c r="O4">
        <v>83</v>
      </c>
      <c r="Q4">
        <f>AVERAGE(C4:D4)</f>
        <v>14</v>
      </c>
      <c r="R4">
        <f>AVERAGE(H4:I4)</f>
        <v>16</v>
      </c>
      <c r="S4">
        <f>AVERAGE(M4:N4)</f>
        <v>23</v>
      </c>
      <c r="T4">
        <f>AVERAGE(Q4:S4)</f>
        <v>17.666666666666668</v>
      </c>
      <c r="U4">
        <f>AVERAGE(Q4:Q7)</f>
        <v>15.625</v>
      </c>
      <c r="V4">
        <f>_xlfn.STDEV.S(Q4:Q7)</f>
        <v>1.6007810593582121</v>
      </c>
      <c r="W4">
        <f>AVERAGE(R4:R7)</f>
        <v>18.625</v>
      </c>
      <c r="X4">
        <f>_xlfn.STDEV.S(R4:R7)</f>
        <v>2.75</v>
      </c>
      <c r="Y4">
        <f>AVERAGE(T4:T7)</f>
        <v>20.291666666666668</v>
      </c>
      <c r="Z4">
        <f>_xlfn.STDEV.S(S4:S7)</f>
        <v>4.6435439052516774</v>
      </c>
      <c r="AA4">
        <f>AVERAGE(T4:T7)</f>
        <v>20.291666666666668</v>
      </c>
      <c r="AB4">
        <f>_xlfn.STDEV.S(T4:T7)</f>
        <v>1.8923579255834544</v>
      </c>
      <c r="AC4">
        <f>MIN(Q4:S4)</f>
        <v>14</v>
      </c>
      <c r="AD4">
        <f>T4-AC4</f>
        <v>3.6666666666666679</v>
      </c>
      <c r="AE4">
        <f>AVERAGE(AD4:AD7)</f>
        <v>4.791666666666667</v>
      </c>
      <c r="AF4">
        <f>_xlfn.STDEV.S(AD4:AD7)</f>
        <v>1.7393858004948073</v>
      </c>
    </row>
    <row r="5" spans="1:32" x14ac:dyDescent="0.3">
      <c r="B5">
        <v>85</v>
      </c>
      <c r="C5">
        <v>15</v>
      </c>
      <c r="D5">
        <v>19</v>
      </c>
      <c r="E5">
        <v>81</v>
      </c>
      <c r="G5">
        <v>75</v>
      </c>
      <c r="H5">
        <v>25</v>
      </c>
      <c r="I5">
        <v>8</v>
      </c>
      <c r="J5">
        <v>92</v>
      </c>
      <c r="L5">
        <v>67</v>
      </c>
      <c r="M5">
        <v>33</v>
      </c>
      <c r="N5">
        <v>31</v>
      </c>
      <c r="O5">
        <v>69</v>
      </c>
      <c r="Q5">
        <f t="shared" ref="Q5:Q7" si="0">AVERAGE(C5:D5)</f>
        <v>17</v>
      </c>
      <c r="R5">
        <f t="shared" ref="R5:R7" si="1">AVERAGE(H5:I5)</f>
        <v>16.5</v>
      </c>
      <c r="S5">
        <f t="shared" ref="S5:S7" si="2">AVERAGE(M5:N5)</f>
        <v>32</v>
      </c>
      <c r="T5">
        <f t="shared" ref="T5:T7" si="3">AVERAGE(Q5:S5)</f>
        <v>21.833333333333332</v>
      </c>
      <c r="AC5">
        <f t="shared" ref="AC5:AC7" si="4">MIN(Q5:S5)</f>
        <v>16.5</v>
      </c>
      <c r="AD5">
        <f t="shared" ref="AD5:AD7" si="5">T5-AC5</f>
        <v>5.3333333333333321</v>
      </c>
    </row>
    <row r="6" spans="1:32" x14ac:dyDescent="0.3">
      <c r="B6">
        <v>87</v>
      </c>
      <c r="C6">
        <v>13</v>
      </c>
      <c r="D6">
        <v>21</v>
      </c>
      <c r="E6">
        <v>79</v>
      </c>
      <c r="G6">
        <v>70</v>
      </c>
      <c r="H6">
        <v>30</v>
      </c>
      <c r="I6">
        <v>12</v>
      </c>
      <c r="J6">
        <v>88</v>
      </c>
      <c r="L6">
        <v>66</v>
      </c>
      <c r="M6">
        <v>34</v>
      </c>
      <c r="N6">
        <v>11</v>
      </c>
      <c r="O6">
        <v>89</v>
      </c>
      <c r="Q6">
        <f t="shared" si="0"/>
        <v>17</v>
      </c>
      <c r="R6">
        <f t="shared" si="1"/>
        <v>21</v>
      </c>
      <c r="S6">
        <f t="shared" si="2"/>
        <v>22.5</v>
      </c>
      <c r="T6">
        <f t="shared" si="3"/>
        <v>20.166666666666668</v>
      </c>
      <c r="AC6">
        <f t="shared" si="4"/>
        <v>17</v>
      </c>
      <c r="AD6">
        <f t="shared" si="5"/>
        <v>3.1666666666666679</v>
      </c>
    </row>
    <row r="7" spans="1:32" x14ac:dyDescent="0.3">
      <c r="A7" t="s">
        <v>22</v>
      </c>
      <c r="B7">
        <v>89</v>
      </c>
      <c r="C7">
        <v>11</v>
      </c>
      <c r="D7">
        <v>18</v>
      </c>
      <c r="E7">
        <v>82</v>
      </c>
      <c r="G7">
        <v>73</v>
      </c>
      <c r="H7">
        <v>27</v>
      </c>
      <c r="I7">
        <v>15</v>
      </c>
      <c r="J7">
        <v>85</v>
      </c>
      <c r="L7">
        <v>68</v>
      </c>
      <c r="M7">
        <v>32</v>
      </c>
      <c r="N7">
        <v>26</v>
      </c>
      <c r="O7">
        <v>74</v>
      </c>
      <c r="Q7">
        <f t="shared" si="0"/>
        <v>14.5</v>
      </c>
      <c r="R7">
        <f t="shared" si="1"/>
        <v>21</v>
      </c>
      <c r="S7">
        <f t="shared" si="2"/>
        <v>29</v>
      </c>
      <c r="T7">
        <f t="shared" si="3"/>
        <v>21.5</v>
      </c>
      <c r="AC7">
        <f t="shared" si="4"/>
        <v>14.5</v>
      </c>
      <c r="AD7">
        <f t="shared" si="5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Q4" t="e">
        <f>AVERAGE(C4,D4)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_xlfn.STDEV.S(AD4,AD5)</f>
        <v>#DIV/0!</v>
      </c>
    </row>
    <row r="5" spans="1:32" x14ac:dyDescent="0.3">
      <c r="Q5" t="e">
        <f>AVERAGE(C5,D5)</f>
        <v>#DIV/0!</v>
      </c>
      <c r="R5" t="e">
        <f>AVERAGE(H5,I5)</f>
        <v>#DIV/0!</v>
      </c>
      <c r="S5" t="e">
        <f>AVERAGE(M5,N5)</f>
        <v>#DIV/0!</v>
      </c>
      <c r="T5" t="e">
        <f>AVERAGE(Q5:S5)</f>
        <v>#DIV/0!</v>
      </c>
      <c r="AC5" t="e">
        <f>MIN(Q5:S5)</f>
        <v>#DIV/0!</v>
      </c>
      <c r="AD5" t="e">
        <f>(1/3)*(T5-AC5)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7"/>
  <sheetViews>
    <sheetView topLeftCell="K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80</v>
      </c>
      <c r="C4">
        <v>20</v>
      </c>
      <c r="D4">
        <v>20</v>
      </c>
      <c r="E4">
        <v>80</v>
      </c>
      <c r="G4">
        <v>66</v>
      </c>
      <c r="H4">
        <v>34</v>
      </c>
      <c r="I4">
        <v>11</v>
      </c>
      <c r="J4">
        <v>89</v>
      </c>
      <c r="L4">
        <v>73</v>
      </c>
      <c r="M4">
        <v>27</v>
      </c>
      <c r="N4">
        <v>25</v>
      </c>
      <c r="O4">
        <v>75</v>
      </c>
      <c r="Q4">
        <f>AVERAGE(C4:D4)</f>
        <v>20</v>
      </c>
      <c r="R4">
        <f>AVERAGE(H4:I4)</f>
        <v>22.5</v>
      </c>
      <c r="S4">
        <f>AVERAGE(M4:N4)</f>
        <v>26</v>
      </c>
      <c r="T4">
        <f>AVERAGE(Q4:S4)</f>
        <v>22.833333333333332</v>
      </c>
      <c r="U4">
        <f>AVERAGE(Q4:Q7)</f>
        <v>16.375</v>
      </c>
      <c r="V4">
        <f>_xlfn.STDEV.S(Q4:Q7)</f>
        <v>3.3008837200563934</v>
      </c>
      <c r="W4">
        <f>AVERAGE(R4:R7)</f>
        <v>20</v>
      </c>
      <c r="X4">
        <f>_xlfn.STDEV.S(R4:R7)</f>
        <v>3.3166247903553998</v>
      </c>
      <c r="Y4">
        <f>AVERAGE(S4:S7)</f>
        <v>26.875</v>
      </c>
      <c r="Z4">
        <f>_xlfn.STDEV.S(S4:S7)</f>
        <v>1.796988221070652</v>
      </c>
      <c r="AA4">
        <f>AVERAGE(T4:T7)</f>
        <v>21.083333333333332</v>
      </c>
      <c r="AB4">
        <f>_xlfn.STDEV.S(T4:T7)</f>
        <v>1.5898986690282424</v>
      </c>
      <c r="AC4">
        <f>MIN(Q4:S4)</f>
        <v>20</v>
      </c>
      <c r="AD4">
        <f>T4-AC4</f>
        <v>2.8333333333333321</v>
      </c>
      <c r="AE4">
        <f>AVERAGE(AD4:AD7)</f>
        <v>4.708333333333333</v>
      </c>
      <c r="AF4">
        <f>_xlfn.STDEV.S(AD4:AD7)</f>
        <v>2.9071272570854019</v>
      </c>
    </row>
    <row r="5" spans="1:32" x14ac:dyDescent="0.3">
      <c r="B5">
        <v>87</v>
      </c>
      <c r="C5">
        <v>13</v>
      </c>
      <c r="D5">
        <v>17</v>
      </c>
      <c r="E5">
        <v>83</v>
      </c>
      <c r="G5">
        <v>78</v>
      </c>
      <c r="H5">
        <v>22</v>
      </c>
      <c r="I5">
        <v>9</v>
      </c>
      <c r="J5">
        <v>91</v>
      </c>
      <c r="L5">
        <v>78</v>
      </c>
      <c r="M5">
        <v>22</v>
      </c>
      <c r="N5">
        <v>31</v>
      </c>
      <c r="O5">
        <v>69</v>
      </c>
      <c r="Q5">
        <f t="shared" ref="Q5:Q7" si="0">AVERAGE(C5:D5)</f>
        <v>15</v>
      </c>
      <c r="R5">
        <f t="shared" ref="R5:R7" si="1">AVERAGE(H5:I5)</f>
        <v>15.5</v>
      </c>
      <c r="S5">
        <f t="shared" ref="S5:S7" si="2">AVERAGE(M5:N5)</f>
        <v>26.5</v>
      </c>
      <c r="T5">
        <f t="shared" ref="T5:T7" si="3">AVERAGE(Q5:S5)</f>
        <v>19</v>
      </c>
      <c r="AC5">
        <f t="shared" ref="AC5:AC7" si="4">MIN(Q5:S5)</f>
        <v>15</v>
      </c>
      <c r="AD5">
        <f t="shared" ref="AD5:AD7" si="5">T5-AC5</f>
        <v>4</v>
      </c>
    </row>
    <row r="6" spans="1:32" x14ac:dyDescent="0.3">
      <c r="B6">
        <v>88</v>
      </c>
      <c r="C6">
        <v>12</v>
      </c>
      <c r="D6">
        <v>13</v>
      </c>
      <c r="E6">
        <v>87</v>
      </c>
      <c r="G6">
        <v>70</v>
      </c>
      <c r="H6">
        <v>30</v>
      </c>
      <c r="I6">
        <v>15</v>
      </c>
      <c r="J6">
        <v>85</v>
      </c>
      <c r="L6">
        <v>67</v>
      </c>
      <c r="M6">
        <v>33</v>
      </c>
      <c r="N6">
        <v>26</v>
      </c>
      <c r="O6">
        <v>74</v>
      </c>
      <c r="Q6">
        <f t="shared" si="0"/>
        <v>12.5</v>
      </c>
      <c r="R6">
        <f t="shared" si="1"/>
        <v>22.5</v>
      </c>
      <c r="S6">
        <f t="shared" si="2"/>
        <v>29.5</v>
      </c>
      <c r="T6">
        <f t="shared" si="3"/>
        <v>21.5</v>
      </c>
      <c r="AC6">
        <f t="shared" si="4"/>
        <v>12.5</v>
      </c>
      <c r="AD6">
        <f t="shared" si="5"/>
        <v>9</v>
      </c>
    </row>
    <row r="7" spans="1:32" x14ac:dyDescent="0.3">
      <c r="A7" t="s">
        <v>22</v>
      </c>
      <c r="B7">
        <v>86</v>
      </c>
      <c r="C7">
        <v>14</v>
      </c>
      <c r="D7">
        <v>22</v>
      </c>
      <c r="E7">
        <v>78</v>
      </c>
      <c r="G7">
        <v>77</v>
      </c>
      <c r="H7">
        <v>23</v>
      </c>
      <c r="I7">
        <v>16</v>
      </c>
      <c r="J7">
        <v>84</v>
      </c>
      <c r="L7">
        <v>77</v>
      </c>
      <c r="M7">
        <v>23</v>
      </c>
      <c r="N7">
        <v>28</v>
      </c>
      <c r="O7">
        <v>72</v>
      </c>
      <c r="Q7">
        <f t="shared" si="0"/>
        <v>18</v>
      </c>
      <c r="R7">
        <f t="shared" si="1"/>
        <v>19.5</v>
      </c>
      <c r="S7">
        <f t="shared" si="2"/>
        <v>25.5</v>
      </c>
      <c r="T7">
        <f t="shared" si="3"/>
        <v>21</v>
      </c>
      <c r="AC7">
        <f t="shared" si="4"/>
        <v>18</v>
      </c>
      <c r="AD7">
        <f t="shared" si="5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8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91</v>
      </c>
      <c r="C4">
        <v>9</v>
      </c>
      <c r="D4">
        <v>24</v>
      </c>
      <c r="E4">
        <v>76</v>
      </c>
      <c r="G4">
        <v>81</v>
      </c>
      <c r="H4">
        <v>19</v>
      </c>
      <c r="I4">
        <v>15</v>
      </c>
      <c r="J4">
        <v>85</v>
      </c>
      <c r="L4">
        <v>72</v>
      </c>
      <c r="M4">
        <v>28</v>
      </c>
      <c r="N4">
        <v>34</v>
      </c>
      <c r="O4">
        <v>66</v>
      </c>
      <c r="Q4">
        <f>AVERAGE(C4:D4)</f>
        <v>16.5</v>
      </c>
      <c r="R4">
        <f>AVERAGE(H4:I4)</f>
        <v>17</v>
      </c>
      <c r="S4">
        <f>AVERAGE(M4:N4)</f>
        <v>31</v>
      </c>
      <c r="T4">
        <f>AVERAGE(Q4:S4)</f>
        <v>21.5</v>
      </c>
      <c r="U4">
        <f>AVERAGE(Q4:Q8)</f>
        <v>16.8</v>
      </c>
      <c r="V4">
        <f>_xlfn.STDEV.S(Q4:Q8)</f>
        <v>0.57008771254956903</v>
      </c>
      <c r="W4">
        <f>AVERAGE(R4:R8)</f>
        <v>17.7</v>
      </c>
      <c r="X4">
        <f>_xlfn.STDEV.S(R4:R8)</f>
        <v>1.7175564037317668</v>
      </c>
      <c r="Y4">
        <f>AVERAGE(S4:S8)</f>
        <v>28.9</v>
      </c>
      <c r="Z4">
        <f>_xlfn.STDEV.S(S4:S8)</f>
        <v>3.8794329482541587</v>
      </c>
      <c r="AA4">
        <f>AVERAGE(T4:T8)</f>
        <v>21.133333333333333</v>
      </c>
      <c r="AB4">
        <f>_xlfn.STDEV.S(T4:T8)</f>
        <v>1.5696779570628134</v>
      </c>
      <c r="AC4">
        <f>MIN(Q4:S4)</f>
        <v>16.5</v>
      </c>
      <c r="AD4">
        <f>T4-AC4</f>
        <v>5</v>
      </c>
      <c r="AE4">
        <f>AVERAGE(AD4:AD8)</f>
        <v>4.7333333333333325</v>
      </c>
      <c r="AF4">
        <f>_xlfn.STDEV.S(AD4:AD8)</f>
        <v>0.90215790684828923</v>
      </c>
    </row>
    <row r="5" spans="1:32" x14ac:dyDescent="0.3">
      <c r="B5">
        <v>86</v>
      </c>
      <c r="C5">
        <v>14</v>
      </c>
      <c r="D5">
        <v>21</v>
      </c>
      <c r="E5">
        <v>79</v>
      </c>
      <c r="G5">
        <v>69</v>
      </c>
      <c r="H5">
        <v>31</v>
      </c>
      <c r="I5">
        <v>6</v>
      </c>
      <c r="J5">
        <v>94</v>
      </c>
      <c r="L5">
        <v>64</v>
      </c>
      <c r="M5">
        <v>36</v>
      </c>
      <c r="N5">
        <v>26</v>
      </c>
      <c r="O5">
        <v>74</v>
      </c>
      <c r="Q5">
        <f t="shared" ref="Q5:Q8" si="0">AVERAGE(C5:D5)</f>
        <v>17.5</v>
      </c>
      <c r="R5">
        <f t="shared" ref="R5:R8" si="1">AVERAGE(H5:I5)</f>
        <v>18.5</v>
      </c>
      <c r="S5">
        <f t="shared" ref="S5:S8" si="2">AVERAGE(M5:N5)</f>
        <v>31</v>
      </c>
      <c r="T5">
        <f t="shared" ref="T5:T8" si="3">AVERAGE(Q5:S5)</f>
        <v>22.333333333333332</v>
      </c>
      <c r="AC5">
        <f t="shared" ref="AC5:AC8" si="4">MIN(Q5:S5)</f>
        <v>17.5</v>
      </c>
      <c r="AD5">
        <f t="shared" ref="AD5:AD8" si="5">T5-AC5</f>
        <v>4.8333333333333321</v>
      </c>
    </row>
    <row r="6" spans="1:32" x14ac:dyDescent="0.3">
      <c r="B6">
        <v>86</v>
      </c>
      <c r="C6">
        <v>14</v>
      </c>
      <c r="D6">
        <v>20</v>
      </c>
      <c r="E6">
        <v>80</v>
      </c>
      <c r="G6">
        <v>73</v>
      </c>
      <c r="H6">
        <v>27</v>
      </c>
      <c r="I6">
        <v>3</v>
      </c>
      <c r="J6">
        <v>97</v>
      </c>
      <c r="L6">
        <v>73</v>
      </c>
      <c r="M6">
        <v>27</v>
      </c>
      <c r="N6">
        <v>27</v>
      </c>
      <c r="O6">
        <v>73</v>
      </c>
      <c r="Q6">
        <f t="shared" si="0"/>
        <v>17</v>
      </c>
      <c r="R6">
        <f t="shared" si="1"/>
        <v>15</v>
      </c>
      <c r="S6">
        <f t="shared" si="2"/>
        <v>27</v>
      </c>
      <c r="T6">
        <f t="shared" si="3"/>
        <v>19.666666666666668</v>
      </c>
      <c r="AC6">
        <f t="shared" si="4"/>
        <v>15</v>
      </c>
      <c r="AD6">
        <f t="shared" si="5"/>
        <v>4.6666666666666679</v>
      </c>
    </row>
    <row r="7" spans="1:32" x14ac:dyDescent="0.3">
      <c r="B7">
        <v>87</v>
      </c>
      <c r="C7">
        <v>13</v>
      </c>
      <c r="D7">
        <v>19</v>
      </c>
      <c r="E7">
        <v>81</v>
      </c>
      <c r="G7">
        <v>66</v>
      </c>
      <c r="H7">
        <v>34</v>
      </c>
      <c r="I7">
        <v>4</v>
      </c>
      <c r="J7">
        <v>96</v>
      </c>
      <c r="L7">
        <v>70</v>
      </c>
      <c r="M7">
        <v>30</v>
      </c>
      <c r="N7">
        <v>16</v>
      </c>
      <c r="O7">
        <v>84</v>
      </c>
      <c r="Q7">
        <f t="shared" si="0"/>
        <v>16</v>
      </c>
      <c r="R7">
        <f t="shared" si="1"/>
        <v>19</v>
      </c>
      <c r="S7">
        <f t="shared" si="2"/>
        <v>23</v>
      </c>
      <c r="T7">
        <f t="shared" si="3"/>
        <v>19.333333333333332</v>
      </c>
      <c r="AC7">
        <f t="shared" si="4"/>
        <v>16</v>
      </c>
      <c r="AD7">
        <f t="shared" si="5"/>
        <v>3.3333333333333321</v>
      </c>
    </row>
    <row r="8" spans="1:32" x14ac:dyDescent="0.3">
      <c r="B8">
        <v>88</v>
      </c>
      <c r="C8">
        <v>12</v>
      </c>
      <c r="D8">
        <v>22</v>
      </c>
      <c r="E8">
        <v>78</v>
      </c>
      <c r="G8">
        <v>73</v>
      </c>
      <c r="H8">
        <v>27</v>
      </c>
      <c r="I8">
        <v>11</v>
      </c>
      <c r="J8">
        <v>89</v>
      </c>
      <c r="L8">
        <v>52</v>
      </c>
      <c r="M8">
        <v>48</v>
      </c>
      <c r="N8">
        <v>17</v>
      </c>
      <c r="O8">
        <v>83</v>
      </c>
      <c r="Q8">
        <f t="shared" si="0"/>
        <v>17</v>
      </c>
      <c r="R8">
        <f t="shared" si="1"/>
        <v>19</v>
      </c>
      <c r="S8">
        <f t="shared" si="2"/>
        <v>32.5</v>
      </c>
      <c r="T8">
        <f t="shared" si="3"/>
        <v>22.833333333333332</v>
      </c>
      <c r="AC8">
        <f t="shared" si="4"/>
        <v>17</v>
      </c>
      <c r="AD8">
        <f t="shared" si="5"/>
        <v>5.8333333333333321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31"/>
  <sheetViews>
    <sheetView topLeftCell="O1" workbookViewId="0">
      <selection activeCell="AE28" sqref="AE28"/>
    </sheetView>
  </sheetViews>
  <sheetFormatPr defaultRowHeight="14.4" x14ac:dyDescent="0.3"/>
  <sheetData>
    <row r="2" spans="1:32" x14ac:dyDescent="0.3">
      <c r="A2" t="s">
        <v>58</v>
      </c>
      <c r="B2" t="s">
        <v>20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86</v>
      </c>
      <c r="C4">
        <v>14</v>
      </c>
      <c r="D4">
        <v>19</v>
      </c>
      <c r="E4">
        <v>81</v>
      </c>
      <c r="G4">
        <v>80</v>
      </c>
      <c r="H4">
        <v>20</v>
      </c>
      <c r="I4">
        <v>16</v>
      </c>
      <c r="J4">
        <v>84</v>
      </c>
      <c r="L4">
        <v>83</v>
      </c>
      <c r="M4">
        <v>17</v>
      </c>
      <c r="N4">
        <v>28</v>
      </c>
      <c r="O4">
        <v>72</v>
      </c>
      <c r="Q4">
        <f>AVERAGE(C4:D4)</f>
        <v>16.5</v>
      </c>
      <c r="R4">
        <f>AVERAGE(H4:I4)</f>
        <v>18</v>
      </c>
      <c r="S4">
        <f>AVERAGE(M4:N4)</f>
        <v>22.5</v>
      </c>
      <c r="T4">
        <f>AVERAGE(Q4:S4)</f>
        <v>19</v>
      </c>
      <c r="U4">
        <f>AVERAGE(Q4:Q13)</f>
        <v>15.05</v>
      </c>
      <c r="V4">
        <f>_xlfn.STDEV.S(Q4:Q13)</f>
        <v>1.571446608843089</v>
      </c>
      <c r="W4">
        <f>AVERAGE(R4:R13)</f>
        <v>19.8</v>
      </c>
      <c r="X4">
        <f>_xlfn.STDEV.S(R4:R13)</f>
        <v>2.9925834249951238</v>
      </c>
      <c r="Y4">
        <f>AVERAGE(S4:S13)</f>
        <v>27.35</v>
      </c>
      <c r="Z4">
        <f>_xlfn.STDEV.S(S4:S13)</f>
        <v>3.1976553910638899</v>
      </c>
      <c r="AA4">
        <f>AVERAGE(T4:T13)</f>
        <v>20.733333333333334</v>
      </c>
      <c r="AB4">
        <f>_xlfn.STDEV.S(T4:T13)</f>
        <v>1.2794674818208691</v>
      </c>
      <c r="AC4">
        <f>MIN(Q4:S4)</f>
        <v>16.5</v>
      </c>
      <c r="AD4">
        <f>T4-AC4</f>
        <v>2.5</v>
      </c>
      <c r="AE4">
        <f>AVERAGE(AD4:AD13)</f>
        <v>5.6833333333333327</v>
      </c>
      <c r="AF4">
        <f>_xlfn.STDEV.S(AD4:AD13)</f>
        <v>1.780293359096877</v>
      </c>
    </row>
    <row r="5" spans="1:32" x14ac:dyDescent="0.3">
      <c r="B5">
        <v>91</v>
      </c>
      <c r="C5">
        <v>9</v>
      </c>
      <c r="D5">
        <v>19</v>
      </c>
      <c r="E5">
        <v>81</v>
      </c>
      <c r="G5">
        <v>69</v>
      </c>
      <c r="H5">
        <v>31</v>
      </c>
      <c r="I5">
        <v>5</v>
      </c>
      <c r="J5">
        <v>95</v>
      </c>
      <c r="L5">
        <v>72</v>
      </c>
      <c r="M5">
        <v>28</v>
      </c>
      <c r="N5">
        <v>34</v>
      </c>
      <c r="O5">
        <v>66</v>
      </c>
      <c r="Q5">
        <f t="shared" ref="Q5:Q13" si="0">AVERAGE(C5:D5)</f>
        <v>14</v>
      </c>
      <c r="R5">
        <f t="shared" ref="R5:R13" si="1">AVERAGE(H5:I5)</f>
        <v>18</v>
      </c>
      <c r="S5">
        <f t="shared" ref="S5:S13" si="2">AVERAGE(M5:N5)</f>
        <v>31</v>
      </c>
      <c r="T5">
        <f t="shared" ref="T5:T13" si="3">AVERAGE(Q5:S5)</f>
        <v>21</v>
      </c>
      <c r="AC5">
        <f t="shared" ref="AC5:AC13" si="4">MIN(Q5:S5)</f>
        <v>14</v>
      </c>
      <c r="AD5">
        <f t="shared" ref="AD5:AD13" si="5">T5-AC5</f>
        <v>7</v>
      </c>
    </row>
    <row r="6" spans="1:32" x14ac:dyDescent="0.3">
      <c r="B6">
        <v>83</v>
      </c>
      <c r="C6">
        <v>17</v>
      </c>
      <c r="D6">
        <v>20</v>
      </c>
      <c r="E6">
        <v>80</v>
      </c>
      <c r="G6">
        <v>73</v>
      </c>
      <c r="H6">
        <v>27</v>
      </c>
      <c r="I6">
        <v>13</v>
      </c>
      <c r="J6">
        <v>87</v>
      </c>
      <c r="L6">
        <v>63</v>
      </c>
      <c r="M6">
        <v>37</v>
      </c>
      <c r="N6">
        <v>23</v>
      </c>
      <c r="O6">
        <v>77</v>
      </c>
      <c r="Q6">
        <f t="shared" si="0"/>
        <v>18.5</v>
      </c>
      <c r="R6">
        <f t="shared" si="1"/>
        <v>20</v>
      </c>
      <c r="S6">
        <f t="shared" si="2"/>
        <v>30</v>
      </c>
      <c r="T6">
        <f t="shared" si="3"/>
        <v>22.833333333333332</v>
      </c>
      <c r="AC6">
        <f t="shared" si="4"/>
        <v>18.5</v>
      </c>
      <c r="AD6">
        <f t="shared" si="5"/>
        <v>4.3333333333333321</v>
      </c>
    </row>
    <row r="7" spans="1:32" x14ac:dyDescent="0.3">
      <c r="B7">
        <v>87</v>
      </c>
      <c r="C7">
        <v>13</v>
      </c>
      <c r="D7">
        <v>17</v>
      </c>
      <c r="E7">
        <v>83</v>
      </c>
      <c r="G7">
        <v>71</v>
      </c>
      <c r="H7">
        <v>29</v>
      </c>
      <c r="I7">
        <v>11</v>
      </c>
      <c r="J7">
        <v>89</v>
      </c>
      <c r="L7">
        <v>69</v>
      </c>
      <c r="M7">
        <v>31</v>
      </c>
      <c r="N7">
        <v>21</v>
      </c>
      <c r="O7">
        <v>79</v>
      </c>
      <c r="Q7">
        <f t="shared" si="0"/>
        <v>15</v>
      </c>
      <c r="R7">
        <f t="shared" si="1"/>
        <v>20</v>
      </c>
      <c r="S7">
        <f t="shared" si="2"/>
        <v>26</v>
      </c>
      <c r="T7">
        <f t="shared" si="3"/>
        <v>20.333333333333332</v>
      </c>
      <c r="AC7">
        <f t="shared" si="4"/>
        <v>15</v>
      </c>
      <c r="AD7">
        <f t="shared" si="5"/>
        <v>5.3333333333333321</v>
      </c>
    </row>
    <row r="8" spans="1:32" x14ac:dyDescent="0.3">
      <c r="B8">
        <v>89</v>
      </c>
      <c r="C8">
        <v>11</v>
      </c>
      <c r="D8">
        <v>19</v>
      </c>
      <c r="E8">
        <v>81</v>
      </c>
      <c r="G8">
        <v>53</v>
      </c>
      <c r="H8">
        <v>47</v>
      </c>
      <c r="I8">
        <v>7</v>
      </c>
      <c r="J8">
        <v>93</v>
      </c>
      <c r="L8">
        <v>65</v>
      </c>
      <c r="M8">
        <v>35</v>
      </c>
      <c r="N8">
        <v>14</v>
      </c>
      <c r="O8">
        <v>86</v>
      </c>
      <c r="Q8">
        <f t="shared" si="0"/>
        <v>15</v>
      </c>
      <c r="R8">
        <f t="shared" si="1"/>
        <v>27</v>
      </c>
      <c r="S8">
        <f t="shared" si="2"/>
        <v>24.5</v>
      </c>
      <c r="T8">
        <f t="shared" si="3"/>
        <v>22.166666666666668</v>
      </c>
      <c r="AC8">
        <f t="shared" si="4"/>
        <v>15</v>
      </c>
      <c r="AD8">
        <f t="shared" si="5"/>
        <v>7.1666666666666679</v>
      </c>
    </row>
    <row r="9" spans="1:32" x14ac:dyDescent="0.3">
      <c r="B9">
        <v>93</v>
      </c>
      <c r="C9">
        <v>7</v>
      </c>
      <c r="D9">
        <v>24</v>
      </c>
      <c r="E9">
        <v>76</v>
      </c>
      <c r="G9">
        <v>72</v>
      </c>
      <c r="H9">
        <v>28</v>
      </c>
      <c r="I9">
        <v>11</v>
      </c>
      <c r="J9">
        <v>89</v>
      </c>
      <c r="L9">
        <v>76</v>
      </c>
      <c r="M9">
        <v>24</v>
      </c>
      <c r="N9">
        <v>21</v>
      </c>
      <c r="O9">
        <v>79</v>
      </c>
      <c r="Q9">
        <f t="shared" si="0"/>
        <v>15.5</v>
      </c>
      <c r="R9">
        <f t="shared" si="1"/>
        <v>19.5</v>
      </c>
      <c r="S9">
        <f t="shared" si="2"/>
        <v>22.5</v>
      </c>
      <c r="T9">
        <f t="shared" si="3"/>
        <v>19.166666666666668</v>
      </c>
      <c r="AC9">
        <f t="shared" si="4"/>
        <v>15.5</v>
      </c>
      <c r="AD9">
        <f t="shared" si="5"/>
        <v>3.6666666666666679</v>
      </c>
    </row>
    <row r="10" spans="1:32" x14ac:dyDescent="0.3">
      <c r="B10">
        <v>82</v>
      </c>
      <c r="C10">
        <v>18</v>
      </c>
      <c r="D10">
        <v>12</v>
      </c>
      <c r="E10">
        <v>88</v>
      </c>
      <c r="G10">
        <v>76</v>
      </c>
      <c r="H10">
        <v>24</v>
      </c>
      <c r="I10">
        <v>10</v>
      </c>
      <c r="J10">
        <v>90</v>
      </c>
      <c r="L10">
        <v>60</v>
      </c>
      <c r="M10">
        <v>40</v>
      </c>
      <c r="N10">
        <v>18</v>
      </c>
      <c r="O10">
        <v>82</v>
      </c>
      <c r="Q10">
        <f t="shared" si="0"/>
        <v>15</v>
      </c>
      <c r="R10">
        <f t="shared" si="1"/>
        <v>17</v>
      </c>
      <c r="S10">
        <f t="shared" si="2"/>
        <v>29</v>
      </c>
      <c r="T10">
        <f t="shared" si="3"/>
        <v>20.333333333333332</v>
      </c>
      <c r="AC10">
        <f t="shared" si="4"/>
        <v>15</v>
      </c>
      <c r="AD10">
        <f t="shared" si="5"/>
        <v>5.3333333333333321</v>
      </c>
    </row>
    <row r="11" spans="1:32" x14ac:dyDescent="0.3">
      <c r="B11">
        <v>80</v>
      </c>
      <c r="C11">
        <v>20</v>
      </c>
      <c r="D11">
        <v>9</v>
      </c>
      <c r="E11">
        <v>91</v>
      </c>
      <c r="G11">
        <v>63</v>
      </c>
      <c r="H11">
        <v>37</v>
      </c>
      <c r="I11">
        <v>6</v>
      </c>
      <c r="J11">
        <v>94</v>
      </c>
      <c r="L11">
        <v>70</v>
      </c>
      <c r="M11">
        <v>30</v>
      </c>
      <c r="N11">
        <v>29</v>
      </c>
      <c r="O11">
        <v>71</v>
      </c>
      <c r="Q11">
        <f t="shared" si="0"/>
        <v>14.5</v>
      </c>
      <c r="R11">
        <f t="shared" si="1"/>
        <v>21.5</v>
      </c>
      <c r="S11">
        <f t="shared" si="2"/>
        <v>29.5</v>
      </c>
      <c r="T11">
        <f t="shared" si="3"/>
        <v>21.833333333333332</v>
      </c>
      <c r="AC11">
        <f t="shared" si="4"/>
        <v>14.5</v>
      </c>
      <c r="AD11">
        <f t="shared" si="5"/>
        <v>7.3333333333333321</v>
      </c>
    </row>
    <row r="12" spans="1:32" x14ac:dyDescent="0.3">
      <c r="B12">
        <v>89</v>
      </c>
      <c r="C12">
        <v>11</v>
      </c>
      <c r="D12">
        <v>15</v>
      </c>
      <c r="E12">
        <v>85</v>
      </c>
      <c r="G12">
        <v>73</v>
      </c>
      <c r="H12">
        <v>27</v>
      </c>
      <c r="I12">
        <v>14</v>
      </c>
      <c r="J12">
        <v>86</v>
      </c>
      <c r="L12">
        <v>79</v>
      </c>
      <c r="M12">
        <v>21</v>
      </c>
      <c r="N12">
        <v>38</v>
      </c>
      <c r="O12">
        <v>62</v>
      </c>
      <c r="Q12">
        <f t="shared" si="0"/>
        <v>13</v>
      </c>
      <c r="R12">
        <f t="shared" si="1"/>
        <v>20.5</v>
      </c>
      <c r="S12">
        <f t="shared" si="2"/>
        <v>29.5</v>
      </c>
      <c r="T12">
        <f t="shared" si="3"/>
        <v>21</v>
      </c>
      <c r="AC12">
        <f t="shared" si="4"/>
        <v>13</v>
      </c>
      <c r="AD12">
        <f t="shared" si="5"/>
        <v>8</v>
      </c>
    </row>
    <row r="13" spans="1:32" x14ac:dyDescent="0.3">
      <c r="B13">
        <v>90</v>
      </c>
      <c r="C13">
        <v>10</v>
      </c>
      <c r="D13">
        <v>17</v>
      </c>
      <c r="E13">
        <v>83</v>
      </c>
      <c r="G13">
        <v>80</v>
      </c>
      <c r="H13">
        <v>20</v>
      </c>
      <c r="I13">
        <v>13</v>
      </c>
      <c r="J13">
        <v>87</v>
      </c>
      <c r="L13">
        <v>71</v>
      </c>
      <c r="M13">
        <v>29</v>
      </c>
      <c r="N13">
        <v>29</v>
      </c>
      <c r="O13">
        <v>71</v>
      </c>
      <c r="Q13">
        <f t="shared" si="0"/>
        <v>13.5</v>
      </c>
      <c r="R13">
        <f t="shared" si="1"/>
        <v>16.5</v>
      </c>
      <c r="S13">
        <f t="shared" si="2"/>
        <v>29</v>
      </c>
      <c r="T13">
        <f t="shared" si="3"/>
        <v>19.666666666666668</v>
      </c>
      <c r="AC13">
        <f t="shared" si="4"/>
        <v>13.5</v>
      </c>
      <c r="AD13">
        <f t="shared" si="5"/>
        <v>6.1666666666666679</v>
      </c>
    </row>
    <row r="15" spans="1:32" x14ac:dyDescent="0.3">
      <c r="A15" t="s">
        <v>79</v>
      </c>
    </row>
    <row r="16" spans="1:32" x14ac:dyDescent="0.3">
      <c r="B16">
        <v>90</v>
      </c>
      <c r="C16">
        <v>10</v>
      </c>
      <c r="D16">
        <v>23</v>
      </c>
      <c r="E16">
        <v>77</v>
      </c>
      <c r="G16">
        <v>71</v>
      </c>
      <c r="H16">
        <v>29</v>
      </c>
      <c r="I16">
        <v>15</v>
      </c>
      <c r="J16">
        <v>85</v>
      </c>
      <c r="L16">
        <v>67</v>
      </c>
      <c r="M16">
        <v>33</v>
      </c>
      <c r="N16">
        <v>27</v>
      </c>
      <c r="O16">
        <v>73</v>
      </c>
      <c r="Q16">
        <f t="shared" ref="Q14:Q23" si="6">AVERAGE(C16:D16)</f>
        <v>16.5</v>
      </c>
      <c r="R16">
        <f t="shared" ref="R14:R23" si="7">AVERAGE(H16:I16)</f>
        <v>22</v>
      </c>
      <c r="S16">
        <f t="shared" ref="S14:S23" si="8">AVERAGE(M16:N16)</f>
        <v>30</v>
      </c>
      <c r="T16">
        <f t="shared" ref="T14:T23" si="9">AVERAGE(Q16:S16)</f>
        <v>22.833333333333332</v>
      </c>
      <c r="U16">
        <f>AVERAGE(Q16:Q23)</f>
        <v>15.875</v>
      </c>
      <c r="AA16">
        <f>AVERAGE(T16:T23)</f>
        <v>21.354166666666668</v>
      </c>
      <c r="AC16">
        <f t="shared" ref="AC14:AC23" si="10">MIN(Q16:S16)</f>
        <v>16.5</v>
      </c>
      <c r="AD16">
        <f t="shared" ref="AD14:AD23" si="11">T16-AC16</f>
        <v>6.3333333333333321</v>
      </c>
      <c r="AE16">
        <f>AVERAGE(AD16:AD23)</f>
        <v>5.4791666666666661</v>
      </c>
    </row>
    <row r="17" spans="1:31" x14ac:dyDescent="0.3">
      <c r="B17">
        <v>88</v>
      </c>
      <c r="C17">
        <v>12</v>
      </c>
      <c r="D17">
        <v>17</v>
      </c>
      <c r="E17">
        <v>83</v>
      </c>
      <c r="G17">
        <v>60</v>
      </c>
      <c r="H17">
        <v>40</v>
      </c>
      <c r="I17">
        <v>10</v>
      </c>
      <c r="J17">
        <v>90</v>
      </c>
      <c r="L17">
        <v>66</v>
      </c>
      <c r="M17">
        <v>34</v>
      </c>
      <c r="N17">
        <v>21</v>
      </c>
      <c r="O17">
        <v>79</v>
      </c>
      <c r="Q17">
        <f t="shared" si="6"/>
        <v>14.5</v>
      </c>
      <c r="R17">
        <f t="shared" si="7"/>
        <v>25</v>
      </c>
      <c r="S17">
        <f t="shared" si="8"/>
        <v>27.5</v>
      </c>
      <c r="T17">
        <f t="shared" si="9"/>
        <v>22.333333333333332</v>
      </c>
      <c r="AC17">
        <f t="shared" si="10"/>
        <v>14.5</v>
      </c>
      <c r="AD17">
        <f t="shared" si="11"/>
        <v>7.8333333333333321</v>
      </c>
    </row>
    <row r="18" spans="1:31" x14ac:dyDescent="0.3">
      <c r="B18">
        <v>85</v>
      </c>
      <c r="C18">
        <v>15</v>
      </c>
      <c r="D18">
        <v>22</v>
      </c>
      <c r="E18">
        <v>78</v>
      </c>
      <c r="G18">
        <v>69</v>
      </c>
      <c r="H18">
        <v>31</v>
      </c>
      <c r="I18">
        <v>6</v>
      </c>
      <c r="J18">
        <v>94</v>
      </c>
      <c r="L18">
        <v>66</v>
      </c>
      <c r="M18">
        <v>34</v>
      </c>
      <c r="N18">
        <v>22</v>
      </c>
      <c r="O18">
        <v>78</v>
      </c>
      <c r="Q18">
        <f t="shared" si="6"/>
        <v>18.5</v>
      </c>
      <c r="R18">
        <f t="shared" si="7"/>
        <v>18.5</v>
      </c>
      <c r="S18">
        <f t="shared" si="8"/>
        <v>28</v>
      </c>
      <c r="T18">
        <f t="shared" si="9"/>
        <v>21.666666666666668</v>
      </c>
      <c r="AC18">
        <f t="shared" si="10"/>
        <v>18.5</v>
      </c>
      <c r="AD18">
        <f t="shared" si="11"/>
        <v>3.1666666666666679</v>
      </c>
    </row>
    <row r="19" spans="1:31" x14ac:dyDescent="0.3">
      <c r="B19">
        <v>90</v>
      </c>
      <c r="C19">
        <v>10</v>
      </c>
      <c r="D19">
        <v>21</v>
      </c>
      <c r="E19">
        <v>79</v>
      </c>
      <c r="G19">
        <v>68</v>
      </c>
      <c r="H19">
        <v>32</v>
      </c>
      <c r="I19">
        <v>12</v>
      </c>
      <c r="J19">
        <v>88</v>
      </c>
      <c r="L19">
        <v>68</v>
      </c>
      <c r="M19">
        <v>32</v>
      </c>
      <c r="N19">
        <v>30</v>
      </c>
      <c r="O19">
        <v>70</v>
      </c>
      <c r="Q19">
        <f t="shared" si="6"/>
        <v>15.5</v>
      </c>
      <c r="R19">
        <f t="shared" si="7"/>
        <v>22</v>
      </c>
      <c r="S19">
        <f t="shared" si="8"/>
        <v>31</v>
      </c>
      <c r="T19">
        <f t="shared" si="9"/>
        <v>22.833333333333332</v>
      </c>
      <c r="AC19">
        <f t="shared" si="10"/>
        <v>15.5</v>
      </c>
      <c r="AD19">
        <f t="shared" si="11"/>
        <v>7.3333333333333321</v>
      </c>
    </row>
    <row r="20" spans="1:31" x14ac:dyDescent="0.3">
      <c r="B20">
        <v>88</v>
      </c>
      <c r="C20">
        <v>12</v>
      </c>
      <c r="D20">
        <v>17</v>
      </c>
      <c r="E20">
        <v>83</v>
      </c>
      <c r="G20">
        <v>72</v>
      </c>
      <c r="H20">
        <v>28</v>
      </c>
      <c r="I20">
        <v>8</v>
      </c>
      <c r="J20">
        <v>92</v>
      </c>
      <c r="L20">
        <v>82</v>
      </c>
      <c r="M20">
        <v>18</v>
      </c>
      <c r="N20">
        <v>29</v>
      </c>
      <c r="O20">
        <v>71</v>
      </c>
      <c r="Q20">
        <f t="shared" si="6"/>
        <v>14.5</v>
      </c>
      <c r="R20">
        <f t="shared" si="7"/>
        <v>18</v>
      </c>
      <c r="S20">
        <f t="shared" si="8"/>
        <v>23.5</v>
      </c>
      <c r="T20">
        <f t="shared" si="9"/>
        <v>18.666666666666668</v>
      </c>
      <c r="AC20">
        <f t="shared" si="10"/>
        <v>14.5</v>
      </c>
      <c r="AD20">
        <f t="shared" si="11"/>
        <v>4.1666666666666679</v>
      </c>
    </row>
    <row r="21" spans="1:31" x14ac:dyDescent="0.3">
      <c r="B21">
        <v>87</v>
      </c>
      <c r="C21">
        <v>13</v>
      </c>
      <c r="D21">
        <v>18</v>
      </c>
      <c r="E21">
        <v>82</v>
      </c>
      <c r="G21">
        <v>70</v>
      </c>
      <c r="H21">
        <v>30</v>
      </c>
      <c r="I21">
        <v>7</v>
      </c>
      <c r="J21">
        <v>93</v>
      </c>
      <c r="L21">
        <v>71</v>
      </c>
      <c r="M21">
        <v>29</v>
      </c>
      <c r="N21">
        <v>33</v>
      </c>
      <c r="O21">
        <v>67</v>
      </c>
      <c r="Q21">
        <f t="shared" si="6"/>
        <v>15.5</v>
      </c>
      <c r="R21">
        <f t="shared" si="7"/>
        <v>18.5</v>
      </c>
      <c r="S21">
        <f t="shared" si="8"/>
        <v>31</v>
      </c>
      <c r="T21">
        <f t="shared" si="9"/>
        <v>21.666666666666668</v>
      </c>
      <c r="AC21">
        <f t="shared" si="10"/>
        <v>15.5</v>
      </c>
      <c r="AD21">
        <f t="shared" si="11"/>
        <v>6.1666666666666679</v>
      </c>
    </row>
    <row r="22" spans="1:31" x14ac:dyDescent="0.3">
      <c r="B22">
        <v>88</v>
      </c>
      <c r="C22">
        <v>12</v>
      </c>
      <c r="D22">
        <v>21</v>
      </c>
      <c r="E22">
        <v>79</v>
      </c>
      <c r="G22">
        <v>75</v>
      </c>
      <c r="H22">
        <v>25</v>
      </c>
      <c r="I22">
        <v>8</v>
      </c>
      <c r="J22">
        <v>92</v>
      </c>
      <c r="L22">
        <v>79</v>
      </c>
      <c r="M22">
        <v>21</v>
      </c>
      <c r="N22">
        <v>33</v>
      </c>
      <c r="O22">
        <v>67</v>
      </c>
      <c r="Q22">
        <f t="shared" si="6"/>
        <v>16.5</v>
      </c>
      <c r="R22">
        <f t="shared" si="7"/>
        <v>16.5</v>
      </c>
      <c r="S22">
        <f t="shared" si="8"/>
        <v>27</v>
      </c>
      <c r="T22">
        <f t="shared" si="9"/>
        <v>20</v>
      </c>
      <c r="AC22">
        <f t="shared" si="10"/>
        <v>16.5</v>
      </c>
      <c r="AD22">
        <f t="shared" si="11"/>
        <v>3.5</v>
      </c>
    </row>
    <row r="23" spans="1:31" x14ac:dyDescent="0.3">
      <c r="B23">
        <v>92</v>
      </c>
      <c r="C23">
        <v>8</v>
      </c>
      <c r="D23">
        <v>23</v>
      </c>
      <c r="E23">
        <v>77</v>
      </c>
      <c r="G23">
        <v>73</v>
      </c>
      <c r="H23">
        <v>27</v>
      </c>
      <c r="I23">
        <v>9</v>
      </c>
      <c r="J23">
        <v>91</v>
      </c>
      <c r="L23">
        <v>77</v>
      </c>
      <c r="M23">
        <v>23</v>
      </c>
      <c r="N23">
        <v>35</v>
      </c>
      <c r="O23">
        <v>65</v>
      </c>
      <c r="Q23">
        <f t="shared" si="6"/>
        <v>15.5</v>
      </c>
      <c r="R23">
        <f t="shared" si="7"/>
        <v>18</v>
      </c>
      <c r="S23">
        <f t="shared" si="8"/>
        <v>29</v>
      </c>
      <c r="T23">
        <f t="shared" si="9"/>
        <v>20.833333333333332</v>
      </c>
      <c r="AC23">
        <f t="shared" si="10"/>
        <v>15.5</v>
      </c>
      <c r="AD23">
        <f t="shared" si="11"/>
        <v>5.3333333333333321</v>
      </c>
    </row>
    <row r="25" spans="1:31" x14ac:dyDescent="0.3">
      <c r="A25" t="s">
        <v>21</v>
      </c>
    </row>
    <row r="26" spans="1:31" x14ac:dyDescent="0.3">
      <c r="B26" t="s">
        <v>80</v>
      </c>
    </row>
    <row r="27" spans="1:31" x14ac:dyDescent="0.3">
      <c r="B27">
        <v>88</v>
      </c>
      <c r="C27">
        <v>12</v>
      </c>
      <c r="D27">
        <v>19</v>
      </c>
      <c r="E27">
        <v>81</v>
      </c>
      <c r="G27">
        <v>77</v>
      </c>
      <c r="H27">
        <v>23</v>
      </c>
      <c r="I27">
        <v>11</v>
      </c>
      <c r="J27">
        <v>89</v>
      </c>
      <c r="L27">
        <v>76</v>
      </c>
      <c r="M27">
        <v>24</v>
      </c>
      <c r="N27">
        <v>31</v>
      </c>
      <c r="O27">
        <v>69</v>
      </c>
      <c r="Q27">
        <f t="shared" ref="Q24:Q31" si="12">AVERAGE(C27:D27)</f>
        <v>15.5</v>
      </c>
      <c r="R27">
        <f t="shared" ref="R24:R31" si="13">AVERAGE(H27:I27)</f>
        <v>17</v>
      </c>
      <c r="S27">
        <f t="shared" ref="S24:S31" si="14">AVERAGE(M27:N27)</f>
        <v>27.5</v>
      </c>
      <c r="T27">
        <f t="shared" ref="T24:T31" si="15">AVERAGE(Q27:S27)</f>
        <v>20</v>
      </c>
      <c r="AA27">
        <f>AVERAGE(T27:T31)</f>
        <v>21.566666666666666</v>
      </c>
      <c r="AC27">
        <f t="shared" ref="AC24:AC31" si="16">MIN(Q27:S27)</f>
        <v>15.5</v>
      </c>
      <c r="AD27">
        <f t="shared" ref="AD24:AD31" si="17">T27-AC27</f>
        <v>4.5</v>
      </c>
      <c r="AE27">
        <f>AVERAGE(AD27:AD31)</f>
        <v>3.9666666666666663</v>
      </c>
    </row>
    <row r="28" spans="1:31" x14ac:dyDescent="0.3">
      <c r="B28">
        <v>85</v>
      </c>
      <c r="C28">
        <v>15</v>
      </c>
      <c r="D28">
        <v>18</v>
      </c>
      <c r="E28">
        <v>82</v>
      </c>
      <c r="G28">
        <v>72</v>
      </c>
      <c r="H28">
        <v>28</v>
      </c>
      <c r="I28">
        <v>9</v>
      </c>
      <c r="J28">
        <v>91</v>
      </c>
      <c r="L28">
        <v>65</v>
      </c>
      <c r="M28">
        <v>35</v>
      </c>
      <c r="N28">
        <v>20</v>
      </c>
      <c r="O28">
        <v>80</v>
      </c>
      <c r="Q28">
        <f t="shared" si="12"/>
        <v>16.5</v>
      </c>
      <c r="R28">
        <f t="shared" si="13"/>
        <v>18.5</v>
      </c>
      <c r="S28">
        <f t="shared" si="14"/>
        <v>27.5</v>
      </c>
      <c r="T28">
        <f t="shared" si="15"/>
        <v>20.833333333333332</v>
      </c>
      <c r="AC28">
        <f t="shared" si="16"/>
        <v>16.5</v>
      </c>
      <c r="AD28">
        <f t="shared" si="17"/>
        <v>4.3333333333333321</v>
      </c>
    </row>
    <row r="29" spans="1:31" x14ac:dyDescent="0.3">
      <c r="B29">
        <v>83</v>
      </c>
      <c r="C29">
        <v>17</v>
      </c>
      <c r="D29">
        <v>28</v>
      </c>
      <c r="E29">
        <v>72</v>
      </c>
      <c r="G29">
        <v>71</v>
      </c>
      <c r="H29">
        <v>29</v>
      </c>
      <c r="I29">
        <v>10</v>
      </c>
      <c r="J29">
        <v>90</v>
      </c>
      <c r="L29">
        <v>73</v>
      </c>
      <c r="M29">
        <v>27</v>
      </c>
      <c r="N29">
        <v>32</v>
      </c>
      <c r="O29">
        <v>68</v>
      </c>
      <c r="Q29">
        <f t="shared" si="12"/>
        <v>22.5</v>
      </c>
      <c r="R29">
        <f t="shared" si="13"/>
        <v>19.5</v>
      </c>
      <c r="S29">
        <f t="shared" si="14"/>
        <v>29.5</v>
      </c>
      <c r="T29">
        <f t="shared" si="15"/>
        <v>23.833333333333332</v>
      </c>
      <c r="AC29">
        <f t="shared" si="16"/>
        <v>19.5</v>
      </c>
      <c r="AD29">
        <f t="shared" si="17"/>
        <v>4.3333333333333321</v>
      </c>
    </row>
    <row r="30" spans="1:31" x14ac:dyDescent="0.3">
      <c r="B30">
        <v>88</v>
      </c>
      <c r="C30">
        <v>12</v>
      </c>
      <c r="D30">
        <v>27</v>
      </c>
      <c r="E30">
        <v>73</v>
      </c>
      <c r="G30">
        <v>76</v>
      </c>
      <c r="H30">
        <v>24</v>
      </c>
      <c r="I30">
        <v>10</v>
      </c>
      <c r="J30">
        <v>90</v>
      </c>
      <c r="L30">
        <v>80</v>
      </c>
      <c r="M30">
        <v>20</v>
      </c>
      <c r="N30">
        <v>33</v>
      </c>
      <c r="O30">
        <v>67</v>
      </c>
      <c r="Q30">
        <f t="shared" si="12"/>
        <v>19.5</v>
      </c>
      <c r="R30">
        <f t="shared" si="13"/>
        <v>17</v>
      </c>
      <c r="S30">
        <f t="shared" si="14"/>
        <v>26.5</v>
      </c>
      <c r="T30">
        <f t="shared" si="15"/>
        <v>21</v>
      </c>
      <c r="AC30">
        <f t="shared" si="16"/>
        <v>17</v>
      </c>
      <c r="AD30">
        <f t="shared" si="17"/>
        <v>4</v>
      </c>
    </row>
    <row r="31" spans="1:31" x14ac:dyDescent="0.3">
      <c r="B31">
        <v>80</v>
      </c>
      <c r="C31">
        <v>20</v>
      </c>
      <c r="D31">
        <v>19</v>
      </c>
      <c r="E31">
        <v>81</v>
      </c>
      <c r="G31">
        <v>64</v>
      </c>
      <c r="H31">
        <v>36</v>
      </c>
      <c r="I31">
        <v>5</v>
      </c>
      <c r="J31">
        <v>95</v>
      </c>
      <c r="L31">
        <v>72</v>
      </c>
      <c r="M31">
        <v>28</v>
      </c>
      <c r="N31">
        <v>25</v>
      </c>
      <c r="O31">
        <v>75</v>
      </c>
      <c r="Q31">
        <f t="shared" si="12"/>
        <v>19.5</v>
      </c>
      <c r="R31">
        <f t="shared" si="13"/>
        <v>20.5</v>
      </c>
      <c r="S31">
        <f t="shared" si="14"/>
        <v>26.5</v>
      </c>
      <c r="T31">
        <f t="shared" si="15"/>
        <v>22.166666666666668</v>
      </c>
      <c r="AC31">
        <f t="shared" si="16"/>
        <v>19.5</v>
      </c>
      <c r="AD31">
        <f t="shared" si="17"/>
        <v>2.6666666666666679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9"/>
  <sheetViews>
    <sheetView topLeftCell="M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85</v>
      </c>
      <c r="C4">
        <v>15</v>
      </c>
      <c r="D4">
        <v>10</v>
      </c>
      <c r="E4">
        <v>90</v>
      </c>
      <c r="G4">
        <v>72</v>
      </c>
      <c r="H4">
        <v>28</v>
      </c>
      <c r="I4">
        <v>12</v>
      </c>
      <c r="J4">
        <v>88</v>
      </c>
      <c r="L4">
        <v>68</v>
      </c>
      <c r="M4">
        <v>32</v>
      </c>
      <c r="N4">
        <v>25</v>
      </c>
      <c r="O4">
        <v>75</v>
      </c>
      <c r="Q4">
        <f>AVERAGE(C4,D4)</f>
        <v>12.5</v>
      </c>
      <c r="R4">
        <f>AVERAGE(H4,I4)</f>
        <v>20</v>
      </c>
      <c r="S4">
        <f>AVERAGE(M4,N4)</f>
        <v>28.5</v>
      </c>
      <c r="T4">
        <f>AVERAGE(Q4:S4)</f>
        <v>20.333333333333332</v>
      </c>
      <c r="U4">
        <f>AVERAGE(Q4:Q9)</f>
        <v>14.916666666666666</v>
      </c>
      <c r="V4">
        <f>_xlfn.STDEV.S(Q4:Q9)</f>
        <v>2.1775368347439388</v>
      </c>
      <c r="W4">
        <f>AVERAGE(R4:R9)</f>
        <v>20.416666666666668</v>
      </c>
      <c r="X4">
        <f>_xlfn.STDEV.S(R4:R9)</f>
        <v>2.4983327774071045</v>
      </c>
      <c r="Y4">
        <f>AVERAGE(S4:S9)</f>
        <v>26.416666666666668</v>
      </c>
      <c r="Z4">
        <f>_xlfn.STDEV.S(S4:S9)</f>
        <v>1.4288690166235207</v>
      </c>
      <c r="AA4">
        <f>AVERAGE(T4:T9)</f>
        <v>20.583333333333332</v>
      </c>
      <c r="AB4">
        <f>_xlfn.STDEV.S(T4:T9)</f>
        <v>1.0368220676663862</v>
      </c>
      <c r="AC4">
        <f>MIN(Q4:S4)</f>
        <v>12.5</v>
      </c>
      <c r="AD4">
        <f>(T4-AC4)</f>
        <v>7.8333333333333321</v>
      </c>
      <c r="AE4">
        <f>AVERAGE(AD4:AD9)</f>
        <v>5.666666666666667</v>
      </c>
      <c r="AF4">
        <f>_xlfn.STDEV.S(AD4:AD9)</f>
        <v>1.7224014243685055</v>
      </c>
    </row>
    <row r="5" spans="1:32" x14ac:dyDescent="0.3">
      <c r="B5">
        <v>88</v>
      </c>
      <c r="C5">
        <v>12</v>
      </c>
      <c r="D5">
        <v>20</v>
      </c>
      <c r="E5">
        <v>80</v>
      </c>
      <c r="G5">
        <v>71</v>
      </c>
      <c r="H5">
        <v>29</v>
      </c>
      <c r="I5">
        <v>5</v>
      </c>
      <c r="J5">
        <v>95</v>
      </c>
      <c r="L5">
        <v>67</v>
      </c>
      <c r="M5">
        <v>33</v>
      </c>
      <c r="N5">
        <v>18</v>
      </c>
      <c r="O5">
        <v>82</v>
      </c>
      <c r="Q5">
        <f t="shared" ref="Q5:Q9" si="0">AVERAGE(C5,D5)</f>
        <v>16</v>
      </c>
      <c r="R5">
        <f t="shared" ref="R5:R9" si="1">AVERAGE(H5,I5)</f>
        <v>17</v>
      </c>
      <c r="S5">
        <f t="shared" ref="S5:S9" si="2">AVERAGE(M5,N5)</f>
        <v>25.5</v>
      </c>
      <c r="T5">
        <f t="shared" ref="T5:T9" si="3">AVERAGE(Q5:S5)</f>
        <v>19.5</v>
      </c>
      <c r="AC5">
        <f t="shared" ref="AC5:AC9" si="4">MIN(Q5:S5)</f>
        <v>16</v>
      </c>
      <c r="AD5">
        <f t="shared" ref="AD5:AD9" si="5">(T5-AC5)</f>
        <v>3.5</v>
      </c>
    </row>
    <row r="6" spans="1:32" x14ac:dyDescent="0.3">
      <c r="B6">
        <v>92</v>
      </c>
      <c r="C6">
        <v>8</v>
      </c>
      <c r="D6">
        <v>21</v>
      </c>
      <c r="E6">
        <v>79</v>
      </c>
      <c r="G6">
        <v>78</v>
      </c>
      <c r="H6">
        <v>22</v>
      </c>
      <c r="I6">
        <v>15</v>
      </c>
      <c r="J6">
        <v>85</v>
      </c>
      <c r="L6">
        <v>62</v>
      </c>
      <c r="M6">
        <v>38</v>
      </c>
      <c r="N6">
        <v>18</v>
      </c>
      <c r="O6">
        <v>82</v>
      </c>
      <c r="Q6">
        <f t="shared" si="0"/>
        <v>14.5</v>
      </c>
      <c r="R6">
        <f t="shared" si="1"/>
        <v>18.5</v>
      </c>
      <c r="S6">
        <f t="shared" si="2"/>
        <v>28</v>
      </c>
      <c r="T6">
        <f t="shared" si="3"/>
        <v>20.333333333333332</v>
      </c>
      <c r="AC6">
        <f t="shared" si="4"/>
        <v>14.5</v>
      </c>
      <c r="AD6">
        <f t="shared" si="5"/>
        <v>5.8333333333333321</v>
      </c>
    </row>
    <row r="7" spans="1:32" x14ac:dyDescent="0.3">
      <c r="B7">
        <v>81</v>
      </c>
      <c r="C7">
        <v>19</v>
      </c>
      <c r="D7">
        <v>13</v>
      </c>
      <c r="E7">
        <v>87</v>
      </c>
      <c r="G7">
        <v>65</v>
      </c>
      <c r="H7">
        <v>35</v>
      </c>
      <c r="I7">
        <v>7</v>
      </c>
      <c r="J7">
        <v>93</v>
      </c>
      <c r="L7">
        <v>67</v>
      </c>
      <c r="M7">
        <v>33</v>
      </c>
      <c r="N7">
        <v>18</v>
      </c>
      <c r="O7">
        <v>82</v>
      </c>
      <c r="Q7">
        <f t="shared" si="0"/>
        <v>16</v>
      </c>
      <c r="R7">
        <f t="shared" si="1"/>
        <v>21</v>
      </c>
      <c r="S7">
        <f t="shared" si="2"/>
        <v>25.5</v>
      </c>
      <c r="T7">
        <f t="shared" si="3"/>
        <v>20.833333333333332</v>
      </c>
      <c r="AC7">
        <f t="shared" si="4"/>
        <v>16</v>
      </c>
      <c r="AD7">
        <f t="shared" si="5"/>
        <v>4.8333333333333321</v>
      </c>
    </row>
    <row r="8" spans="1:32" x14ac:dyDescent="0.3">
      <c r="B8">
        <v>80</v>
      </c>
      <c r="C8">
        <v>20</v>
      </c>
      <c r="D8">
        <v>16</v>
      </c>
      <c r="E8">
        <v>84</v>
      </c>
      <c r="G8">
        <v>60</v>
      </c>
      <c r="H8">
        <v>40</v>
      </c>
      <c r="I8">
        <v>8</v>
      </c>
      <c r="J8">
        <v>92</v>
      </c>
      <c r="L8">
        <v>66</v>
      </c>
      <c r="M8">
        <v>34</v>
      </c>
      <c r="N8">
        <v>17</v>
      </c>
      <c r="O8">
        <v>83</v>
      </c>
      <c r="Q8">
        <f t="shared" si="0"/>
        <v>18</v>
      </c>
      <c r="R8">
        <f t="shared" si="1"/>
        <v>24</v>
      </c>
      <c r="S8">
        <f t="shared" si="2"/>
        <v>25.5</v>
      </c>
      <c r="T8">
        <f t="shared" si="3"/>
        <v>22.5</v>
      </c>
      <c r="AC8">
        <f t="shared" si="4"/>
        <v>18</v>
      </c>
      <c r="AD8">
        <f t="shared" si="5"/>
        <v>4.5</v>
      </c>
    </row>
    <row r="9" spans="1:32" x14ac:dyDescent="0.3">
      <c r="B9">
        <v>91</v>
      </c>
      <c r="C9">
        <v>9</v>
      </c>
      <c r="D9">
        <v>16</v>
      </c>
      <c r="E9">
        <v>84</v>
      </c>
      <c r="G9">
        <v>66</v>
      </c>
      <c r="H9">
        <v>34</v>
      </c>
      <c r="I9">
        <v>10</v>
      </c>
      <c r="J9">
        <v>90</v>
      </c>
      <c r="L9">
        <v>68</v>
      </c>
      <c r="M9">
        <v>32</v>
      </c>
      <c r="N9">
        <v>19</v>
      </c>
      <c r="O9">
        <v>81</v>
      </c>
      <c r="Q9">
        <f t="shared" si="0"/>
        <v>12.5</v>
      </c>
      <c r="R9">
        <f t="shared" si="1"/>
        <v>22</v>
      </c>
      <c r="S9">
        <f t="shared" si="2"/>
        <v>25.5</v>
      </c>
      <c r="T9">
        <f t="shared" si="3"/>
        <v>20</v>
      </c>
      <c r="AC9">
        <f t="shared" si="4"/>
        <v>12.5</v>
      </c>
      <c r="AD9">
        <f t="shared" si="5"/>
        <v>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opLeftCell="O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90</v>
      </c>
      <c r="C4">
        <v>10</v>
      </c>
      <c r="D4">
        <v>15</v>
      </c>
      <c r="E4">
        <v>85</v>
      </c>
      <c r="G4">
        <v>61</v>
      </c>
      <c r="H4">
        <v>39</v>
      </c>
      <c r="I4">
        <v>7</v>
      </c>
      <c r="J4">
        <v>93</v>
      </c>
      <c r="L4">
        <v>72</v>
      </c>
      <c r="M4">
        <v>28</v>
      </c>
      <c r="N4">
        <v>20</v>
      </c>
      <c r="O4">
        <v>80</v>
      </c>
      <c r="Q4">
        <f>AVERAGE(C4,D4)</f>
        <v>12.5</v>
      </c>
      <c r="R4">
        <f>AVERAGE(H4,I4)</f>
        <v>23</v>
      </c>
      <c r="S4">
        <f>AVERAGE(M4,N4)</f>
        <v>24</v>
      </c>
      <c r="T4">
        <f>AVERAGE(Q4:S4)</f>
        <v>19.833333333333332</v>
      </c>
      <c r="U4">
        <f>AVERAGE(Q4:Q10)</f>
        <v>14.214285714285714</v>
      </c>
      <c r="V4">
        <f>_xlfn.STDEV.S(Q4:Q10)</f>
        <v>2.0987524639084736</v>
      </c>
      <c r="W4">
        <f>AVERAGE(R4:R10)</f>
        <v>23</v>
      </c>
      <c r="X4">
        <f>_xlfn.STDEV.S(R4:R10)</f>
        <v>2.5495097567963922</v>
      </c>
      <c r="Y4">
        <f>AVERAGE(S4:S10)</f>
        <v>31.428571428571427</v>
      </c>
      <c r="Z4">
        <f>_xlfn.STDEV.S(S4:S10)</f>
        <v>5.2870011303555522</v>
      </c>
      <c r="AA4">
        <f>AVERAGE(T4:T10)</f>
        <v>22.88095238095238</v>
      </c>
      <c r="AB4">
        <f>_xlfn.STDEV.S(T4:T10)</f>
        <v>2.2601914981845255</v>
      </c>
      <c r="AC4">
        <f>MIN(Q4:S4)</f>
        <v>12.5</v>
      </c>
      <c r="AD4">
        <f>T4-AC4</f>
        <v>7.3333333333333321</v>
      </c>
      <c r="AE4">
        <f>AVERAGE(AD4:AD10)</f>
        <v>8.6666666666666661</v>
      </c>
      <c r="AF4">
        <f>_xlfn.STDEV.S(AD4:AD10)</f>
        <v>2.0971762320196583</v>
      </c>
    </row>
    <row r="5" spans="1:32" x14ac:dyDescent="0.3">
      <c r="B5">
        <v>87</v>
      </c>
      <c r="C5">
        <v>13</v>
      </c>
      <c r="D5">
        <v>15</v>
      </c>
      <c r="E5">
        <v>85</v>
      </c>
      <c r="G5">
        <v>49</v>
      </c>
      <c r="H5">
        <v>51</v>
      </c>
      <c r="I5">
        <v>2</v>
      </c>
      <c r="J5">
        <v>98</v>
      </c>
      <c r="L5">
        <v>58</v>
      </c>
      <c r="M5">
        <v>42</v>
      </c>
      <c r="N5">
        <v>25</v>
      </c>
      <c r="O5">
        <v>75</v>
      </c>
      <c r="Q5">
        <f t="shared" ref="Q5:Q10" si="0">AVERAGE(C5,D5)</f>
        <v>14</v>
      </c>
      <c r="R5">
        <f t="shared" ref="R5:R10" si="1">AVERAGE(H5,I5)</f>
        <v>26.5</v>
      </c>
      <c r="S5">
        <f t="shared" ref="S5:S10" si="2">AVERAGE(M5,N5)</f>
        <v>33.5</v>
      </c>
      <c r="T5">
        <f t="shared" ref="T5:T10" si="3">AVERAGE(Q5:S5)</f>
        <v>24.666666666666668</v>
      </c>
      <c r="AC5">
        <f t="shared" ref="AC5:AC10" si="4">MIN(Q5:S5)</f>
        <v>14</v>
      </c>
      <c r="AD5">
        <f t="shared" ref="AD5:AD10" si="5">T5-AC5</f>
        <v>10.666666666666668</v>
      </c>
    </row>
    <row r="6" spans="1:32" x14ac:dyDescent="0.3">
      <c r="A6" t="s">
        <v>22</v>
      </c>
      <c r="B6">
        <v>84</v>
      </c>
      <c r="C6">
        <v>16</v>
      </c>
      <c r="D6">
        <v>19</v>
      </c>
      <c r="E6">
        <v>81</v>
      </c>
      <c r="G6">
        <v>56</v>
      </c>
      <c r="H6">
        <v>44</v>
      </c>
      <c r="I6">
        <v>8</v>
      </c>
      <c r="J6">
        <v>92</v>
      </c>
      <c r="L6">
        <v>69</v>
      </c>
      <c r="M6">
        <v>31</v>
      </c>
      <c r="N6">
        <v>25</v>
      </c>
      <c r="O6">
        <v>75</v>
      </c>
      <c r="Q6">
        <f t="shared" si="0"/>
        <v>17.5</v>
      </c>
      <c r="R6">
        <f t="shared" si="1"/>
        <v>26</v>
      </c>
      <c r="S6">
        <f t="shared" si="2"/>
        <v>28</v>
      </c>
      <c r="T6">
        <f t="shared" si="3"/>
        <v>23.833333333333332</v>
      </c>
      <c r="AC6">
        <f t="shared" si="4"/>
        <v>17.5</v>
      </c>
      <c r="AD6">
        <f t="shared" si="5"/>
        <v>6.3333333333333321</v>
      </c>
    </row>
    <row r="7" spans="1:32" x14ac:dyDescent="0.3">
      <c r="B7">
        <v>90</v>
      </c>
      <c r="C7">
        <v>10</v>
      </c>
      <c r="D7">
        <v>12</v>
      </c>
      <c r="E7">
        <v>88</v>
      </c>
      <c r="G7">
        <v>67</v>
      </c>
      <c r="H7">
        <v>33</v>
      </c>
      <c r="I7">
        <v>8</v>
      </c>
      <c r="J7">
        <v>92</v>
      </c>
      <c r="L7">
        <v>58</v>
      </c>
      <c r="M7">
        <v>42</v>
      </c>
      <c r="N7">
        <v>23</v>
      </c>
      <c r="O7">
        <v>77</v>
      </c>
      <c r="Q7">
        <f t="shared" si="0"/>
        <v>11</v>
      </c>
      <c r="R7">
        <f t="shared" si="1"/>
        <v>20.5</v>
      </c>
      <c r="S7">
        <f t="shared" si="2"/>
        <v>32.5</v>
      </c>
      <c r="T7">
        <f t="shared" si="3"/>
        <v>21.333333333333332</v>
      </c>
      <c r="AC7">
        <f t="shared" si="4"/>
        <v>11</v>
      </c>
      <c r="AD7">
        <f t="shared" si="5"/>
        <v>10.333333333333332</v>
      </c>
    </row>
    <row r="8" spans="1:32" x14ac:dyDescent="0.3">
      <c r="B8">
        <v>89</v>
      </c>
      <c r="C8">
        <v>11</v>
      </c>
      <c r="D8">
        <v>19</v>
      </c>
      <c r="E8">
        <v>81</v>
      </c>
      <c r="G8">
        <v>62</v>
      </c>
      <c r="H8">
        <v>38</v>
      </c>
      <c r="I8">
        <v>9</v>
      </c>
      <c r="J8">
        <v>91</v>
      </c>
      <c r="L8">
        <v>52</v>
      </c>
      <c r="M8">
        <v>48</v>
      </c>
      <c r="N8">
        <v>34</v>
      </c>
      <c r="O8">
        <v>66</v>
      </c>
      <c r="Q8">
        <f t="shared" si="0"/>
        <v>15</v>
      </c>
      <c r="R8">
        <f t="shared" si="1"/>
        <v>23.5</v>
      </c>
      <c r="S8">
        <f t="shared" si="2"/>
        <v>41</v>
      </c>
      <c r="T8">
        <f t="shared" si="3"/>
        <v>26.5</v>
      </c>
      <c r="AC8">
        <f t="shared" si="4"/>
        <v>15</v>
      </c>
      <c r="AD8">
        <f t="shared" si="5"/>
        <v>11.5</v>
      </c>
    </row>
    <row r="9" spans="1:32" x14ac:dyDescent="0.3">
      <c r="B9">
        <v>88</v>
      </c>
      <c r="C9">
        <v>12</v>
      </c>
      <c r="D9">
        <v>16</v>
      </c>
      <c r="E9">
        <v>84</v>
      </c>
      <c r="G9">
        <v>65</v>
      </c>
      <c r="H9">
        <v>35</v>
      </c>
      <c r="I9">
        <v>8</v>
      </c>
      <c r="J9">
        <v>92</v>
      </c>
      <c r="L9">
        <v>65</v>
      </c>
      <c r="M9">
        <v>35</v>
      </c>
      <c r="N9">
        <v>24</v>
      </c>
      <c r="O9">
        <v>76</v>
      </c>
      <c r="Q9">
        <f t="shared" si="0"/>
        <v>14</v>
      </c>
      <c r="R9">
        <f t="shared" si="1"/>
        <v>21.5</v>
      </c>
      <c r="S9">
        <f t="shared" si="2"/>
        <v>29.5</v>
      </c>
      <c r="T9">
        <f t="shared" si="3"/>
        <v>21.666666666666668</v>
      </c>
      <c r="AC9">
        <f t="shared" si="4"/>
        <v>14</v>
      </c>
      <c r="AD9">
        <f t="shared" si="5"/>
        <v>7.6666666666666679</v>
      </c>
    </row>
    <row r="10" spans="1:32" x14ac:dyDescent="0.3">
      <c r="B10">
        <v>83</v>
      </c>
      <c r="C10">
        <v>17</v>
      </c>
      <c r="D10">
        <v>14</v>
      </c>
      <c r="E10">
        <v>86</v>
      </c>
      <c r="G10">
        <v>64</v>
      </c>
      <c r="H10">
        <v>36</v>
      </c>
      <c r="I10">
        <v>4</v>
      </c>
      <c r="J10">
        <v>96</v>
      </c>
      <c r="L10">
        <v>64</v>
      </c>
      <c r="M10">
        <v>36</v>
      </c>
      <c r="N10">
        <v>27</v>
      </c>
      <c r="O10">
        <v>73</v>
      </c>
      <c r="Q10">
        <f t="shared" si="0"/>
        <v>15.5</v>
      </c>
      <c r="R10">
        <f t="shared" si="1"/>
        <v>20</v>
      </c>
      <c r="S10">
        <f t="shared" si="2"/>
        <v>31.5</v>
      </c>
      <c r="T10">
        <f t="shared" si="3"/>
        <v>22.333333333333332</v>
      </c>
      <c r="AC10">
        <f t="shared" si="4"/>
        <v>15.5</v>
      </c>
      <c r="AD10">
        <f t="shared" si="5"/>
        <v>6.8333333333333321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59</v>
      </c>
      <c r="V2" t="s">
        <v>51</v>
      </c>
      <c r="W2" t="s">
        <v>60</v>
      </c>
      <c r="X2" t="s">
        <v>52</v>
      </c>
      <c r="Y2" t="s">
        <v>61</v>
      </c>
      <c r="Z2" t="s">
        <v>53</v>
      </c>
      <c r="AA2" t="s">
        <v>1</v>
      </c>
      <c r="AB2" t="s">
        <v>16</v>
      </c>
      <c r="AC2" t="s">
        <v>17</v>
      </c>
      <c r="AD2" t="s">
        <v>14</v>
      </c>
      <c r="AE2" t="s">
        <v>18</v>
      </c>
      <c r="AF2" t="s">
        <v>19</v>
      </c>
    </row>
    <row r="3" spans="1:32" x14ac:dyDescent="0.3">
      <c r="A3" t="s">
        <v>22</v>
      </c>
      <c r="F3" t="s">
        <v>70</v>
      </c>
      <c r="K3" t="s">
        <v>24</v>
      </c>
    </row>
    <row r="4" spans="1:32" x14ac:dyDescent="0.3">
      <c r="B4">
        <v>85</v>
      </c>
      <c r="C4">
        <v>15</v>
      </c>
      <c r="D4">
        <v>20</v>
      </c>
      <c r="E4">
        <v>80</v>
      </c>
      <c r="G4">
        <v>74</v>
      </c>
      <c r="H4">
        <v>26</v>
      </c>
      <c r="I4">
        <v>5</v>
      </c>
      <c r="J4">
        <v>95</v>
      </c>
      <c r="L4">
        <v>68</v>
      </c>
      <c r="M4">
        <v>32</v>
      </c>
      <c r="N4">
        <v>24</v>
      </c>
      <c r="O4">
        <v>76</v>
      </c>
      <c r="Q4">
        <f>AVERAGE(C4,D4)</f>
        <v>17.5</v>
      </c>
      <c r="R4">
        <f>AVERAGE(H4,I4)</f>
        <v>15.5</v>
      </c>
      <c r="S4">
        <f>AVERAGE(M4,N4)</f>
        <v>28</v>
      </c>
      <c r="T4">
        <f>AVERAGE(Q4:S4)</f>
        <v>20.333333333333332</v>
      </c>
      <c r="U4">
        <f>AVERAGE(Q4:Q9)</f>
        <v>16.416666666666668</v>
      </c>
      <c r="V4">
        <f>_xlfn.STDEV.S(Q4:Q9)</f>
        <v>2.8881943609574914</v>
      </c>
      <c r="W4">
        <f>AVERAGE(R4:R9)</f>
        <v>15.416666666666666</v>
      </c>
      <c r="X4">
        <f>_xlfn.STDEV.S(R4:R9)</f>
        <v>1.2812754062521714</v>
      </c>
      <c r="Y4">
        <f>AVERAGE(S4:S9)</f>
        <v>29.916666666666668</v>
      </c>
      <c r="Z4">
        <f>_xlfn.STDEV.S(S4:S9)</f>
        <v>2.437553418218084</v>
      </c>
      <c r="AA4">
        <f>AVERAGE(T4:T9)</f>
        <v>20.583333333333332</v>
      </c>
      <c r="AB4">
        <f>_xlfn.STDEV.S(T4:T9)</f>
        <v>1.3570801990548194</v>
      </c>
      <c r="AC4">
        <f>MIN(Q4:S4)</f>
        <v>15.5</v>
      </c>
      <c r="AD4">
        <f>T4-AC4</f>
        <v>4.8333333333333321</v>
      </c>
      <c r="AE4">
        <f>AVERAGE(AD4:AD9)</f>
        <v>5.916666666666667</v>
      </c>
      <c r="AF4">
        <f>_xlfn.STDEV.S(AD4:AD9)</f>
        <v>1.0527741131569135</v>
      </c>
    </row>
    <row r="5" spans="1:32" x14ac:dyDescent="0.3">
      <c r="B5">
        <v>79</v>
      </c>
      <c r="C5">
        <v>21</v>
      </c>
      <c r="D5">
        <v>16</v>
      </c>
      <c r="E5">
        <v>84</v>
      </c>
      <c r="G5">
        <v>71</v>
      </c>
      <c r="H5">
        <v>29</v>
      </c>
      <c r="I5">
        <v>2</v>
      </c>
      <c r="J5">
        <v>98</v>
      </c>
      <c r="L5">
        <v>64</v>
      </c>
      <c r="M5">
        <v>36</v>
      </c>
      <c r="N5">
        <v>28</v>
      </c>
      <c r="O5">
        <v>72</v>
      </c>
      <c r="Q5">
        <f t="shared" ref="Q5:Q9" si="0">AVERAGE(C5,D5)</f>
        <v>18.5</v>
      </c>
      <c r="R5">
        <f t="shared" ref="R5:R9" si="1">AVERAGE(H5,I5)</f>
        <v>15.5</v>
      </c>
      <c r="S5">
        <f t="shared" ref="S5:S9" si="2">AVERAGE(M5,N5)</f>
        <v>32</v>
      </c>
      <c r="T5">
        <f t="shared" ref="T5:T9" si="3">AVERAGE(Q5:S5)</f>
        <v>22</v>
      </c>
      <c r="AC5">
        <f t="shared" ref="AC5:AC9" si="4">MIN(Q5:S5)</f>
        <v>15.5</v>
      </c>
      <c r="AD5">
        <f t="shared" ref="AD5:AD9" si="5">T5-AC5</f>
        <v>6.5</v>
      </c>
    </row>
    <row r="6" spans="1:32" x14ac:dyDescent="0.3">
      <c r="A6" t="s">
        <v>22</v>
      </c>
      <c r="B6">
        <v>88</v>
      </c>
      <c r="C6">
        <v>12</v>
      </c>
      <c r="D6">
        <v>18</v>
      </c>
      <c r="E6">
        <v>82</v>
      </c>
      <c r="G6">
        <v>78</v>
      </c>
      <c r="H6">
        <v>22</v>
      </c>
      <c r="I6">
        <v>5</v>
      </c>
      <c r="J6">
        <v>95</v>
      </c>
      <c r="L6">
        <v>74</v>
      </c>
      <c r="M6">
        <v>26</v>
      </c>
      <c r="N6">
        <v>27</v>
      </c>
      <c r="O6">
        <v>73</v>
      </c>
      <c r="Q6">
        <f t="shared" si="0"/>
        <v>15</v>
      </c>
      <c r="R6">
        <f t="shared" si="1"/>
        <v>13.5</v>
      </c>
      <c r="S6">
        <f t="shared" si="2"/>
        <v>26.5</v>
      </c>
      <c r="T6">
        <f t="shared" si="3"/>
        <v>18.333333333333332</v>
      </c>
      <c r="AC6">
        <f t="shared" si="4"/>
        <v>13.5</v>
      </c>
      <c r="AD6">
        <f t="shared" si="5"/>
        <v>4.8333333333333321</v>
      </c>
    </row>
    <row r="7" spans="1:32" x14ac:dyDescent="0.3">
      <c r="B7">
        <v>80</v>
      </c>
      <c r="C7">
        <v>20</v>
      </c>
      <c r="D7">
        <v>8</v>
      </c>
      <c r="E7">
        <v>92</v>
      </c>
      <c r="G7">
        <v>77</v>
      </c>
      <c r="H7">
        <v>23</v>
      </c>
      <c r="I7">
        <v>6</v>
      </c>
      <c r="J7">
        <v>94</v>
      </c>
      <c r="L7">
        <v>55</v>
      </c>
      <c r="M7">
        <v>45</v>
      </c>
      <c r="N7">
        <v>20</v>
      </c>
      <c r="O7">
        <v>80</v>
      </c>
      <c r="Q7">
        <f t="shared" si="0"/>
        <v>14</v>
      </c>
      <c r="R7">
        <f t="shared" si="1"/>
        <v>14.5</v>
      </c>
      <c r="S7">
        <f t="shared" si="2"/>
        <v>32.5</v>
      </c>
      <c r="T7">
        <f t="shared" si="3"/>
        <v>20.333333333333332</v>
      </c>
      <c r="AC7">
        <f t="shared" si="4"/>
        <v>14</v>
      </c>
      <c r="AD7">
        <f t="shared" si="5"/>
        <v>6.3333333333333321</v>
      </c>
    </row>
    <row r="8" spans="1:32" x14ac:dyDescent="0.3">
      <c r="B8">
        <v>85</v>
      </c>
      <c r="C8">
        <v>15</v>
      </c>
      <c r="D8">
        <v>11</v>
      </c>
      <c r="E8">
        <v>89</v>
      </c>
      <c r="G8">
        <v>74</v>
      </c>
      <c r="H8">
        <v>26</v>
      </c>
      <c r="I8">
        <v>8</v>
      </c>
      <c r="J8">
        <v>92</v>
      </c>
      <c r="L8">
        <v>74</v>
      </c>
      <c r="M8">
        <v>26</v>
      </c>
      <c r="N8">
        <v>37</v>
      </c>
      <c r="O8">
        <v>63</v>
      </c>
      <c r="Q8">
        <f t="shared" si="0"/>
        <v>13</v>
      </c>
      <c r="R8">
        <f t="shared" si="1"/>
        <v>17</v>
      </c>
      <c r="S8">
        <f t="shared" si="2"/>
        <v>31.5</v>
      </c>
      <c r="T8">
        <f t="shared" si="3"/>
        <v>20.5</v>
      </c>
      <c r="AC8">
        <f t="shared" si="4"/>
        <v>13</v>
      </c>
      <c r="AD8">
        <f t="shared" si="5"/>
        <v>7.5</v>
      </c>
    </row>
    <row r="9" spans="1:32" x14ac:dyDescent="0.3">
      <c r="B9">
        <v>80</v>
      </c>
      <c r="C9">
        <v>20</v>
      </c>
      <c r="D9">
        <v>21</v>
      </c>
      <c r="E9">
        <v>79</v>
      </c>
      <c r="G9">
        <v>75</v>
      </c>
      <c r="H9">
        <v>25</v>
      </c>
      <c r="I9">
        <v>8</v>
      </c>
      <c r="J9">
        <v>92</v>
      </c>
      <c r="L9">
        <v>69</v>
      </c>
      <c r="M9">
        <v>31</v>
      </c>
      <c r="N9">
        <v>27</v>
      </c>
      <c r="O9">
        <v>73</v>
      </c>
      <c r="Q9">
        <f t="shared" si="0"/>
        <v>20.5</v>
      </c>
      <c r="R9">
        <f t="shared" si="1"/>
        <v>16.5</v>
      </c>
      <c r="S9">
        <f t="shared" si="2"/>
        <v>29</v>
      </c>
      <c r="T9">
        <f t="shared" si="3"/>
        <v>22</v>
      </c>
      <c r="AC9">
        <f t="shared" si="4"/>
        <v>16.5</v>
      </c>
      <c r="AD9">
        <f t="shared" si="5"/>
        <v>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O99"/>
  <sheetViews>
    <sheetView topLeftCell="O2" workbookViewId="0">
      <selection activeCell="W15" sqref="W15:AF15"/>
    </sheetView>
  </sheetViews>
  <sheetFormatPr defaultRowHeight="14.4" x14ac:dyDescent="0.3"/>
  <cols>
    <col min="35" max="35" width="23.21875" customWidth="1"/>
    <col min="39" max="39" width="19.33203125" customWidth="1"/>
  </cols>
  <sheetData>
    <row r="1" spans="1:41" x14ac:dyDescent="0.3">
      <c r="A1" t="s">
        <v>21</v>
      </c>
    </row>
    <row r="2" spans="1:41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AD2" t="s">
        <v>1</v>
      </c>
      <c r="AE2" t="s">
        <v>16</v>
      </c>
      <c r="AF2" t="s">
        <v>18</v>
      </c>
      <c r="AG2" t="s">
        <v>19</v>
      </c>
      <c r="AI2" t="s">
        <v>37</v>
      </c>
      <c r="AJ2" t="s">
        <v>1</v>
      </c>
      <c r="AK2" t="s">
        <v>18</v>
      </c>
      <c r="AM2" t="s">
        <v>40</v>
      </c>
      <c r="AN2" t="s">
        <v>1</v>
      </c>
      <c r="AO2" t="s">
        <v>18</v>
      </c>
    </row>
    <row r="3" spans="1:41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D3" t="e">
        <f>AVERAGE(T3:T12)</f>
        <v>#DIV/0!</v>
      </c>
      <c r="AE3" t="e">
        <f>_xlfn.STDEV.S(T3:T12)</f>
        <v>#DIV/0!</v>
      </c>
      <c r="AF3" t="e">
        <f>AVERAGE(V3:V12)</f>
        <v>#DIV/0!</v>
      </c>
      <c r="AG3" t="e">
        <f>_xlfn.STDEV.S(V3:V12)</f>
        <v>#DIV/0!</v>
      </c>
      <c r="AI3" t="s">
        <v>67</v>
      </c>
      <c r="AM3" t="s">
        <v>68</v>
      </c>
    </row>
    <row r="4" spans="1:41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I4" t="s">
        <v>20</v>
      </c>
      <c r="AJ4">
        <v>18.981481481481485</v>
      </c>
      <c r="AK4">
        <v>1.6419753086419753</v>
      </c>
      <c r="AM4" t="s">
        <v>20</v>
      </c>
      <c r="AN4">
        <v>18.981481481481485</v>
      </c>
      <c r="AO4">
        <v>1.6419753086419753</v>
      </c>
    </row>
    <row r="5" spans="1:41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I5" t="s">
        <v>64</v>
      </c>
      <c r="AJ5">
        <v>19.333333333333336</v>
      </c>
      <c r="AK5">
        <v>1.7777777777777779</v>
      </c>
      <c r="AM5" t="s">
        <v>64</v>
      </c>
      <c r="AN5">
        <v>19.333333333333336</v>
      </c>
      <c r="AO5">
        <v>1.7777777777777779</v>
      </c>
    </row>
    <row r="6" spans="1:41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M6" t="s">
        <v>66</v>
      </c>
      <c r="AN6">
        <v>19.740740740740744</v>
      </c>
      <c r="AO6">
        <v>1.8024691358024691</v>
      </c>
    </row>
    <row r="7" spans="1:41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41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41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1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1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41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41" x14ac:dyDescent="0.3">
      <c r="A14" t="s">
        <v>20</v>
      </c>
      <c r="W14" t="s">
        <v>5</v>
      </c>
      <c r="X14" t="s">
        <v>51</v>
      </c>
      <c r="Y14" t="s">
        <v>7</v>
      </c>
      <c r="Z14" t="s">
        <v>52</v>
      </c>
      <c r="AA14" t="s">
        <v>9</v>
      </c>
      <c r="AB14" t="s">
        <v>53</v>
      </c>
      <c r="AC14" t="s">
        <v>1</v>
      </c>
      <c r="AD14" t="s">
        <v>16</v>
      </c>
      <c r="AE14" t="s">
        <v>18</v>
      </c>
      <c r="AF14" t="s">
        <v>19</v>
      </c>
      <c r="AI14" t="s">
        <v>5</v>
      </c>
      <c r="AJ14" t="s">
        <v>6</v>
      </c>
      <c r="AK14" t="s">
        <v>7</v>
      </c>
      <c r="AL14" t="s">
        <v>8</v>
      </c>
      <c r="AM14" t="s">
        <v>9</v>
      </c>
      <c r="AN14" t="s">
        <v>10</v>
      </c>
    </row>
    <row r="15" spans="1:41" x14ac:dyDescent="0.3">
      <c r="B15">
        <v>81</v>
      </c>
      <c r="C15">
        <v>19</v>
      </c>
      <c r="D15">
        <v>20</v>
      </c>
      <c r="E15">
        <v>80</v>
      </c>
      <c r="G15">
        <v>66</v>
      </c>
      <c r="H15">
        <v>34</v>
      </c>
      <c r="I15">
        <v>10</v>
      </c>
      <c r="J15">
        <v>90</v>
      </c>
      <c r="L15">
        <v>72</v>
      </c>
      <c r="M15">
        <v>28</v>
      </c>
      <c r="N15">
        <v>26</v>
      </c>
      <c r="O15">
        <v>74</v>
      </c>
      <c r="Q15">
        <f t="shared" si="0"/>
        <v>19.5</v>
      </c>
      <c r="R15">
        <f t="shared" si="1"/>
        <v>22</v>
      </c>
      <c r="S15">
        <f t="shared" si="2"/>
        <v>27</v>
      </c>
      <c r="T15">
        <f t="shared" si="3"/>
        <v>22.833333333333332</v>
      </c>
      <c r="U15">
        <f t="shared" si="4"/>
        <v>19.5</v>
      </c>
      <c r="V15">
        <f>(T15-U15)</f>
        <v>3.3333333333333321</v>
      </c>
      <c r="W15">
        <f>AVERAGE(Q15:Q24)</f>
        <v>17</v>
      </c>
      <c r="X15">
        <f>_xlfn.STDEV.S(Q15:Q24)</f>
        <v>2.8771127502720115</v>
      </c>
      <c r="Y15">
        <f>AVERAGE(R15:R24)</f>
        <v>19.95</v>
      </c>
      <c r="Z15">
        <f>_xlfn.STDEV.S(R15:R24)</f>
        <v>1.6741498671796915</v>
      </c>
      <c r="AA15">
        <f>AVERAGE(S15:S24)</f>
        <v>29.75</v>
      </c>
      <c r="AB15">
        <f>_xlfn.STDEV.S(S15:S24)</f>
        <v>2.226731535981231</v>
      </c>
      <c r="AC15">
        <f>AVERAGE(T15:T24)</f>
        <v>22.233333333333327</v>
      </c>
      <c r="AD15">
        <f>_xlfn.STDEV.S(T15:T24)</f>
        <v>1.3314801936840213</v>
      </c>
      <c r="AE15">
        <f>AVERAGE(V15:V24)</f>
        <v>5.2833333333333341</v>
      </c>
      <c r="AF15">
        <f>_xlfn.STDEV.S(V15:V24)</f>
        <v>1.777864581214158</v>
      </c>
      <c r="AI15">
        <f>AVERAGE(Q15:Q23)</f>
        <v>16.777777777777779</v>
      </c>
      <c r="AJ15">
        <f>_xlfn.STDEV.S(Q15:Q23)</f>
        <v>2.9592134840941196</v>
      </c>
      <c r="AK15">
        <f>AVERAGE(R15:R23)</f>
        <v>19.944444444444443</v>
      </c>
      <c r="AL15">
        <f>_xlfn.STDEV.S(R15:R23)</f>
        <v>1.7756063127218762</v>
      </c>
      <c r="AM15">
        <f>AVERAGE(S15:S23)</f>
        <v>29.666666666666668</v>
      </c>
      <c r="AN15">
        <f>_xlfn.STDEV.S(S15:S23)</f>
        <v>2.3452078799117149</v>
      </c>
    </row>
    <row r="16" spans="1:41" x14ac:dyDescent="0.3">
      <c r="B16">
        <v>76</v>
      </c>
      <c r="C16">
        <v>24</v>
      </c>
      <c r="D16">
        <v>20</v>
      </c>
      <c r="E16">
        <v>80</v>
      </c>
      <c r="G16">
        <v>66</v>
      </c>
      <c r="H16">
        <v>34</v>
      </c>
      <c r="I16">
        <v>9</v>
      </c>
      <c r="J16">
        <v>91</v>
      </c>
      <c r="L16">
        <v>63</v>
      </c>
      <c r="M16">
        <v>37</v>
      </c>
      <c r="N16">
        <v>19</v>
      </c>
      <c r="O16">
        <v>81</v>
      </c>
      <c r="Q16">
        <f t="shared" si="0"/>
        <v>22</v>
      </c>
      <c r="R16">
        <f t="shared" si="1"/>
        <v>21.5</v>
      </c>
      <c r="S16">
        <f t="shared" si="2"/>
        <v>28</v>
      </c>
      <c r="T16">
        <f t="shared" si="3"/>
        <v>23.833333333333332</v>
      </c>
      <c r="U16">
        <f t="shared" si="4"/>
        <v>21.5</v>
      </c>
      <c r="V16">
        <f t="shared" ref="V16:V23" si="6">(T16-U16)</f>
        <v>2.3333333333333321</v>
      </c>
    </row>
    <row r="17" spans="1:33" x14ac:dyDescent="0.3">
      <c r="B17">
        <v>84</v>
      </c>
      <c r="C17">
        <v>16</v>
      </c>
      <c r="D17">
        <v>16</v>
      </c>
      <c r="E17">
        <v>84</v>
      </c>
      <c r="G17">
        <v>69</v>
      </c>
      <c r="H17">
        <v>31</v>
      </c>
      <c r="I17">
        <v>10</v>
      </c>
      <c r="J17">
        <v>90</v>
      </c>
      <c r="L17">
        <v>70</v>
      </c>
      <c r="M17">
        <v>30</v>
      </c>
      <c r="N17">
        <v>26</v>
      </c>
      <c r="O17">
        <v>74</v>
      </c>
      <c r="Q17">
        <f t="shared" si="0"/>
        <v>16</v>
      </c>
      <c r="R17">
        <f t="shared" si="1"/>
        <v>20.5</v>
      </c>
      <c r="S17">
        <f t="shared" si="2"/>
        <v>28</v>
      </c>
      <c r="T17">
        <f t="shared" si="3"/>
        <v>21.5</v>
      </c>
      <c r="U17">
        <f t="shared" si="4"/>
        <v>16</v>
      </c>
      <c r="V17">
        <f t="shared" si="6"/>
        <v>5.5</v>
      </c>
    </row>
    <row r="18" spans="1:33" x14ac:dyDescent="0.3">
      <c r="B18">
        <v>84</v>
      </c>
      <c r="C18">
        <v>16</v>
      </c>
      <c r="D18">
        <v>20</v>
      </c>
      <c r="E18">
        <v>80</v>
      </c>
      <c r="G18">
        <v>74</v>
      </c>
      <c r="H18">
        <v>26</v>
      </c>
      <c r="I18">
        <v>10</v>
      </c>
      <c r="J18">
        <v>90</v>
      </c>
      <c r="L18">
        <v>53</v>
      </c>
      <c r="M18">
        <v>47</v>
      </c>
      <c r="N18">
        <v>14</v>
      </c>
      <c r="O18">
        <v>86</v>
      </c>
      <c r="Q18">
        <f t="shared" si="0"/>
        <v>18</v>
      </c>
      <c r="R18">
        <f t="shared" si="1"/>
        <v>18</v>
      </c>
      <c r="S18">
        <f t="shared" si="2"/>
        <v>30.5</v>
      </c>
      <c r="T18">
        <f t="shared" si="3"/>
        <v>22.166666666666668</v>
      </c>
      <c r="U18">
        <f t="shared" si="4"/>
        <v>18</v>
      </c>
      <c r="V18">
        <f t="shared" si="6"/>
        <v>4.1666666666666679</v>
      </c>
    </row>
    <row r="19" spans="1:33" x14ac:dyDescent="0.3">
      <c r="B19">
        <v>89</v>
      </c>
      <c r="C19">
        <v>11</v>
      </c>
      <c r="D19">
        <v>19</v>
      </c>
      <c r="E19">
        <v>81</v>
      </c>
      <c r="G19">
        <v>74</v>
      </c>
      <c r="H19">
        <v>26</v>
      </c>
      <c r="I19">
        <v>13</v>
      </c>
      <c r="J19">
        <v>87</v>
      </c>
      <c r="L19">
        <v>62</v>
      </c>
      <c r="M19">
        <v>38</v>
      </c>
      <c r="N19">
        <v>16</v>
      </c>
      <c r="O19">
        <v>84</v>
      </c>
      <c r="Q19">
        <f t="shared" si="0"/>
        <v>15</v>
      </c>
      <c r="R19">
        <f t="shared" si="1"/>
        <v>19.5</v>
      </c>
      <c r="S19">
        <f t="shared" si="2"/>
        <v>27</v>
      </c>
      <c r="T19">
        <f t="shared" si="3"/>
        <v>20.5</v>
      </c>
      <c r="U19">
        <f t="shared" si="4"/>
        <v>15</v>
      </c>
      <c r="V19">
        <f t="shared" si="6"/>
        <v>5.5</v>
      </c>
    </row>
    <row r="20" spans="1:33" x14ac:dyDescent="0.3">
      <c r="B20">
        <v>86</v>
      </c>
      <c r="C20">
        <v>14</v>
      </c>
      <c r="D20">
        <v>10</v>
      </c>
      <c r="E20">
        <v>90</v>
      </c>
      <c r="G20">
        <v>71</v>
      </c>
      <c r="H20">
        <v>29</v>
      </c>
      <c r="I20">
        <v>4</v>
      </c>
      <c r="J20">
        <v>96</v>
      </c>
      <c r="L20">
        <v>60</v>
      </c>
      <c r="M20">
        <v>40</v>
      </c>
      <c r="N20">
        <v>23</v>
      </c>
      <c r="O20">
        <v>77</v>
      </c>
      <c r="Q20">
        <f t="shared" si="0"/>
        <v>12</v>
      </c>
      <c r="R20">
        <f t="shared" si="1"/>
        <v>16.5</v>
      </c>
      <c r="S20">
        <f t="shared" si="2"/>
        <v>31.5</v>
      </c>
      <c r="T20">
        <f t="shared" si="3"/>
        <v>20</v>
      </c>
      <c r="U20">
        <f t="shared" si="4"/>
        <v>12</v>
      </c>
      <c r="V20">
        <f t="shared" si="6"/>
        <v>8</v>
      </c>
    </row>
    <row r="21" spans="1:33" x14ac:dyDescent="0.3">
      <c r="B21">
        <v>84</v>
      </c>
      <c r="C21">
        <v>16</v>
      </c>
      <c r="D21">
        <v>20</v>
      </c>
      <c r="E21">
        <v>80</v>
      </c>
      <c r="G21">
        <v>71</v>
      </c>
      <c r="H21">
        <v>29</v>
      </c>
      <c r="I21">
        <v>11</v>
      </c>
      <c r="J21">
        <v>89</v>
      </c>
      <c r="L21">
        <v>69</v>
      </c>
      <c r="M21">
        <v>31</v>
      </c>
      <c r="N21">
        <v>37</v>
      </c>
      <c r="O21">
        <v>63</v>
      </c>
      <c r="Q21">
        <f t="shared" si="0"/>
        <v>18</v>
      </c>
      <c r="R21">
        <f t="shared" si="1"/>
        <v>20</v>
      </c>
      <c r="S21">
        <f t="shared" si="2"/>
        <v>34</v>
      </c>
      <c r="T21">
        <f t="shared" si="3"/>
        <v>24</v>
      </c>
      <c r="U21">
        <f t="shared" si="4"/>
        <v>18</v>
      </c>
      <c r="V21">
        <f t="shared" si="6"/>
        <v>6</v>
      </c>
    </row>
    <row r="22" spans="1:33" x14ac:dyDescent="0.3">
      <c r="B22">
        <v>88</v>
      </c>
      <c r="C22">
        <v>12</v>
      </c>
      <c r="D22">
        <v>20</v>
      </c>
      <c r="E22">
        <v>80</v>
      </c>
      <c r="G22">
        <v>72</v>
      </c>
      <c r="H22">
        <v>28</v>
      </c>
      <c r="I22">
        <v>15</v>
      </c>
      <c r="J22">
        <v>85</v>
      </c>
      <c r="L22">
        <v>62</v>
      </c>
      <c r="M22">
        <v>38</v>
      </c>
      <c r="N22">
        <v>23</v>
      </c>
      <c r="O22">
        <v>77</v>
      </c>
      <c r="Q22">
        <f t="shared" si="0"/>
        <v>16</v>
      </c>
      <c r="R22">
        <f t="shared" si="1"/>
        <v>21.5</v>
      </c>
      <c r="S22">
        <f t="shared" si="2"/>
        <v>30.5</v>
      </c>
      <c r="T22">
        <f t="shared" si="3"/>
        <v>22.666666666666668</v>
      </c>
      <c r="U22">
        <f t="shared" si="4"/>
        <v>16</v>
      </c>
      <c r="V22">
        <f t="shared" si="6"/>
        <v>6.6666666666666679</v>
      </c>
    </row>
    <row r="23" spans="1:33" x14ac:dyDescent="0.3">
      <c r="B23">
        <v>82</v>
      </c>
      <c r="C23">
        <v>18</v>
      </c>
      <c r="D23">
        <v>11</v>
      </c>
      <c r="E23">
        <v>89</v>
      </c>
      <c r="G23">
        <v>70</v>
      </c>
      <c r="H23">
        <v>30</v>
      </c>
      <c r="I23">
        <v>10</v>
      </c>
      <c r="J23">
        <v>90</v>
      </c>
      <c r="L23">
        <v>62</v>
      </c>
      <c r="M23">
        <v>38</v>
      </c>
      <c r="N23">
        <v>23</v>
      </c>
      <c r="O23">
        <v>77</v>
      </c>
      <c r="Q23">
        <f t="shared" si="0"/>
        <v>14.5</v>
      </c>
      <c r="R23">
        <f t="shared" si="1"/>
        <v>20</v>
      </c>
      <c r="S23">
        <f t="shared" si="2"/>
        <v>30.5</v>
      </c>
      <c r="T23">
        <f t="shared" si="3"/>
        <v>21.666666666666668</v>
      </c>
      <c r="U23">
        <f t="shared" si="4"/>
        <v>14.5</v>
      </c>
      <c r="V23">
        <f t="shared" si="6"/>
        <v>7.1666666666666679</v>
      </c>
    </row>
    <row r="24" spans="1:33" x14ac:dyDescent="0.3">
      <c r="B24">
        <v>79</v>
      </c>
      <c r="C24">
        <v>21</v>
      </c>
      <c r="D24">
        <v>17</v>
      </c>
      <c r="E24">
        <v>83</v>
      </c>
      <c r="G24">
        <v>64</v>
      </c>
      <c r="H24">
        <v>36</v>
      </c>
      <c r="I24">
        <v>4</v>
      </c>
      <c r="J24">
        <v>96</v>
      </c>
      <c r="L24">
        <v>64</v>
      </c>
      <c r="M24">
        <v>36</v>
      </c>
      <c r="N24">
        <v>25</v>
      </c>
      <c r="O24">
        <v>75</v>
      </c>
      <c r="Q24">
        <f t="shared" ref="Q24" si="7">AVERAGE(C24,D24)</f>
        <v>19</v>
      </c>
      <c r="R24">
        <f t="shared" ref="R24" si="8">AVERAGE(H24,I24)</f>
        <v>20</v>
      </c>
      <c r="S24">
        <f t="shared" ref="S24" si="9">AVERAGE(M24,N24)</f>
        <v>30.5</v>
      </c>
      <c r="T24">
        <f t="shared" ref="T24" si="10">AVERAGE(Q24:S24)</f>
        <v>23.166666666666668</v>
      </c>
      <c r="U24">
        <f t="shared" ref="U24" si="11">MIN(Q24:S24)</f>
        <v>19</v>
      </c>
      <c r="V24">
        <f t="shared" ref="V24" si="12">(T24-U24)</f>
        <v>4.1666666666666679</v>
      </c>
    </row>
    <row r="25" spans="1:33" x14ac:dyDescent="0.3">
      <c r="A25" t="s">
        <v>25</v>
      </c>
    </row>
    <row r="26" spans="1:33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AD26" t="e">
        <f>AVERAGE(T26:T28)</f>
        <v>#DIV/0!</v>
      </c>
      <c r="AE26" t="e">
        <f>_xlfn.STDEV.S(T26:T28)</f>
        <v>#DIV/0!</v>
      </c>
      <c r="AF26" t="e">
        <f>AVERAGE(V26:V28)</f>
        <v>#DIV/0!</v>
      </c>
      <c r="AG26" t="e">
        <f>_xlfn.STDEV.S(V26:V28)</f>
        <v>#DIV/0!</v>
      </c>
    </row>
    <row r="27" spans="1:33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33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33" x14ac:dyDescent="0.3">
      <c r="A30" t="s">
        <v>63</v>
      </c>
    </row>
    <row r="31" spans="1:33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AD31" t="e">
        <f>AVERAGE(T31:T39)</f>
        <v>#DIV/0!</v>
      </c>
      <c r="AE31" t="e">
        <f>_xlfn.STDEV.S(T31:T39)</f>
        <v>#DIV/0!</v>
      </c>
      <c r="AF31" t="e">
        <f>AVERAGE(V31:V39)</f>
        <v>#DIV/0!</v>
      </c>
      <c r="AG31" t="e">
        <f>_xlfn.STDEV.S(V31:V39)</f>
        <v>#DIV/0!</v>
      </c>
    </row>
    <row r="32" spans="1:33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33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3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3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3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3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3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3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33" x14ac:dyDescent="0.3">
      <c r="A41" t="s">
        <v>27</v>
      </c>
    </row>
    <row r="42" spans="1:33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AD42" t="e">
        <f>AVERAGE(T42:T50)</f>
        <v>#DIV/0!</v>
      </c>
      <c r="AE42" t="e">
        <f>_xlfn.STDEV.S(T42:T50)</f>
        <v>#DIV/0!</v>
      </c>
      <c r="AF42" t="e">
        <f>AVERAGE(V42:V50)</f>
        <v>#DIV/0!</v>
      </c>
      <c r="AG42" t="e">
        <f>_xlfn.STDEV.S(V42:V50)</f>
        <v>#DIV/0!</v>
      </c>
    </row>
    <row r="43" spans="1:33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33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33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33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33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3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3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3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33" x14ac:dyDescent="0.3">
      <c r="A52" t="s">
        <v>64</v>
      </c>
    </row>
    <row r="53" spans="1:33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AD53" t="e">
        <f>AVERAGE(T53:T54)</f>
        <v>#DIV/0!</v>
      </c>
      <c r="AE53" t="e">
        <f>_xlfn.STDEV.S(T53,T54)</f>
        <v>#DIV/0!</v>
      </c>
      <c r="AF53" t="e">
        <f>AVERAGE(V53:V54)</f>
        <v>#DIV/0!</v>
      </c>
      <c r="AG53" t="e">
        <f>_xlfn.STDEV.S(V53,V54)</f>
        <v>#DIV/0!</v>
      </c>
    </row>
    <row r="54" spans="1:33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3" x14ac:dyDescent="0.3">
      <c r="A56" t="s">
        <v>65</v>
      </c>
    </row>
    <row r="57" spans="1:33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AD57" t="e">
        <f>AVERAGE(T57:T63)</f>
        <v>#DIV/0!</v>
      </c>
      <c r="AE57" t="e">
        <f>_xlfn.STDEV.S(T57:T63)</f>
        <v>#DIV/0!</v>
      </c>
      <c r="AF57" t="e">
        <f>AVERAGE(V57:V63)</f>
        <v>#DIV/0!</v>
      </c>
      <c r="AG57" t="e">
        <f>_xlfn.STDEV.S(V57:V63)</f>
        <v>#DIV/0!</v>
      </c>
    </row>
    <row r="58" spans="1:33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33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33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33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33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33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33" x14ac:dyDescent="0.3">
      <c r="A65" t="s">
        <v>30</v>
      </c>
    </row>
    <row r="66" spans="1:33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AD66" t="e">
        <f>AVERAGE(T66:T68)</f>
        <v>#DIV/0!</v>
      </c>
      <c r="AE66" t="e">
        <f>_xlfn.STDEV.S(T66:T68)</f>
        <v>#DIV/0!</v>
      </c>
      <c r="AF66" t="e">
        <f>AVERAGE(V66:V68)</f>
        <v>#DIV/0!</v>
      </c>
      <c r="AG66" t="e">
        <f>_xlfn.STDEV.S(V66:V68)</f>
        <v>#DIV/0!</v>
      </c>
    </row>
    <row r="67" spans="1:33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3" x14ac:dyDescent="0.3">
      <c r="Q68" t="e">
        <f t="shared" ref="Q68:Q99" si="13">AVERAGE(C68,D68)</f>
        <v>#DIV/0!</v>
      </c>
      <c r="R68" t="e">
        <f t="shared" ref="R68:R99" si="14">AVERAGE(H68,I68)</f>
        <v>#DIV/0!</v>
      </c>
      <c r="S68" t="e">
        <f t="shared" ref="S68:S99" si="15">AVERAGE(M68,N68)</f>
        <v>#DIV/0!</v>
      </c>
      <c r="T68" t="e">
        <f t="shared" ref="T68:T99" si="16">AVERAGE(Q68:S68)</f>
        <v>#DIV/0!</v>
      </c>
      <c r="U68" t="e">
        <f t="shared" ref="U68:U99" si="17">MIN(Q68:S68)</f>
        <v>#DIV/0!</v>
      </c>
      <c r="V68" t="e">
        <f t="shared" ref="V68:V99" si="18">(1/3)*(T68-U68)</f>
        <v>#DIV/0!</v>
      </c>
    </row>
    <row r="70" spans="1:33" x14ac:dyDescent="0.3">
      <c r="A70" t="s">
        <v>31</v>
      </c>
    </row>
    <row r="71" spans="1:33" x14ac:dyDescent="0.3">
      <c r="Q71" t="e">
        <f t="shared" si="13"/>
        <v>#DIV/0!</v>
      </c>
      <c r="R71" t="e">
        <f t="shared" si="14"/>
        <v>#DIV/0!</v>
      </c>
      <c r="S71" t="e">
        <f t="shared" si="15"/>
        <v>#DIV/0!</v>
      </c>
      <c r="T71" t="e">
        <f t="shared" si="16"/>
        <v>#DIV/0!</v>
      </c>
      <c r="U71" t="e">
        <f t="shared" si="17"/>
        <v>#DIV/0!</v>
      </c>
      <c r="V71" t="e">
        <f t="shared" si="18"/>
        <v>#DIV/0!</v>
      </c>
      <c r="AD71" t="e">
        <f>AVERAGE(T71:T80)</f>
        <v>#DIV/0!</v>
      </c>
      <c r="AE71" t="e">
        <f>_xlfn.STDEV.S(T71:T80)</f>
        <v>#DIV/0!</v>
      </c>
      <c r="AF71" t="e">
        <f>AVERAGE(V71:V80)</f>
        <v>#DIV/0!</v>
      </c>
      <c r="AG71" t="e">
        <f>_xlfn.STDEV.S(V71:V80)</f>
        <v>#DIV/0!</v>
      </c>
    </row>
    <row r="72" spans="1:33" x14ac:dyDescent="0.3">
      <c r="Q72" t="e">
        <f t="shared" si="13"/>
        <v>#DIV/0!</v>
      </c>
      <c r="R72" t="e">
        <f t="shared" si="14"/>
        <v>#DIV/0!</v>
      </c>
      <c r="S72" t="e">
        <f t="shared" si="15"/>
        <v>#DIV/0!</v>
      </c>
      <c r="T72" t="e">
        <f t="shared" si="16"/>
        <v>#DIV/0!</v>
      </c>
      <c r="U72" t="e">
        <f t="shared" si="17"/>
        <v>#DIV/0!</v>
      </c>
      <c r="V72" t="e">
        <f t="shared" si="18"/>
        <v>#DIV/0!</v>
      </c>
    </row>
    <row r="73" spans="1:33" x14ac:dyDescent="0.3">
      <c r="Q73" t="e">
        <f t="shared" si="13"/>
        <v>#DIV/0!</v>
      </c>
      <c r="R73" t="e">
        <f t="shared" si="14"/>
        <v>#DIV/0!</v>
      </c>
      <c r="S73" t="e">
        <f t="shared" si="15"/>
        <v>#DIV/0!</v>
      </c>
      <c r="T73" t="e">
        <f t="shared" si="16"/>
        <v>#DIV/0!</v>
      </c>
      <c r="U73" t="e">
        <f t="shared" si="17"/>
        <v>#DIV/0!</v>
      </c>
      <c r="V73" t="e">
        <f t="shared" si="18"/>
        <v>#DIV/0!</v>
      </c>
    </row>
    <row r="74" spans="1:33" x14ac:dyDescent="0.3">
      <c r="Q74" t="e">
        <f t="shared" si="13"/>
        <v>#DIV/0!</v>
      </c>
      <c r="R74" t="e">
        <f t="shared" si="14"/>
        <v>#DIV/0!</v>
      </c>
      <c r="S74" t="e">
        <f t="shared" si="15"/>
        <v>#DIV/0!</v>
      </c>
      <c r="T74" t="e">
        <f t="shared" si="16"/>
        <v>#DIV/0!</v>
      </c>
      <c r="U74" t="e">
        <f t="shared" si="17"/>
        <v>#DIV/0!</v>
      </c>
      <c r="V74" t="e">
        <f t="shared" si="18"/>
        <v>#DIV/0!</v>
      </c>
    </row>
    <row r="75" spans="1:33" x14ac:dyDescent="0.3">
      <c r="Q75" t="e">
        <f t="shared" si="13"/>
        <v>#DIV/0!</v>
      </c>
      <c r="R75" t="e">
        <f t="shared" si="14"/>
        <v>#DIV/0!</v>
      </c>
      <c r="S75" t="e">
        <f t="shared" si="15"/>
        <v>#DIV/0!</v>
      </c>
      <c r="T75" t="e">
        <f t="shared" si="16"/>
        <v>#DIV/0!</v>
      </c>
      <c r="U75" t="e">
        <f t="shared" si="17"/>
        <v>#DIV/0!</v>
      </c>
      <c r="V75" t="e">
        <f t="shared" si="18"/>
        <v>#DIV/0!</v>
      </c>
    </row>
    <row r="76" spans="1:33" x14ac:dyDescent="0.3">
      <c r="Q76" t="e">
        <f t="shared" si="13"/>
        <v>#DIV/0!</v>
      </c>
      <c r="R76" t="e">
        <f t="shared" si="14"/>
        <v>#DIV/0!</v>
      </c>
      <c r="S76" t="e">
        <f t="shared" si="15"/>
        <v>#DIV/0!</v>
      </c>
      <c r="T76" t="e">
        <f t="shared" si="16"/>
        <v>#DIV/0!</v>
      </c>
      <c r="U76" t="e">
        <f t="shared" si="17"/>
        <v>#DIV/0!</v>
      </c>
      <c r="V76" t="e">
        <f t="shared" si="18"/>
        <v>#DIV/0!</v>
      </c>
    </row>
    <row r="77" spans="1:33" x14ac:dyDescent="0.3">
      <c r="Q77" t="e">
        <f t="shared" si="13"/>
        <v>#DIV/0!</v>
      </c>
      <c r="R77" t="e">
        <f t="shared" si="14"/>
        <v>#DIV/0!</v>
      </c>
      <c r="S77" t="e">
        <f t="shared" si="15"/>
        <v>#DIV/0!</v>
      </c>
      <c r="T77" t="e">
        <f t="shared" si="16"/>
        <v>#DIV/0!</v>
      </c>
      <c r="U77" t="e">
        <f t="shared" si="17"/>
        <v>#DIV/0!</v>
      </c>
      <c r="V77" t="e">
        <f t="shared" si="18"/>
        <v>#DIV/0!</v>
      </c>
    </row>
    <row r="78" spans="1:33" x14ac:dyDescent="0.3">
      <c r="Q78" t="e">
        <f t="shared" si="13"/>
        <v>#DIV/0!</v>
      </c>
      <c r="R78" t="e">
        <f t="shared" si="14"/>
        <v>#DIV/0!</v>
      </c>
      <c r="S78" t="e">
        <f t="shared" si="15"/>
        <v>#DIV/0!</v>
      </c>
      <c r="T78" t="e">
        <f t="shared" si="16"/>
        <v>#DIV/0!</v>
      </c>
      <c r="U78" t="e">
        <f t="shared" si="17"/>
        <v>#DIV/0!</v>
      </c>
      <c r="V78" t="e">
        <f t="shared" si="18"/>
        <v>#DIV/0!</v>
      </c>
    </row>
    <row r="79" spans="1:33" x14ac:dyDescent="0.3">
      <c r="Q79" t="e">
        <f t="shared" si="13"/>
        <v>#DIV/0!</v>
      </c>
      <c r="R79" t="e">
        <f t="shared" si="14"/>
        <v>#DIV/0!</v>
      </c>
      <c r="S79" t="e">
        <f t="shared" si="15"/>
        <v>#DIV/0!</v>
      </c>
      <c r="T79" t="e">
        <f t="shared" si="16"/>
        <v>#DIV/0!</v>
      </c>
      <c r="U79" t="e">
        <f t="shared" si="17"/>
        <v>#DIV/0!</v>
      </c>
      <c r="V79" t="e">
        <f t="shared" si="18"/>
        <v>#DIV/0!</v>
      </c>
    </row>
    <row r="80" spans="1:33" x14ac:dyDescent="0.3">
      <c r="Q80" t="e">
        <f t="shared" si="13"/>
        <v>#DIV/0!</v>
      </c>
      <c r="R80" t="e">
        <f t="shared" si="14"/>
        <v>#DIV/0!</v>
      </c>
      <c r="S80" t="e">
        <f t="shared" si="15"/>
        <v>#DIV/0!</v>
      </c>
      <c r="T80" t="e">
        <f t="shared" si="16"/>
        <v>#DIV/0!</v>
      </c>
      <c r="U80" t="e">
        <f t="shared" si="17"/>
        <v>#DIV/0!</v>
      </c>
      <c r="V80" t="e">
        <f t="shared" si="18"/>
        <v>#DIV/0!</v>
      </c>
    </row>
    <row r="82" spans="1:33" x14ac:dyDescent="0.3">
      <c r="A82" t="s">
        <v>32</v>
      </c>
    </row>
    <row r="83" spans="1:33" x14ac:dyDescent="0.3">
      <c r="Q83" t="e">
        <f t="shared" si="13"/>
        <v>#DIV/0!</v>
      </c>
      <c r="R83" t="e">
        <f t="shared" si="14"/>
        <v>#DIV/0!</v>
      </c>
      <c r="S83" t="e">
        <f t="shared" si="15"/>
        <v>#DIV/0!</v>
      </c>
      <c r="T83" t="e">
        <f t="shared" si="16"/>
        <v>#DIV/0!</v>
      </c>
      <c r="U83" t="e">
        <f t="shared" si="17"/>
        <v>#DIV/0!</v>
      </c>
      <c r="V83" t="e">
        <f t="shared" si="18"/>
        <v>#DIV/0!</v>
      </c>
      <c r="AD83" t="e">
        <f>AVERAGE(T83:T88)</f>
        <v>#DIV/0!</v>
      </c>
      <c r="AE83" t="e">
        <f>_xlfn.STDEV.S(T83:T88)</f>
        <v>#DIV/0!</v>
      </c>
      <c r="AF83" t="e">
        <f>AVERAGE(V83:V88)</f>
        <v>#DIV/0!</v>
      </c>
      <c r="AG83" t="e">
        <f>_xlfn.STDEV.S(V83:V88)</f>
        <v>#DIV/0!</v>
      </c>
    </row>
    <row r="84" spans="1:33" x14ac:dyDescent="0.3">
      <c r="Q84" t="e">
        <f t="shared" si="13"/>
        <v>#DIV/0!</v>
      </c>
      <c r="R84" t="e">
        <f t="shared" si="14"/>
        <v>#DIV/0!</v>
      </c>
      <c r="S84" t="e">
        <f t="shared" si="15"/>
        <v>#DIV/0!</v>
      </c>
      <c r="T84" t="e">
        <f t="shared" si="16"/>
        <v>#DIV/0!</v>
      </c>
      <c r="U84" t="e">
        <f t="shared" si="17"/>
        <v>#DIV/0!</v>
      </c>
      <c r="V84" t="e">
        <f t="shared" si="18"/>
        <v>#DIV/0!</v>
      </c>
    </row>
    <row r="85" spans="1:33" x14ac:dyDescent="0.3">
      <c r="Q85" t="e">
        <f t="shared" si="13"/>
        <v>#DIV/0!</v>
      </c>
      <c r="R85" t="e">
        <f t="shared" si="14"/>
        <v>#DIV/0!</v>
      </c>
      <c r="S85" t="e">
        <f t="shared" si="15"/>
        <v>#DIV/0!</v>
      </c>
      <c r="T85" t="e">
        <f t="shared" si="16"/>
        <v>#DIV/0!</v>
      </c>
      <c r="U85" t="e">
        <f t="shared" si="17"/>
        <v>#DIV/0!</v>
      </c>
      <c r="V85" t="e">
        <f t="shared" si="18"/>
        <v>#DIV/0!</v>
      </c>
    </row>
    <row r="86" spans="1:33" x14ac:dyDescent="0.3">
      <c r="Q86" t="e">
        <f t="shared" si="13"/>
        <v>#DIV/0!</v>
      </c>
      <c r="R86" t="e">
        <f t="shared" si="14"/>
        <v>#DIV/0!</v>
      </c>
      <c r="S86" t="e">
        <f t="shared" si="15"/>
        <v>#DIV/0!</v>
      </c>
      <c r="T86" t="e">
        <f t="shared" si="16"/>
        <v>#DIV/0!</v>
      </c>
      <c r="U86" t="e">
        <f t="shared" si="17"/>
        <v>#DIV/0!</v>
      </c>
      <c r="V86" t="e">
        <f t="shared" si="18"/>
        <v>#DIV/0!</v>
      </c>
    </row>
    <row r="87" spans="1:33" x14ac:dyDescent="0.3">
      <c r="Q87" t="e">
        <f t="shared" si="13"/>
        <v>#DIV/0!</v>
      </c>
      <c r="R87" t="e">
        <f t="shared" si="14"/>
        <v>#DIV/0!</v>
      </c>
      <c r="S87" t="e">
        <f t="shared" si="15"/>
        <v>#DIV/0!</v>
      </c>
      <c r="T87" t="e">
        <f t="shared" si="16"/>
        <v>#DIV/0!</v>
      </c>
      <c r="U87" t="e">
        <f t="shared" si="17"/>
        <v>#DIV/0!</v>
      </c>
      <c r="V87" t="e">
        <f t="shared" si="18"/>
        <v>#DIV/0!</v>
      </c>
    </row>
    <row r="88" spans="1:33" x14ac:dyDescent="0.3">
      <c r="Q88" t="e">
        <f t="shared" si="13"/>
        <v>#DIV/0!</v>
      </c>
      <c r="R88" t="e">
        <f t="shared" si="14"/>
        <v>#DIV/0!</v>
      </c>
      <c r="S88" t="e">
        <f t="shared" si="15"/>
        <v>#DIV/0!</v>
      </c>
      <c r="T88" t="e">
        <f t="shared" si="16"/>
        <v>#DIV/0!</v>
      </c>
      <c r="U88" t="e">
        <f t="shared" si="17"/>
        <v>#DIV/0!</v>
      </c>
      <c r="V88" t="e">
        <f t="shared" si="18"/>
        <v>#DIV/0!</v>
      </c>
    </row>
    <row r="90" spans="1:33" x14ac:dyDescent="0.3">
      <c r="A90" t="s">
        <v>66</v>
      </c>
    </row>
    <row r="91" spans="1:33" x14ac:dyDescent="0.3">
      <c r="Q91" t="e">
        <f t="shared" si="13"/>
        <v>#DIV/0!</v>
      </c>
      <c r="R91" t="e">
        <f t="shared" si="14"/>
        <v>#DIV/0!</v>
      </c>
      <c r="S91" t="e">
        <f t="shared" si="15"/>
        <v>#DIV/0!</v>
      </c>
      <c r="T91" t="e">
        <f t="shared" si="16"/>
        <v>#DIV/0!</v>
      </c>
      <c r="U91" t="e">
        <f t="shared" si="17"/>
        <v>#DIV/0!</v>
      </c>
      <c r="V91" t="e">
        <f t="shared" si="18"/>
        <v>#DIV/0!</v>
      </c>
      <c r="AD91" t="e">
        <f>AVERAGE(T91:T99)</f>
        <v>#DIV/0!</v>
      </c>
      <c r="AE91" t="e">
        <f>_xlfn.STDEV.S(T91:T99)</f>
        <v>#DIV/0!</v>
      </c>
      <c r="AF91" t="e">
        <f>AVERAGE(V91:V99)</f>
        <v>#DIV/0!</v>
      </c>
      <c r="AG91" t="e">
        <f>_xlfn.STDEV.S(V91:V99)</f>
        <v>#DIV/0!</v>
      </c>
    </row>
    <row r="92" spans="1:33" x14ac:dyDescent="0.3">
      <c r="Q92" t="e">
        <f t="shared" si="13"/>
        <v>#DIV/0!</v>
      </c>
      <c r="R92" t="e">
        <f t="shared" si="14"/>
        <v>#DIV/0!</v>
      </c>
      <c r="S92" t="e">
        <f t="shared" si="15"/>
        <v>#DIV/0!</v>
      </c>
      <c r="T92" t="e">
        <f t="shared" si="16"/>
        <v>#DIV/0!</v>
      </c>
      <c r="U92" t="e">
        <f t="shared" si="17"/>
        <v>#DIV/0!</v>
      </c>
      <c r="V92" t="e">
        <f t="shared" si="18"/>
        <v>#DIV/0!</v>
      </c>
    </row>
    <row r="93" spans="1:33" x14ac:dyDescent="0.3">
      <c r="Q93" t="e">
        <f t="shared" si="13"/>
        <v>#DIV/0!</v>
      </c>
      <c r="R93" t="e">
        <f t="shared" si="14"/>
        <v>#DIV/0!</v>
      </c>
      <c r="S93" t="e">
        <f t="shared" si="15"/>
        <v>#DIV/0!</v>
      </c>
      <c r="T93" t="e">
        <f t="shared" si="16"/>
        <v>#DIV/0!</v>
      </c>
      <c r="U93" t="e">
        <f t="shared" si="17"/>
        <v>#DIV/0!</v>
      </c>
      <c r="V93" t="e">
        <f t="shared" si="18"/>
        <v>#DIV/0!</v>
      </c>
    </row>
    <row r="94" spans="1:33" x14ac:dyDescent="0.3">
      <c r="Q94" t="e">
        <f t="shared" si="13"/>
        <v>#DIV/0!</v>
      </c>
      <c r="R94" t="e">
        <f t="shared" si="14"/>
        <v>#DIV/0!</v>
      </c>
      <c r="S94" t="e">
        <f t="shared" si="15"/>
        <v>#DIV/0!</v>
      </c>
      <c r="T94" t="e">
        <f t="shared" si="16"/>
        <v>#DIV/0!</v>
      </c>
      <c r="U94" t="e">
        <f t="shared" si="17"/>
        <v>#DIV/0!</v>
      </c>
      <c r="V94" t="e">
        <f t="shared" si="18"/>
        <v>#DIV/0!</v>
      </c>
    </row>
    <row r="95" spans="1:33" x14ac:dyDescent="0.3">
      <c r="Q95" t="e">
        <f t="shared" si="13"/>
        <v>#DIV/0!</v>
      </c>
      <c r="R95" t="e">
        <f t="shared" si="14"/>
        <v>#DIV/0!</v>
      </c>
      <c r="S95" t="e">
        <f t="shared" si="15"/>
        <v>#DIV/0!</v>
      </c>
      <c r="T95" t="e">
        <f t="shared" si="16"/>
        <v>#DIV/0!</v>
      </c>
      <c r="U95" t="e">
        <f t="shared" si="17"/>
        <v>#DIV/0!</v>
      </c>
      <c r="V95" t="e">
        <f t="shared" si="18"/>
        <v>#DIV/0!</v>
      </c>
    </row>
    <row r="96" spans="1:33" x14ac:dyDescent="0.3">
      <c r="Q96" t="e">
        <f t="shared" si="13"/>
        <v>#DIV/0!</v>
      </c>
      <c r="R96" t="e">
        <f t="shared" si="14"/>
        <v>#DIV/0!</v>
      </c>
      <c r="S96" t="e">
        <f t="shared" si="15"/>
        <v>#DIV/0!</v>
      </c>
      <c r="T96" t="e">
        <f t="shared" si="16"/>
        <v>#DIV/0!</v>
      </c>
      <c r="U96" t="e">
        <f t="shared" si="17"/>
        <v>#DIV/0!</v>
      </c>
      <c r="V96" t="e">
        <f t="shared" si="18"/>
        <v>#DIV/0!</v>
      </c>
    </row>
    <row r="97" spans="17:22" x14ac:dyDescent="0.3">
      <c r="Q97" t="e">
        <f t="shared" si="13"/>
        <v>#DIV/0!</v>
      </c>
      <c r="R97" t="e">
        <f t="shared" si="14"/>
        <v>#DIV/0!</v>
      </c>
      <c r="S97" t="e">
        <f t="shared" si="15"/>
        <v>#DIV/0!</v>
      </c>
      <c r="T97" t="e">
        <f t="shared" si="16"/>
        <v>#DIV/0!</v>
      </c>
      <c r="U97" t="e">
        <f t="shared" si="17"/>
        <v>#DIV/0!</v>
      </c>
      <c r="V97" t="e">
        <f t="shared" si="18"/>
        <v>#DIV/0!</v>
      </c>
    </row>
    <row r="98" spans="17:22" x14ac:dyDescent="0.3">
      <c r="Q98" t="e">
        <f t="shared" si="13"/>
        <v>#DIV/0!</v>
      </c>
      <c r="R98" t="e">
        <f t="shared" si="14"/>
        <v>#DIV/0!</v>
      </c>
      <c r="S98" t="e">
        <f t="shared" si="15"/>
        <v>#DIV/0!</v>
      </c>
      <c r="T98" t="e">
        <f t="shared" si="16"/>
        <v>#DIV/0!</v>
      </c>
      <c r="U98" t="e">
        <f t="shared" si="17"/>
        <v>#DIV/0!</v>
      </c>
      <c r="V98" t="e">
        <f t="shared" si="18"/>
        <v>#DIV/0!</v>
      </c>
    </row>
    <row r="99" spans="17:22" x14ac:dyDescent="0.3">
      <c r="Q99" t="e">
        <f t="shared" si="13"/>
        <v>#DIV/0!</v>
      </c>
      <c r="R99" t="e">
        <f t="shared" si="14"/>
        <v>#DIV/0!</v>
      </c>
      <c r="S99" t="e">
        <f t="shared" si="15"/>
        <v>#DIV/0!</v>
      </c>
      <c r="T99" t="e">
        <f t="shared" si="16"/>
        <v>#DIV/0!</v>
      </c>
      <c r="U99" t="e">
        <f t="shared" si="17"/>
        <v>#DIV/0!</v>
      </c>
      <c r="V99" t="e">
        <f t="shared" si="18"/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647-64D8-47BC-AD52-3FB80D45AD9F}">
  <dimension ref="A1:AG11"/>
  <sheetViews>
    <sheetView topLeftCell="L1" workbookViewId="0">
      <selection activeCell="AG2" activeCellId="2" sqref="V2:AC2 AF2 AG2"/>
    </sheetView>
  </sheetViews>
  <sheetFormatPr defaultRowHeight="14.4" x14ac:dyDescent="0.3"/>
  <cols>
    <col min="30" max="30" width="13.44140625" customWidth="1"/>
  </cols>
  <sheetData>
    <row r="1" spans="1:33" x14ac:dyDescent="0.3">
      <c r="A1" t="s">
        <v>22</v>
      </c>
      <c r="F1" t="s">
        <v>23</v>
      </c>
      <c r="K1" t="s">
        <v>24</v>
      </c>
      <c r="R1" t="s">
        <v>11</v>
      </c>
      <c r="S1" t="s">
        <v>12</v>
      </c>
      <c r="T1" t="s">
        <v>13</v>
      </c>
      <c r="U1" t="s">
        <v>15</v>
      </c>
      <c r="V1" t="s">
        <v>59</v>
      </c>
      <c r="W1" t="s">
        <v>51</v>
      </c>
      <c r="X1" t="s">
        <v>60</v>
      </c>
      <c r="Y1" t="s">
        <v>52</v>
      </c>
      <c r="Z1" t="s">
        <v>61</v>
      </c>
      <c r="AA1" t="s">
        <v>53</v>
      </c>
      <c r="AB1" t="s">
        <v>1</v>
      </c>
      <c r="AC1" t="s">
        <v>16</v>
      </c>
      <c r="AD1" t="s">
        <v>17</v>
      </c>
      <c r="AE1" t="s">
        <v>14</v>
      </c>
      <c r="AF1" t="s">
        <v>18</v>
      </c>
      <c r="AG1" t="s">
        <v>19</v>
      </c>
    </row>
    <row r="2" spans="1:33" x14ac:dyDescent="0.3">
      <c r="B2">
        <v>81</v>
      </c>
      <c r="C2">
        <v>19</v>
      </c>
      <c r="D2">
        <v>16</v>
      </c>
      <c r="E2">
        <v>84</v>
      </c>
      <c r="G2">
        <v>70</v>
      </c>
      <c r="H2">
        <v>30</v>
      </c>
      <c r="I2">
        <v>1</v>
      </c>
      <c r="J2">
        <v>99</v>
      </c>
      <c r="L2">
        <v>68</v>
      </c>
      <c r="M2">
        <v>32</v>
      </c>
      <c r="N2">
        <v>32</v>
      </c>
      <c r="O2">
        <v>68</v>
      </c>
      <c r="R2">
        <f>AVERAGE(C2:D2)</f>
        <v>17.5</v>
      </c>
      <c r="S2">
        <f>AVERAGE(H2,I2)</f>
        <v>15.5</v>
      </c>
      <c r="T2">
        <f>AVERAGE(M2:N2)</f>
        <v>32</v>
      </c>
      <c r="U2">
        <f>AVERAGE(R2:T2)</f>
        <v>21.666666666666668</v>
      </c>
      <c r="V2">
        <f>AVERAGE(R2:R34)</f>
        <v>17.149999999999999</v>
      </c>
      <c r="W2">
        <f>_xlfn.STDEV.S(R2:R34)</f>
        <v>1.8715709384839754</v>
      </c>
      <c r="X2">
        <f>AVERAGE(S2:S34)</f>
        <v>21</v>
      </c>
      <c r="Y2">
        <f>_xlfn.STDEV.S(S2:S34)</f>
        <v>2.4832774042918899</v>
      </c>
      <c r="Z2">
        <f>AVERAGE(T2:T34)</f>
        <v>31.5</v>
      </c>
      <c r="AA2">
        <f>_xlfn.STDEV.S(T2:T34)</f>
        <v>3.3499585403736298</v>
      </c>
      <c r="AB2">
        <f>AVERAGE(U2:U34)</f>
        <v>23.216666666666669</v>
      </c>
      <c r="AC2">
        <f>_xlfn.STDEV.S(U2:U34)</f>
        <v>1.8510090674821758</v>
      </c>
      <c r="AD2">
        <f>MIN(R2:T2)</f>
        <v>15.5</v>
      </c>
      <c r="AE2">
        <f>(U2-AD2)</f>
        <v>6.1666666666666679</v>
      </c>
      <c r="AF2">
        <f>AVERAGE(AE2:AE34)</f>
        <v>6.2666666666666657</v>
      </c>
      <c r="AG2">
        <f>_xlfn.STDEV.S(AE2:AE34)</f>
        <v>1.354462218459632</v>
      </c>
    </row>
    <row r="3" spans="1:33" x14ac:dyDescent="0.3">
      <c r="B3">
        <v>85</v>
      </c>
      <c r="C3">
        <v>15</v>
      </c>
      <c r="D3">
        <v>15</v>
      </c>
      <c r="E3">
        <v>85</v>
      </c>
      <c r="G3">
        <v>64</v>
      </c>
      <c r="H3">
        <v>36</v>
      </c>
      <c r="I3">
        <v>8</v>
      </c>
      <c r="J3">
        <v>92</v>
      </c>
      <c r="L3">
        <v>78</v>
      </c>
      <c r="M3">
        <v>22</v>
      </c>
      <c r="N3">
        <v>27</v>
      </c>
      <c r="O3">
        <v>73</v>
      </c>
      <c r="R3">
        <f t="shared" ref="R3:R34" si="0">AVERAGE(C3:D3)</f>
        <v>15</v>
      </c>
      <c r="S3">
        <f t="shared" ref="S3:S34" si="1">AVERAGE(H3,I3)</f>
        <v>22</v>
      </c>
      <c r="T3">
        <f t="shared" ref="T3:T34" si="2">AVERAGE(M3:N3)</f>
        <v>24.5</v>
      </c>
      <c r="U3">
        <f t="shared" ref="U3:U34" si="3">AVERAGE(R3:T3)</f>
        <v>20.5</v>
      </c>
      <c r="AD3">
        <f t="shared" ref="AD3:AD34" si="4">MIN(R3:T3)</f>
        <v>15</v>
      </c>
      <c r="AE3">
        <f t="shared" ref="AE3:AE11" si="5">(U3-AD3)</f>
        <v>5.5</v>
      </c>
    </row>
    <row r="4" spans="1:33" x14ac:dyDescent="0.3">
      <c r="B4">
        <v>86</v>
      </c>
      <c r="C4">
        <v>14</v>
      </c>
      <c r="D4">
        <v>14</v>
      </c>
      <c r="E4">
        <v>86</v>
      </c>
      <c r="G4">
        <v>67</v>
      </c>
      <c r="H4">
        <v>33</v>
      </c>
      <c r="I4">
        <v>7</v>
      </c>
      <c r="J4">
        <v>93</v>
      </c>
      <c r="L4">
        <v>65</v>
      </c>
      <c r="M4">
        <v>35</v>
      </c>
      <c r="N4">
        <v>28</v>
      </c>
      <c r="O4">
        <v>72</v>
      </c>
      <c r="R4">
        <f t="shared" si="0"/>
        <v>14</v>
      </c>
      <c r="S4">
        <f t="shared" si="1"/>
        <v>20</v>
      </c>
      <c r="T4">
        <f t="shared" si="2"/>
        <v>31.5</v>
      </c>
      <c r="U4">
        <f t="shared" si="3"/>
        <v>21.833333333333332</v>
      </c>
      <c r="AD4">
        <f t="shared" si="4"/>
        <v>14</v>
      </c>
      <c r="AE4">
        <f t="shared" si="5"/>
        <v>7.8333333333333321</v>
      </c>
    </row>
    <row r="5" spans="1:33" x14ac:dyDescent="0.3">
      <c r="B5">
        <v>83</v>
      </c>
      <c r="C5">
        <v>17</v>
      </c>
      <c r="D5">
        <v>18</v>
      </c>
      <c r="E5">
        <v>82</v>
      </c>
      <c r="G5">
        <v>69</v>
      </c>
      <c r="H5">
        <v>31</v>
      </c>
      <c r="I5">
        <v>9</v>
      </c>
      <c r="J5">
        <v>91</v>
      </c>
      <c r="L5">
        <v>64</v>
      </c>
      <c r="M5">
        <v>36</v>
      </c>
      <c r="N5">
        <v>28</v>
      </c>
      <c r="O5">
        <v>72</v>
      </c>
      <c r="R5">
        <f t="shared" si="0"/>
        <v>17.5</v>
      </c>
      <c r="S5">
        <f t="shared" si="1"/>
        <v>20</v>
      </c>
      <c r="T5">
        <f t="shared" si="2"/>
        <v>32</v>
      </c>
      <c r="U5">
        <f t="shared" si="3"/>
        <v>23.166666666666668</v>
      </c>
      <c r="AD5">
        <f t="shared" si="4"/>
        <v>17.5</v>
      </c>
      <c r="AE5">
        <f t="shared" si="5"/>
        <v>5.6666666666666679</v>
      </c>
    </row>
    <row r="6" spans="1:33" x14ac:dyDescent="0.3">
      <c r="B6">
        <v>80</v>
      </c>
      <c r="C6">
        <v>20</v>
      </c>
      <c r="D6">
        <v>17</v>
      </c>
      <c r="E6">
        <v>83</v>
      </c>
      <c r="G6">
        <v>62</v>
      </c>
      <c r="H6">
        <v>38</v>
      </c>
      <c r="I6">
        <v>13</v>
      </c>
      <c r="J6">
        <v>87</v>
      </c>
      <c r="L6">
        <v>55</v>
      </c>
      <c r="M6">
        <v>45</v>
      </c>
      <c r="N6">
        <v>28</v>
      </c>
      <c r="O6">
        <v>72</v>
      </c>
      <c r="R6">
        <f t="shared" si="0"/>
        <v>18.5</v>
      </c>
      <c r="S6">
        <f t="shared" si="1"/>
        <v>25.5</v>
      </c>
      <c r="T6">
        <f t="shared" si="2"/>
        <v>36.5</v>
      </c>
      <c r="U6">
        <f t="shared" si="3"/>
        <v>26.833333333333332</v>
      </c>
      <c r="AD6">
        <f t="shared" si="4"/>
        <v>18.5</v>
      </c>
      <c r="AE6">
        <f t="shared" si="5"/>
        <v>8.3333333333333321</v>
      </c>
    </row>
    <row r="7" spans="1:33" x14ac:dyDescent="0.3">
      <c r="B7">
        <v>81</v>
      </c>
      <c r="C7">
        <v>19</v>
      </c>
      <c r="D7">
        <v>18</v>
      </c>
      <c r="E7">
        <v>82</v>
      </c>
      <c r="G7">
        <v>63</v>
      </c>
      <c r="H7">
        <v>37</v>
      </c>
      <c r="I7">
        <v>4</v>
      </c>
      <c r="J7">
        <v>96</v>
      </c>
      <c r="L7">
        <v>65</v>
      </c>
      <c r="M7">
        <v>35</v>
      </c>
      <c r="N7">
        <v>29</v>
      </c>
      <c r="O7">
        <v>71</v>
      </c>
      <c r="R7">
        <f t="shared" si="0"/>
        <v>18.5</v>
      </c>
      <c r="S7">
        <f t="shared" si="1"/>
        <v>20.5</v>
      </c>
      <c r="T7">
        <f t="shared" si="2"/>
        <v>32</v>
      </c>
      <c r="U7">
        <f t="shared" si="3"/>
        <v>23.666666666666668</v>
      </c>
      <c r="AD7">
        <f t="shared" si="4"/>
        <v>18.5</v>
      </c>
      <c r="AE7">
        <f t="shared" si="5"/>
        <v>5.1666666666666679</v>
      </c>
    </row>
    <row r="8" spans="1:33" x14ac:dyDescent="0.3">
      <c r="B8">
        <v>81</v>
      </c>
      <c r="C8">
        <v>19</v>
      </c>
      <c r="D8">
        <v>18</v>
      </c>
      <c r="E8">
        <v>82</v>
      </c>
      <c r="G8">
        <v>67</v>
      </c>
      <c r="H8">
        <v>33</v>
      </c>
      <c r="I8">
        <v>10</v>
      </c>
      <c r="J8">
        <v>90</v>
      </c>
      <c r="L8">
        <v>67</v>
      </c>
      <c r="M8">
        <v>33</v>
      </c>
      <c r="N8">
        <v>30</v>
      </c>
      <c r="O8">
        <v>70</v>
      </c>
      <c r="R8">
        <f t="shared" si="0"/>
        <v>18.5</v>
      </c>
      <c r="S8">
        <f t="shared" si="1"/>
        <v>21.5</v>
      </c>
      <c r="T8">
        <f t="shared" si="2"/>
        <v>31.5</v>
      </c>
      <c r="U8">
        <f t="shared" si="3"/>
        <v>23.833333333333332</v>
      </c>
      <c r="AD8">
        <f t="shared" si="4"/>
        <v>18.5</v>
      </c>
      <c r="AE8">
        <f t="shared" si="5"/>
        <v>5.3333333333333321</v>
      </c>
    </row>
    <row r="9" spans="1:33" x14ac:dyDescent="0.3">
      <c r="B9">
        <v>86</v>
      </c>
      <c r="C9">
        <v>14</v>
      </c>
      <c r="D9">
        <v>19</v>
      </c>
      <c r="E9">
        <v>81</v>
      </c>
      <c r="G9">
        <v>66</v>
      </c>
      <c r="H9">
        <v>34</v>
      </c>
      <c r="I9">
        <v>9</v>
      </c>
      <c r="J9">
        <v>91</v>
      </c>
      <c r="L9">
        <v>74</v>
      </c>
      <c r="M9">
        <v>26</v>
      </c>
      <c r="N9">
        <v>29</v>
      </c>
      <c r="O9">
        <v>71</v>
      </c>
      <c r="R9">
        <f t="shared" si="0"/>
        <v>16.5</v>
      </c>
      <c r="S9">
        <f t="shared" si="1"/>
        <v>21.5</v>
      </c>
      <c r="T9">
        <f t="shared" si="2"/>
        <v>27.5</v>
      </c>
      <c r="U9">
        <f t="shared" si="3"/>
        <v>21.833333333333332</v>
      </c>
      <c r="AD9">
        <f t="shared" si="4"/>
        <v>16.5</v>
      </c>
      <c r="AE9">
        <f t="shared" si="5"/>
        <v>5.3333333333333321</v>
      </c>
    </row>
    <row r="10" spans="1:33" x14ac:dyDescent="0.3">
      <c r="B10">
        <v>85</v>
      </c>
      <c r="C10">
        <v>15</v>
      </c>
      <c r="D10">
        <v>16</v>
      </c>
      <c r="E10">
        <v>84</v>
      </c>
      <c r="G10">
        <v>59</v>
      </c>
      <c r="H10">
        <v>41</v>
      </c>
      <c r="I10">
        <v>3</v>
      </c>
      <c r="J10">
        <v>97</v>
      </c>
      <c r="L10">
        <v>64</v>
      </c>
      <c r="M10">
        <v>36</v>
      </c>
      <c r="N10">
        <v>32</v>
      </c>
      <c r="O10">
        <v>68</v>
      </c>
      <c r="R10">
        <f t="shared" si="0"/>
        <v>15.5</v>
      </c>
      <c r="S10">
        <f t="shared" si="1"/>
        <v>22</v>
      </c>
      <c r="T10">
        <f t="shared" si="2"/>
        <v>34</v>
      </c>
      <c r="U10">
        <f t="shared" si="3"/>
        <v>23.833333333333332</v>
      </c>
      <c r="AD10">
        <f t="shared" si="4"/>
        <v>15.5</v>
      </c>
      <c r="AE10">
        <f t="shared" si="5"/>
        <v>8.3333333333333321</v>
      </c>
    </row>
    <row r="11" spans="1:33" x14ac:dyDescent="0.3">
      <c r="B11">
        <v>81</v>
      </c>
      <c r="C11">
        <v>19</v>
      </c>
      <c r="D11">
        <v>21</v>
      </c>
      <c r="E11">
        <v>79</v>
      </c>
      <c r="G11">
        <v>64</v>
      </c>
      <c r="H11">
        <v>36</v>
      </c>
      <c r="I11">
        <v>7</v>
      </c>
      <c r="J11">
        <v>93</v>
      </c>
      <c r="L11">
        <v>66</v>
      </c>
      <c r="M11">
        <v>34</v>
      </c>
      <c r="N11">
        <v>33</v>
      </c>
      <c r="O11">
        <v>67</v>
      </c>
      <c r="R11">
        <f t="shared" si="0"/>
        <v>20</v>
      </c>
      <c r="S11">
        <f t="shared" si="1"/>
        <v>21.5</v>
      </c>
      <c r="T11">
        <f t="shared" si="2"/>
        <v>33.5</v>
      </c>
      <c r="U11">
        <f t="shared" si="3"/>
        <v>25</v>
      </c>
      <c r="AD11">
        <f t="shared" si="4"/>
        <v>20</v>
      </c>
      <c r="AE11">
        <f t="shared" si="5"/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0"/>
  <sheetViews>
    <sheetView topLeftCell="Q1" workbookViewId="0">
      <selection activeCell="W4" sqref="W4:AF4"/>
    </sheetView>
  </sheetViews>
  <sheetFormatPr defaultRowHeight="14.4" x14ac:dyDescent="0.3"/>
  <sheetData>
    <row r="2" spans="1:32" x14ac:dyDescent="0.3">
      <c r="A2" t="s">
        <v>58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59</v>
      </c>
      <c r="X2" t="s">
        <v>51</v>
      </c>
      <c r="Y2" t="s">
        <v>60</v>
      </c>
      <c r="Z2" t="s">
        <v>52</v>
      </c>
      <c r="AA2" t="s">
        <v>61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A3" t="s">
        <v>22</v>
      </c>
      <c r="F3" t="s">
        <v>23</v>
      </c>
      <c r="K3" t="s">
        <v>24</v>
      </c>
    </row>
    <row r="4" spans="1:32" x14ac:dyDescent="0.3">
      <c r="B4" s="3">
        <v>82</v>
      </c>
      <c r="C4" s="3">
        <v>18</v>
      </c>
      <c r="D4" s="3">
        <v>20</v>
      </c>
      <c r="E4" s="3">
        <v>80</v>
      </c>
      <c r="F4" s="2"/>
      <c r="G4" s="2">
        <v>44</v>
      </c>
      <c r="H4" s="2">
        <v>56</v>
      </c>
      <c r="I4" s="2">
        <v>12</v>
      </c>
      <c r="J4" s="2">
        <v>88</v>
      </c>
      <c r="K4" s="2"/>
      <c r="L4" s="2">
        <v>66</v>
      </c>
      <c r="M4" s="2">
        <v>34</v>
      </c>
      <c r="N4" s="2">
        <v>27</v>
      </c>
      <c r="O4" s="2">
        <v>73</v>
      </c>
      <c r="Q4">
        <f>AVERAGE(C4,D4)</f>
        <v>19</v>
      </c>
      <c r="R4">
        <f>AVERAGE(H4,I4)</f>
        <v>34</v>
      </c>
      <c r="S4">
        <f>AVERAGE(M4,N4)</f>
        <v>30.5</v>
      </c>
      <c r="T4">
        <f>AVERAGE(Q4:S4)</f>
        <v>27.833333333333332</v>
      </c>
      <c r="U4">
        <f>MIN(Q4:S4)</f>
        <v>19</v>
      </c>
      <c r="V4">
        <f>T4-U4</f>
        <v>8.8333333333333321</v>
      </c>
      <c r="W4">
        <f>AVERAGE(Q4:Q10)</f>
        <v>14.857142857142858</v>
      </c>
      <c r="X4">
        <f>_xlfn.STDEV.S(Q4:Q10)</f>
        <v>2.0354009783964311</v>
      </c>
      <c r="Y4">
        <f>AVERAGE(R4:R10)</f>
        <v>24.285714285714285</v>
      </c>
      <c r="Z4">
        <f>_xlfn.STDEV.S(R4:R10)</f>
        <v>4.8550415622761252</v>
      </c>
      <c r="AA4">
        <f>AVERAGE(S4:S10)</f>
        <v>31.214285714285715</v>
      </c>
      <c r="AB4">
        <f>_xlfn.STDEV.S(S4:S10)</f>
        <v>0.95118973121134176</v>
      </c>
      <c r="AC4">
        <f>AVERAGE(T4:T10)</f>
        <v>23.452380952380953</v>
      </c>
      <c r="AD4">
        <f>_xlfn.STDEV.S(T4:T10)</f>
        <v>2.1531937642124515</v>
      </c>
      <c r="AE4">
        <f>AVERAGE(V4:V10)</f>
        <v>8.5952380952380967</v>
      </c>
      <c r="AF4">
        <f>_xlfn.STDEV.S(V4:V10)</f>
        <v>0.87589712135373932</v>
      </c>
    </row>
    <row r="5" spans="1:32" x14ac:dyDescent="0.3">
      <c r="B5" s="3">
        <v>91</v>
      </c>
      <c r="C5" s="3">
        <v>9</v>
      </c>
      <c r="D5" s="3">
        <v>20</v>
      </c>
      <c r="E5" s="3">
        <v>80</v>
      </c>
      <c r="F5" s="2"/>
      <c r="G5" s="2">
        <v>66</v>
      </c>
      <c r="H5" s="2">
        <v>34</v>
      </c>
      <c r="I5" s="2">
        <v>17</v>
      </c>
      <c r="J5" s="2">
        <v>83</v>
      </c>
      <c r="K5" s="2"/>
      <c r="L5" s="2">
        <v>68</v>
      </c>
      <c r="M5" s="2">
        <v>32</v>
      </c>
      <c r="N5" s="2">
        <v>29</v>
      </c>
      <c r="O5" s="2">
        <v>71</v>
      </c>
      <c r="Q5">
        <f t="shared" ref="Q5:Q10" si="0">AVERAGE(C5,D5)</f>
        <v>14.5</v>
      </c>
      <c r="R5">
        <f t="shared" ref="R5:R10" si="1">AVERAGE(H5,I5)</f>
        <v>25.5</v>
      </c>
      <c r="S5">
        <f t="shared" ref="S5:S10" si="2">AVERAGE(M5,N5)</f>
        <v>30.5</v>
      </c>
      <c r="T5">
        <f t="shared" ref="T5:T10" si="3">AVERAGE(Q5:S5)</f>
        <v>23.5</v>
      </c>
      <c r="U5">
        <f t="shared" ref="U5:U10" si="4">MIN(Q5:S5)</f>
        <v>14.5</v>
      </c>
      <c r="V5">
        <f t="shared" ref="V5:V10" si="5">T5-U5</f>
        <v>9</v>
      </c>
    </row>
    <row r="6" spans="1:32" x14ac:dyDescent="0.3">
      <c r="B6" s="3">
        <v>82</v>
      </c>
      <c r="C6" s="3">
        <v>18</v>
      </c>
      <c r="D6" s="3">
        <v>8</v>
      </c>
      <c r="E6" s="3">
        <v>92</v>
      </c>
      <c r="F6" s="2"/>
      <c r="G6" s="2">
        <v>68</v>
      </c>
      <c r="H6" s="2">
        <v>32</v>
      </c>
      <c r="I6" s="2">
        <v>5</v>
      </c>
      <c r="J6" s="2">
        <v>95</v>
      </c>
      <c r="K6" s="2"/>
      <c r="L6" s="2">
        <v>53</v>
      </c>
      <c r="M6" s="2">
        <v>47</v>
      </c>
      <c r="N6" s="2">
        <v>15</v>
      </c>
      <c r="O6" s="2">
        <v>85</v>
      </c>
      <c r="Q6">
        <f t="shared" si="0"/>
        <v>13</v>
      </c>
      <c r="R6">
        <f t="shared" si="1"/>
        <v>18.5</v>
      </c>
      <c r="S6">
        <f t="shared" si="2"/>
        <v>31</v>
      </c>
      <c r="T6">
        <f t="shared" si="3"/>
        <v>20.833333333333332</v>
      </c>
      <c r="U6">
        <f t="shared" si="4"/>
        <v>13</v>
      </c>
      <c r="V6">
        <f t="shared" si="5"/>
        <v>7.8333333333333321</v>
      </c>
    </row>
    <row r="7" spans="1:32" x14ac:dyDescent="0.3">
      <c r="B7" s="3">
        <v>89</v>
      </c>
      <c r="C7" s="3">
        <v>11</v>
      </c>
      <c r="D7" s="3">
        <v>18</v>
      </c>
      <c r="E7" s="3">
        <v>82</v>
      </c>
      <c r="F7" s="2"/>
      <c r="G7" s="2">
        <v>58</v>
      </c>
      <c r="H7" s="2">
        <v>42</v>
      </c>
      <c r="I7" s="2">
        <v>8</v>
      </c>
      <c r="J7" s="2">
        <v>92</v>
      </c>
      <c r="K7" s="2"/>
      <c r="L7" s="2">
        <v>55</v>
      </c>
      <c r="M7" s="2">
        <v>45</v>
      </c>
      <c r="N7" s="2">
        <v>19</v>
      </c>
      <c r="O7" s="2">
        <v>81</v>
      </c>
      <c r="Q7">
        <f t="shared" si="0"/>
        <v>14.5</v>
      </c>
      <c r="R7">
        <f t="shared" si="1"/>
        <v>25</v>
      </c>
      <c r="S7">
        <f t="shared" si="2"/>
        <v>32</v>
      </c>
      <c r="T7">
        <f t="shared" si="3"/>
        <v>23.833333333333332</v>
      </c>
      <c r="U7">
        <f t="shared" si="4"/>
        <v>14.5</v>
      </c>
      <c r="V7">
        <f t="shared" si="5"/>
        <v>9.3333333333333321</v>
      </c>
    </row>
    <row r="8" spans="1:32" x14ac:dyDescent="0.3">
      <c r="B8" s="3">
        <v>84</v>
      </c>
      <c r="C8" s="3">
        <v>16</v>
      </c>
      <c r="D8" s="3">
        <v>10</v>
      </c>
      <c r="E8" s="3">
        <v>90</v>
      </c>
      <c r="F8" s="2"/>
      <c r="G8" s="2">
        <v>63</v>
      </c>
      <c r="H8" s="2">
        <v>37</v>
      </c>
      <c r="I8" s="2">
        <v>8</v>
      </c>
      <c r="J8" s="2">
        <v>92</v>
      </c>
      <c r="K8" s="2"/>
      <c r="L8" s="2">
        <v>55</v>
      </c>
      <c r="M8" s="2">
        <v>45</v>
      </c>
      <c r="N8" s="2">
        <v>20</v>
      </c>
      <c r="O8" s="2">
        <v>80</v>
      </c>
      <c r="Q8">
        <f t="shared" si="0"/>
        <v>13</v>
      </c>
      <c r="R8">
        <f t="shared" si="1"/>
        <v>22.5</v>
      </c>
      <c r="S8">
        <f t="shared" si="2"/>
        <v>32.5</v>
      </c>
      <c r="T8">
        <f t="shared" si="3"/>
        <v>22.666666666666668</v>
      </c>
      <c r="U8">
        <f t="shared" si="4"/>
        <v>13</v>
      </c>
      <c r="V8">
        <f t="shared" si="5"/>
        <v>9.6666666666666679</v>
      </c>
    </row>
    <row r="9" spans="1:32" x14ac:dyDescent="0.3">
      <c r="B9" s="3">
        <v>86</v>
      </c>
      <c r="C9" s="3">
        <v>14</v>
      </c>
      <c r="D9" s="3">
        <v>15</v>
      </c>
      <c r="E9" s="3">
        <v>85</v>
      </c>
      <c r="F9" s="2"/>
      <c r="G9" s="2">
        <v>66</v>
      </c>
      <c r="H9" s="2">
        <v>34</v>
      </c>
      <c r="I9" s="2">
        <v>10</v>
      </c>
      <c r="J9" s="2">
        <v>90</v>
      </c>
      <c r="K9" s="2"/>
      <c r="L9" s="2">
        <v>69</v>
      </c>
      <c r="M9" s="2">
        <v>31</v>
      </c>
      <c r="N9" s="2">
        <v>33</v>
      </c>
      <c r="O9" s="2">
        <v>67</v>
      </c>
      <c r="Q9">
        <f t="shared" si="0"/>
        <v>14.5</v>
      </c>
      <c r="R9">
        <f t="shared" si="1"/>
        <v>22</v>
      </c>
      <c r="S9">
        <f t="shared" si="2"/>
        <v>32</v>
      </c>
      <c r="T9">
        <f t="shared" si="3"/>
        <v>22.833333333333332</v>
      </c>
      <c r="U9">
        <f t="shared" si="4"/>
        <v>14.5</v>
      </c>
      <c r="V9">
        <f t="shared" si="5"/>
        <v>8.3333333333333321</v>
      </c>
    </row>
    <row r="10" spans="1:32" x14ac:dyDescent="0.3">
      <c r="B10" s="3">
        <v>80</v>
      </c>
      <c r="C10" s="3">
        <v>20</v>
      </c>
      <c r="D10" s="3">
        <v>11</v>
      </c>
      <c r="E10" s="3">
        <v>89</v>
      </c>
      <c r="F10" s="2"/>
      <c r="G10" s="2">
        <v>58</v>
      </c>
      <c r="H10" s="2">
        <v>42</v>
      </c>
      <c r="I10" s="2">
        <v>3</v>
      </c>
      <c r="J10" s="2">
        <v>97</v>
      </c>
      <c r="K10" s="2"/>
      <c r="L10" s="2">
        <v>60</v>
      </c>
      <c r="M10" s="2">
        <v>40</v>
      </c>
      <c r="N10" s="2">
        <v>20</v>
      </c>
      <c r="O10" s="2">
        <v>80</v>
      </c>
      <c r="Q10">
        <f t="shared" si="0"/>
        <v>15.5</v>
      </c>
      <c r="R10">
        <f t="shared" si="1"/>
        <v>22.5</v>
      </c>
      <c r="S10">
        <f t="shared" si="2"/>
        <v>30</v>
      </c>
      <c r="T10">
        <f t="shared" si="3"/>
        <v>22.666666666666668</v>
      </c>
      <c r="U10">
        <f t="shared" si="4"/>
        <v>15.5</v>
      </c>
      <c r="V10">
        <f t="shared" si="5"/>
        <v>7.1666666666666679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N41"/>
  <sheetViews>
    <sheetView topLeftCell="K34" workbookViewId="0">
      <selection activeCell="W40" sqref="W40:AF40"/>
    </sheetView>
  </sheetViews>
  <sheetFormatPr defaultRowHeight="14.4" x14ac:dyDescent="0.3"/>
  <cols>
    <col min="34" max="34" width="20.109375" customWidth="1"/>
  </cols>
  <sheetData>
    <row r="1" spans="1:40" x14ac:dyDescent="0.3">
      <c r="A1" t="s">
        <v>42</v>
      </c>
    </row>
    <row r="2" spans="1:40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  <c r="AH2" t="s">
        <v>37</v>
      </c>
      <c r="AI2" t="s">
        <v>1</v>
      </c>
      <c r="AJ2" t="s">
        <v>18</v>
      </c>
      <c r="AL2" t="s">
        <v>40</v>
      </c>
      <c r="AM2" t="s">
        <v>1</v>
      </c>
      <c r="AN2" t="s">
        <v>18</v>
      </c>
    </row>
    <row r="3" spans="1:40" x14ac:dyDescent="0.3">
      <c r="B3">
        <v>30</v>
      </c>
      <c r="C3">
        <v>70</v>
      </c>
      <c r="D3">
        <v>2</v>
      </c>
      <c r="E3">
        <v>98</v>
      </c>
      <c r="G3">
        <v>40</v>
      </c>
      <c r="H3">
        <v>60</v>
      </c>
      <c r="I3">
        <v>0</v>
      </c>
      <c r="J3">
        <v>100</v>
      </c>
      <c r="L3">
        <v>2</v>
      </c>
      <c r="M3">
        <v>98</v>
      </c>
      <c r="N3">
        <v>0</v>
      </c>
      <c r="O3">
        <v>100</v>
      </c>
      <c r="Q3">
        <f>AVERAGE(C3,D3)</f>
        <v>36</v>
      </c>
      <c r="R3">
        <f>AVERAGE(H3,I3)</f>
        <v>30</v>
      </c>
      <c r="S3">
        <f>AVERAGE(M3,N3)</f>
        <v>49</v>
      </c>
      <c r="T3">
        <f>AVERAGE(Q3:S3)</f>
        <v>38.333333333333336</v>
      </c>
      <c r="U3">
        <f>MIN(Q3:S3)</f>
        <v>30</v>
      </c>
      <c r="V3">
        <f>(1/3)*(T3-U3)</f>
        <v>2.7777777777777786</v>
      </c>
      <c r="W3">
        <f>AVERAGE(Q3:Q6)</f>
        <v>24.75</v>
      </c>
      <c r="X3">
        <f>_xlfn.STDEV.S(Q3:Q6)</f>
        <v>8.2107652911690678</v>
      </c>
      <c r="Y3">
        <f>AVERAGE(R3:R6)</f>
        <v>26.625</v>
      </c>
      <c r="Z3">
        <f>_xlfn.STDEV.S(R3:R6)</f>
        <v>5.5883062430996624</v>
      </c>
      <c r="AA3">
        <f>AVERAGE(S3:S6)</f>
        <v>43.75</v>
      </c>
      <c r="AB3">
        <f>_xlfn.STDEV.S(S3:S6)</f>
        <v>3.7080992435478315</v>
      </c>
      <c r="AC3">
        <f>AVERAGE(T3:T6)</f>
        <v>31.708333333333336</v>
      </c>
      <c r="AD3">
        <f>_xlfn.STDEV.S(T3:T6)</f>
        <v>5.4541438544637844</v>
      </c>
      <c r="AE3">
        <f>AVERAGE(V3:V6)</f>
        <v>2.8194444444444446</v>
      </c>
      <c r="AF3">
        <f>_xlfn.STDEV.S(V3:V6)</f>
        <v>0.19966535789673909</v>
      </c>
      <c r="AH3" t="s">
        <v>47</v>
      </c>
      <c r="AL3" t="s">
        <v>57</v>
      </c>
    </row>
    <row r="4" spans="1:40" x14ac:dyDescent="0.3">
      <c r="B4">
        <v>58</v>
      </c>
      <c r="C4">
        <v>42</v>
      </c>
      <c r="D4">
        <v>2</v>
      </c>
      <c r="E4">
        <v>98</v>
      </c>
      <c r="G4">
        <v>56</v>
      </c>
      <c r="H4">
        <v>44</v>
      </c>
      <c r="I4">
        <v>6</v>
      </c>
      <c r="J4">
        <v>94</v>
      </c>
      <c r="L4">
        <v>20</v>
      </c>
      <c r="M4">
        <v>80</v>
      </c>
      <c r="N4">
        <v>4</v>
      </c>
      <c r="O4">
        <v>96</v>
      </c>
      <c r="Q4">
        <f t="shared" ref="Q4:Q37" si="0">AVERAGE(C4,D4)</f>
        <v>22</v>
      </c>
      <c r="R4">
        <f t="shared" ref="R4:R37" si="1">AVERAGE(H4,I4)</f>
        <v>25</v>
      </c>
      <c r="S4">
        <f t="shared" ref="S4:S37" si="2">AVERAGE(M4,N4)</f>
        <v>42</v>
      </c>
      <c r="T4">
        <f t="shared" ref="T4:T37" si="3">AVERAGE(Q4:S4)</f>
        <v>29.666666666666668</v>
      </c>
      <c r="U4">
        <f t="shared" ref="U4:U37" si="4">MIN(Q4:S4)</f>
        <v>22</v>
      </c>
      <c r="V4">
        <f t="shared" ref="V4:V37" si="5">(1/3)*(T4-U4)</f>
        <v>2.5555555555555558</v>
      </c>
      <c r="AH4" t="s">
        <v>46</v>
      </c>
      <c r="AI4">
        <v>28.666666666666671</v>
      </c>
      <c r="AJ4">
        <v>2.7777777777777772</v>
      </c>
      <c r="AL4" t="s">
        <v>46</v>
      </c>
      <c r="AM4">
        <v>28.666666666666671</v>
      </c>
      <c r="AN4">
        <v>2.7777777777777772</v>
      </c>
    </row>
    <row r="5" spans="1:40" x14ac:dyDescent="0.3">
      <c r="B5">
        <v>53</v>
      </c>
      <c r="C5">
        <v>47</v>
      </c>
      <c r="D5">
        <v>2</v>
      </c>
      <c r="E5">
        <v>98</v>
      </c>
      <c r="G5">
        <v>40</v>
      </c>
      <c r="H5">
        <v>60</v>
      </c>
      <c r="I5">
        <v>4</v>
      </c>
      <c r="J5">
        <v>96</v>
      </c>
      <c r="L5">
        <v>15</v>
      </c>
      <c r="M5">
        <v>85</v>
      </c>
      <c r="N5">
        <v>2</v>
      </c>
      <c r="O5">
        <v>98</v>
      </c>
      <c r="Q5">
        <f t="shared" si="0"/>
        <v>24.5</v>
      </c>
      <c r="R5">
        <f t="shared" si="1"/>
        <v>32</v>
      </c>
      <c r="S5">
        <f t="shared" si="2"/>
        <v>43.5</v>
      </c>
      <c r="T5">
        <f t="shared" si="3"/>
        <v>33.333333333333336</v>
      </c>
      <c r="U5">
        <f t="shared" si="4"/>
        <v>24.5</v>
      </c>
      <c r="V5">
        <f t="shared" si="5"/>
        <v>2.9444444444444451</v>
      </c>
    </row>
    <row r="6" spans="1:40" x14ac:dyDescent="0.3">
      <c r="B6">
        <v>71</v>
      </c>
      <c r="C6">
        <v>29</v>
      </c>
      <c r="D6">
        <v>4</v>
      </c>
      <c r="E6">
        <v>96</v>
      </c>
      <c r="G6">
        <v>64</v>
      </c>
      <c r="H6">
        <v>36</v>
      </c>
      <c r="I6">
        <v>3</v>
      </c>
      <c r="J6">
        <v>97</v>
      </c>
      <c r="L6">
        <v>27</v>
      </c>
      <c r="M6">
        <v>73</v>
      </c>
      <c r="N6">
        <v>8</v>
      </c>
      <c r="O6">
        <v>92</v>
      </c>
      <c r="Q6">
        <f t="shared" si="0"/>
        <v>16.5</v>
      </c>
      <c r="R6">
        <f t="shared" si="1"/>
        <v>19.5</v>
      </c>
      <c r="S6">
        <f t="shared" si="2"/>
        <v>40.5</v>
      </c>
      <c r="T6">
        <f t="shared" si="3"/>
        <v>25.5</v>
      </c>
      <c r="U6">
        <f t="shared" si="4"/>
        <v>16.5</v>
      </c>
      <c r="V6">
        <f t="shared" si="5"/>
        <v>3</v>
      </c>
    </row>
    <row r="8" spans="1:40" x14ac:dyDescent="0.3">
      <c r="A8" t="s">
        <v>43</v>
      </c>
    </row>
    <row r="9" spans="1:40" x14ac:dyDescent="0.3">
      <c r="A9" t="s">
        <v>22</v>
      </c>
    </row>
    <row r="10" spans="1:40" x14ac:dyDescent="0.3">
      <c r="B10">
        <v>56</v>
      </c>
      <c r="C10">
        <v>44</v>
      </c>
      <c r="D10">
        <v>2</v>
      </c>
      <c r="E10">
        <v>98</v>
      </c>
      <c r="G10">
        <v>52</v>
      </c>
      <c r="H10">
        <v>48</v>
      </c>
      <c r="I10">
        <v>3</v>
      </c>
      <c r="J10">
        <v>97</v>
      </c>
      <c r="L10">
        <v>39</v>
      </c>
      <c r="M10">
        <v>61</v>
      </c>
      <c r="N10">
        <v>16</v>
      </c>
      <c r="O10">
        <v>84</v>
      </c>
      <c r="Q10">
        <f t="shared" si="0"/>
        <v>23</v>
      </c>
      <c r="R10">
        <f t="shared" si="1"/>
        <v>25.5</v>
      </c>
      <c r="S10">
        <f t="shared" si="2"/>
        <v>38.5</v>
      </c>
      <c r="T10">
        <f t="shared" si="3"/>
        <v>29</v>
      </c>
      <c r="U10">
        <f t="shared" si="4"/>
        <v>23</v>
      </c>
      <c r="V10">
        <f t="shared" si="5"/>
        <v>2</v>
      </c>
      <c r="W10">
        <f>AVERAGE(Q10:Q13)</f>
        <v>24.75</v>
      </c>
      <c r="X10">
        <f>_xlfn.STDEV.S(Q10:Q13)</f>
        <v>4.9074772881118189</v>
      </c>
      <c r="Y10">
        <f>AVERAGE(R10:R13)</f>
        <v>28</v>
      </c>
      <c r="Z10">
        <f>_xlfn.STDEV.S(R10:R13)</f>
        <v>5.7879184513951127</v>
      </c>
      <c r="AA10">
        <f>AVERAGE(S10:S13)</f>
        <v>42.625</v>
      </c>
      <c r="AB10">
        <f>_xlfn.STDEV.S(S10:S13)</f>
        <v>4.4976845895045452</v>
      </c>
      <c r="AC10">
        <f>AVERAGE(T10:T13)</f>
        <v>31.791666666666664</v>
      </c>
      <c r="AD10">
        <f>_xlfn.STDEV.S(T10:T13)</f>
        <v>2.6644956440266587</v>
      </c>
      <c r="AE10">
        <f>AVERAGE(V10:V13)</f>
        <v>3.1388888888888888</v>
      </c>
      <c r="AF10">
        <f>_xlfn.STDEV.S(V10:V13)</f>
        <v>0.90324062209312594</v>
      </c>
    </row>
    <row r="11" spans="1:40" x14ac:dyDescent="0.3">
      <c r="B11">
        <v>48</v>
      </c>
      <c r="C11">
        <v>52</v>
      </c>
      <c r="D11">
        <v>1</v>
      </c>
      <c r="E11">
        <v>99</v>
      </c>
      <c r="G11">
        <v>35</v>
      </c>
      <c r="H11">
        <v>65</v>
      </c>
      <c r="I11">
        <v>0</v>
      </c>
      <c r="J11">
        <v>100</v>
      </c>
      <c r="L11">
        <v>12</v>
      </c>
      <c r="M11">
        <v>88</v>
      </c>
      <c r="N11">
        <v>4</v>
      </c>
      <c r="O11">
        <v>96</v>
      </c>
      <c r="Q11">
        <f t="shared" si="0"/>
        <v>26.5</v>
      </c>
      <c r="R11">
        <f t="shared" si="1"/>
        <v>32.5</v>
      </c>
      <c r="S11">
        <f t="shared" si="2"/>
        <v>46</v>
      </c>
      <c r="T11">
        <f t="shared" si="3"/>
        <v>35</v>
      </c>
      <c r="U11">
        <f t="shared" si="4"/>
        <v>26.5</v>
      </c>
      <c r="V11">
        <f t="shared" si="5"/>
        <v>2.833333333333333</v>
      </c>
    </row>
    <row r="12" spans="1:40" x14ac:dyDescent="0.3">
      <c r="B12">
        <v>64</v>
      </c>
      <c r="C12">
        <v>36</v>
      </c>
      <c r="D12">
        <v>2</v>
      </c>
      <c r="E12">
        <v>98</v>
      </c>
      <c r="G12">
        <v>39</v>
      </c>
      <c r="H12">
        <v>61</v>
      </c>
      <c r="I12">
        <v>5</v>
      </c>
      <c r="J12">
        <v>95</v>
      </c>
      <c r="L12">
        <v>29</v>
      </c>
      <c r="M12">
        <v>71</v>
      </c>
      <c r="N12">
        <v>7</v>
      </c>
      <c r="O12">
        <v>93</v>
      </c>
      <c r="Q12">
        <f t="shared" si="0"/>
        <v>19</v>
      </c>
      <c r="R12">
        <f t="shared" si="1"/>
        <v>33</v>
      </c>
      <c r="S12">
        <f t="shared" si="2"/>
        <v>39</v>
      </c>
      <c r="T12">
        <f t="shared" si="3"/>
        <v>30.333333333333332</v>
      </c>
      <c r="U12">
        <f t="shared" si="4"/>
        <v>19</v>
      </c>
      <c r="V12">
        <f t="shared" si="5"/>
        <v>3.7777777777777772</v>
      </c>
    </row>
    <row r="13" spans="1:40" x14ac:dyDescent="0.3">
      <c r="B13">
        <v>40</v>
      </c>
      <c r="C13">
        <v>60</v>
      </c>
      <c r="D13">
        <v>1</v>
      </c>
      <c r="E13">
        <v>99</v>
      </c>
      <c r="G13">
        <v>58</v>
      </c>
      <c r="H13">
        <v>42</v>
      </c>
      <c r="I13">
        <v>0</v>
      </c>
      <c r="J13">
        <v>100</v>
      </c>
      <c r="L13">
        <v>6</v>
      </c>
      <c r="M13">
        <v>94</v>
      </c>
      <c r="N13">
        <v>0</v>
      </c>
      <c r="O13">
        <v>100</v>
      </c>
      <c r="Q13">
        <f t="shared" si="0"/>
        <v>30.5</v>
      </c>
      <c r="R13">
        <f t="shared" si="1"/>
        <v>21</v>
      </c>
      <c r="S13">
        <f t="shared" si="2"/>
        <v>47</v>
      </c>
      <c r="T13">
        <f t="shared" si="3"/>
        <v>32.833333333333336</v>
      </c>
      <c r="U13">
        <f t="shared" si="4"/>
        <v>21</v>
      </c>
      <c r="V13">
        <f t="shared" si="5"/>
        <v>3.9444444444444451</v>
      </c>
    </row>
    <row r="15" spans="1:40" x14ac:dyDescent="0.3">
      <c r="A15" t="s">
        <v>44</v>
      </c>
    </row>
    <row r="16" spans="1:40" x14ac:dyDescent="0.3">
      <c r="A16" t="s">
        <v>22</v>
      </c>
    </row>
    <row r="17" spans="1:32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AVERAGE(Q17:Q20)</f>
        <v>#DIV/0!</v>
      </c>
      <c r="X17" t="e">
        <f>_xlfn.STDEV.S(Q17:Q20)</f>
        <v>#DIV/0!</v>
      </c>
      <c r="Y17" t="e">
        <f>AVERAGE(R17:R20)</f>
        <v>#DIV/0!</v>
      </c>
      <c r="Z17" t="e">
        <f>_xlfn.STDEV.S(R17:R20)</f>
        <v>#DIV/0!</v>
      </c>
      <c r="AA17" t="e">
        <f>AVERAGE(S17:S20)</f>
        <v>#DIV/0!</v>
      </c>
      <c r="AB17" t="e">
        <f>_xlfn.STDEV.S(S17:S20)</f>
        <v>#DIV/0!</v>
      </c>
      <c r="AC17" t="e">
        <f>AVERAGE(T17:T20)</f>
        <v>#DIV/0!</v>
      </c>
      <c r="AD17" t="e">
        <f>_xlfn.STDEV.S(T17:T20)</f>
        <v>#DIV/0!</v>
      </c>
      <c r="AE17" t="e">
        <f>AVERAGE(V17:V20)</f>
        <v>#DIV/0!</v>
      </c>
      <c r="AF17" t="e">
        <f>_xlfn.STDEV.S(V17:V20)</f>
        <v>#DIV/0!</v>
      </c>
    </row>
    <row r="18" spans="1:32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32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32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32" x14ac:dyDescent="0.3">
      <c r="A22" t="s">
        <v>45</v>
      </c>
    </row>
    <row r="23" spans="1:32" x14ac:dyDescent="0.3">
      <c r="A23" t="s">
        <v>22</v>
      </c>
    </row>
    <row r="24" spans="1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AVERAGE(Q24:Q27)</f>
        <v>#DIV/0!</v>
      </c>
      <c r="X24" t="e">
        <f>_xlfn.STDEV.S(Q24:Q27)</f>
        <v>#DIV/0!</v>
      </c>
      <c r="Y24" t="e">
        <f>AVERAGE(R24:R27)</f>
        <v>#DIV/0!</v>
      </c>
      <c r="Z24" t="e">
        <f>_xlfn.STDEV.S(R24:R27)</f>
        <v>#DIV/0!</v>
      </c>
      <c r="AA24" t="e">
        <f>AVERAGE(S24:S27)</f>
        <v>#DIV/0!</v>
      </c>
      <c r="AB24" t="e">
        <f>_xlfn.STDEV.S(S24:S27)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32" x14ac:dyDescent="0.3">
      <c r="A30" t="s">
        <v>46</v>
      </c>
    </row>
    <row r="31" spans="1:32" x14ac:dyDescent="0.3">
      <c r="A31" t="s">
        <v>22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  <c r="W32" t="e">
        <f>AVERAGE(Q32:Q37)</f>
        <v>#DIV/0!</v>
      </c>
      <c r="X32" t="e">
        <f>_xlfn.STDEV.S(Q32:Q37)</f>
        <v>#DIV/0!</v>
      </c>
      <c r="Y32" t="e">
        <f>AVERAGE(R32:R37)</f>
        <v>#DIV/0!</v>
      </c>
      <c r="Z32" t="e">
        <f>_xlfn.STDEV.S(R32:R37)</f>
        <v>#DIV/0!</v>
      </c>
      <c r="AA32" t="e">
        <f>AVERAGE(S32:S37)</f>
        <v>#DIV/0!</v>
      </c>
      <c r="AB32" t="e">
        <f>_xlfn.STDEV.S(S32:S37)</f>
        <v>#DIV/0!</v>
      </c>
      <c r="AC32" t="e">
        <f>AVERAGE(T32:T37)</f>
        <v>#DIV/0!</v>
      </c>
      <c r="AD32" t="e">
        <f>_xlfn.STDEV.S(T32:T37)</f>
        <v>#DIV/0!</v>
      </c>
      <c r="AE32" t="e">
        <f>AVERAGE(V32:V37)</f>
        <v>#DIV/0!</v>
      </c>
      <c r="AF32" t="e">
        <f>_xlfn.STDEV.S(V32:V37)</f>
        <v>#DIV/0!</v>
      </c>
    </row>
    <row r="33" spans="1:3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9" spans="1:32" x14ac:dyDescent="0.3">
      <c r="A39" t="s">
        <v>74</v>
      </c>
      <c r="Q39" t="s">
        <v>75</v>
      </c>
      <c r="R39" t="s">
        <v>76</v>
      </c>
      <c r="S39" t="s">
        <v>77</v>
      </c>
      <c r="T39" t="s">
        <v>15</v>
      </c>
      <c r="U39" t="s">
        <v>78</v>
      </c>
      <c r="V39" t="s">
        <v>14</v>
      </c>
      <c r="W39" t="s">
        <v>5</v>
      </c>
      <c r="X39" t="s">
        <v>51</v>
      </c>
      <c r="Y39" t="s">
        <v>7</v>
      </c>
      <c r="Z39" t="s">
        <v>52</v>
      </c>
      <c r="AA39" t="s">
        <v>9</v>
      </c>
      <c r="AB39" t="s">
        <v>53</v>
      </c>
      <c r="AC39" t="s">
        <v>1</v>
      </c>
      <c r="AD39" t="s">
        <v>16</v>
      </c>
      <c r="AE39" t="s">
        <v>18</v>
      </c>
      <c r="AF39" t="s">
        <v>19</v>
      </c>
    </row>
    <row r="40" spans="1:32" x14ac:dyDescent="0.3">
      <c r="B40">
        <v>80</v>
      </c>
      <c r="C40">
        <v>20</v>
      </c>
      <c r="D40">
        <v>18</v>
      </c>
      <c r="E40">
        <v>82</v>
      </c>
      <c r="G40">
        <v>56</v>
      </c>
      <c r="H40">
        <v>44</v>
      </c>
      <c r="I40">
        <v>8</v>
      </c>
      <c r="J40">
        <v>92</v>
      </c>
      <c r="L40">
        <v>67</v>
      </c>
      <c r="M40">
        <v>33</v>
      </c>
      <c r="N40">
        <v>21</v>
      </c>
      <c r="O40">
        <v>79</v>
      </c>
      <c r="Q40">
        <f>AVERAGE(C40:D40)</f>
        <v>19</v>
      </c>
      <c r="R40">
        <f>AVERAGE(H40:I40)</f>
        <v>26</v>
      </c>
      <c r="S40">
        <f>AVERAGE(M40:N40)</f>
        <v>27</v>
      </c>
      <c r="T40">
        <f>AVERAGE(Q40:S40)</f>
        <v>24</v>
      </c>
      <c r="U40">
        <f>MIN(Q40:S40)</f>
        <v>19</v>
      </c>
      <c r="V40">
        <f>T40-U40</f>
        <v>5</v>
      </c>
      <c r="W40">
        <f>AVERAGE(Q40:Q41)</f>
        <v>15.25</v>
      </c>
      <c r="X40">
        <f>_xlfn.STDEV.S(Q40:Q41)</f>
        <v>5.3033008588991066</v>
      </c>
      <c r="Y40">
        <f>AVERAGE(R40:R41)</f>
        <v>24.25</v>
      </c>
      <c r="Z40">
        <f>_xlfn.STDEV.S(R40:R41)</f>
        <v>2.4748737341529163</v>
      </c>
      <c r="AA40">
        <f>AVERAGE(S40:S41)</f>
        <v>28</v>
      </c>
      <c r="AB40">
        <f>_xlfn.STDEV.S(S40:S41)</f>
        <v>1.4142135623730951</v>
      </c>
      <c r="AC40">
        <f>AVERAGE(T40,T41)</f>
        <v>22.5</v>
      </c>
      <c r="AD40">
        <f>_xlfn.STDEV.S(T40:T41)</f>
        <v>2.1213203435596424</v>
      </c>
      <c r="AE40">
        <f>AVERAGE(V40:V41)</f>
        <v>7.25</v>
      </c>
      <c r="AF40">
        <f>_xlfn.STDEV.S(V40:V41)</f>
        <v>3.1819805153394638</v>
      </c>
    </row>
    <row r="41" spans="1:32" x14ac:dyDescent="0.3">
      <c r="B41">
        <v>85</v>
      </c>
      <c r="C41">
        <v>15</v>
      </c>
      <c r="D41">
        <v>8</v>
      </c>
      <c r="E41">
        <v>92</v>
      </c>
      <c r="G41">
        <v>58</v>
      </c>
      <c r="H41">
        <v>42</v>
      </c>
      <c r="I41">
        <v>3</v>
      </c>
      <c r="J41">
        <v>97</v>
      </c>
      <c r="L41">
        <v>67</v>
      </c>
      <c r="M41">
        <v>33</v>
      </c>
      <c r="N41">
        <v>25</v>
      </c>
      <c r="O41">
        <v>75</v>
      </c>
      <c r="Q41">
        <f>AVERAGE(C41:D41)</f>
        <v>11.5</v>
      </c>
      <c r="R41">
        <f>AVERAGE(H41:I41)</f>
        <v>22.5</v>
      </c>
      <c r="S41">
        <f>AVERAGE(M41:N41)</f>
        <v>29</v>
      </c>
      <c r="T41">
        <f>AVERAGE(Q41:S41)</f>
        <v>21</v>
      </c>
      <c r="U41">
        <f>MIN(Q41:S41)</f>
        <v>11.5</v>
      </c>
      <c r="V41">
        <f>T41-U41</f>
        <v>9.5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L41"/>
  <sheetViews>
    <sheetView topLeftCell="N29" workbookViewId="0">
      <selection activeCell="Q39" sqref="Q39:AF39"/>
    </sheetView>
  </sheetViews>
  <sheetFormatPr defaultRowHeight="14.4" x14ac:dyDescent="0.3"/>
  <cols>
    <col min="28" max="28" width="26.88671875" customWidth="1"/>
    <col min="32" max="32" width="20.88671875" customWidth="1"/>
  </cols>
  <sheetData>
    <row r="1" spans="1:38" x14ac:dyDescent="0.3">
      <c r="A1" t="s">
        <v>42</v>
      </c>
    </row>
    <row r="2" spans="1:38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1</v>
      </c>
      <c r="X2" t="s">
        <v>16</v>
      </c>
      <c r="Y2" t="s">
        <v>18</v>
      </c>
      <c r="Z2" t="s">
        <v>19</v>
      </c>
      <c r="AB2" t="s">
        <v>37</v>
      </c>
      <c r="AC2" t="s">
        <v>1</v>
      </c>
      <c r="AD2" t="s">
        <v>18</v>
      </c>
      <c r="AF2" t="s">
        <v>40</v>
      </c>
      <c r="AG2" t="s">
        <v>1</v>
      </c>
      <c r="AH2" t="s">
        <v>18</v>
      </c>
    </row>
    <row r="3" spans="1:38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W3" t="e">
        <f>AVERAGE(T3:T6)</f>
        <v>#DIV/0!</v>
      </c>
      <c r="X3" t="e">
        <f>_xlfn.STDEV.S(T3:T6)</f>
        <v>#DIV/0!</v>
      </c>
      <c r="Y3" t="e">
        <f>AVERAGE(V3:V6)</f>
        <v>#DIV/0!</v>
      </c>
      <c r="Z3" t="e">
        <f>_xlfn.STDEV.S(V3:V6)</f>
        <v>#DIV/0!</v>
      </c>
      <c r="AB3" t="s">
        <v>47</v>
      </c>
      <c r="AF3" t="s">
        <v>48</v>
      </c>
    </row>
    <row r="4" spans="1:38" x14ac:dyDescent="0.3">
      <c r="Q4" t="e">
        <f t="shared" ref="Q4:Q27" si="0">AVERAGE(C4,D4)</f>
        <v>#DIV/0!</v>
      </c>
      <c r="R4" t="e">
        <f t="shared" ref="R4:R27" si="1">AVERAGE(H4,I4)</f>
        <v>#DIV/0!</v>
      </c>
      <c r="S4" t="e">
        <f t="shared" ref="S4:S27" si="2">AVERAGE(M4,N4)</f>
        <v>#DIV/0!</v>
      </c>
      <c r="T4" t="e">
        <f t="shared" ref="T4:T27" si="3">AVERAGE(Q4:S4)</f>
        <v>#DIV/0!</v>
      </c>
      <c r="U4" t="e">
        <f t="shared" ref="U4:U27" si="4">MIN(Q4:S4)</f>
        <v>#DIV/0!</v>
      </c>
      <c r="V4" t="e">
        <f t="shared" ref="V4:V27" si="5">(1/3)*(T4-U4)</f>
        <v>#DIV/0!</v>
      </c>
      <c r="AB4" t="s">
        <v>49</v>
      </c>
      <c r="AC4">
        <v>28.041666666666668</v>
      </c>
      <c r="AD4">
        <v>2.5972222222222219</v>
      </c>
      <c r="AF4" t="s">
        <v>49</v>
      </c>
      <c r="AG4">
        <v>28.041666666666668</v>
      </c>
      <c r="AH4">
        <v>2.5972222222222219</v>
      </c>
    </row>
    <row r="5" spans="1:38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</row>
    <row r="6" spans="1:38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C6" t="s">
        <v>5</v>
      </c>
      <c r="AD6" t="s">
        <v>51</v>
      </c>
      <c r="AE6" t="s">
        <v>7</v>
      </c>
      <c r="AF6" t="s">
        <v>52</v>
      </c>
      <c r="AG6" t="s">
        <v>9</v>
      </c>
      <c r="AH6" t="s">
        <v>53</v>
      </c>
      <c r="AI6" t="s">
        <v>1</v>
      </c>
      <c r="AJ6" t="s">
        <v>16</v>
      </c>
      <c r="AK6" t="s">
        <v>18</v>
      </c>
      <c r="AL6" t="s">
        <v>19</v>
      </c>
    </row>
    <row r="7" spans="1:38" x14ac:dyDescent="0.3">
      <c r="AB7" t="s">
        <v>49</v>
      </c>
      <c r="AC7" t="e">
        <f>AVERAGE(Q17:Q20)</f>
        <v>#DIV/0!</v>
      </c>
      <c r="AD7" t="e">
        <f>_xlfn.STDEV.S(Q17:Q20)</f>
        <v>#DIV/0!</v>
      </c>
      <c r="AE7" t="e">
        <f>AVERAGE(R17:R20)</f>
        <v>#DIV/0!</v>
      </c>
      <c r="AF7" t="e">
        <f>_xlfn.STDEV.S(R17:R20)</f>
        <v>#DIV/0!</v>
      </c>
      <c r="AG7" t="e">
        <f>AVERAGE(S17:S20)</f>
        <v>#DIV/0!</v>
      </c>
      <c r="AH7" t="e">
        <f>_xlfn.STDEV.S(S17:S20)</f>
        <v>#DIV/0!</v>
      </c>
      <c r="AI7">
        <v>28.041666666666668</v>
      </c>
      <c r="AJ7">
        <v>3.0103986446980731</v>
      </c>
      <c r="AK7">
        <v>2.5972222222222219</v>
      </c>
      <c r="AL7">
        <v>0.62915286960589489</v>
      </c>
    </row>
    <row r="8" spans="1:38" x14ac:dyDescent="0.3">
      <c r="A8" t="s">
        <v>43</v>
      </c>
    </row>
    <row r="9" spans="1:38" x14ac:dyDescent="0.3">
      <c r="A9" t="s">
        <v>22</v>
      </c>
    </row>
    <row r="10" spans="1:38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  <c r="W10" t="e">
        <f>AVERAGE(T10:T13)</f>
        <v>#DIV/0!</v>
      </c>
      <c r="X10" t="e">
        <f>_xlfn.STDEV.S(T10:T13)</f>
        <v>#DIV/0!</v>
      </c>
      <c r="Y10" t="e">
        <f>AVERAGE(V10:V13)</f>
        <v>#DIV/0!</v>
      </c>
      <c r="Z10" t="e">
        <f>_xlfn.STDEV.S(V10:V13)</f>
        <v>#DIV/0!</v>
      </c>
    </row>
    <row r="11" spans="1:38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38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3" spans="1:38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</row>
    <row r="15" spans="1:38" x14ac:dyDescent="0.3">
      <c r="A15" t="s">
        <v>44</v>
      </c>
    </row>
    <row r="16" spans="1:38" x14ac:dyDescent="0.3">
      <c r="A16" t="s">
        <v>22</v>
      </c>
    </row>
    <row r="17" spans="1:26" x14ac:dyDescent="0.3">
      <c r="Q17" t="e">
        <f t="shared" si="0"/>
        <v>#DIV/0!</v>
      </c>
      <c r="R17" t="e">
        <f t="shared" si="1"/>
        <v>#DIV/0!</v>
      </c>
      <c r="S17" t="e">
        <f t="shared" si="2"/>
        <v>#DIV/0!</v>
      </c>
      <c r="T17" t="e">
        <f t="shared" si="3"/>
        <v>#DIV/0!</v>
      </c>
      <c r="U17" t="e">
        <f t="shared" si="4"/>
        <v>#DIV/0!</v>
      </c>
      <c r="V17" t="e">
        <f t="shared" si="5"/>
        <v>#DIV/0!</v>
      </c>
      <c r="W17" t="e">
        <f>AVERAGE(T17:T20)</f>
        <v>#DIV/0!</v>
      </c>
      <c r="X17" t="e">
        <f>_xlfn.STDEV.S(T17:T20)</f>
        <v>#DIV/0!</v>
      </c>
      <c r="Y17" t="e">
        <f>AVERAGE(V17:V20)</f>
        <v>#DIV/0!</v>
      </c>
      <c r="Z17" t="e">
        <f>_xlfn.STDEV.S(V17:V20)</f>
        <v>#DIV/0!</v>
      </c>
    </row>
    <row r="18" spans="1:26" x14ac:dyDescent="0.3">
      <c r="Q18" t="e">
        <f t="shared" si="0"/>
        <v>#DIV/0!</v>
      </c>
      <c r="R18" t="e">
        <f t="shared" si="1"/>
        <v>#DIV/0!</v>
      </c>
      <c r="S18" t="e">
        <f t="shared" si="2"/>
        <v>#DIV/0!</v>
      </c>
      <c r="T18" t="e">
        <f t="shared" si="3"/>
        <v>#DIV/0!</v>
      </c>
      <c r="U18" t="e">
        <f t="shared" si="4"/>
        <v>#DIV/0!</v>
      </c>
      <c r="V18" t="e">
        <f t="shared" si="5"/>
        <v>#DIV/0!</v>
      </c>
    </row>
    <row r="19" spans="1:26" x14ac:dyDescent="0.3">
      <c r="Q19" t="e">
        <f t="shared" si="0"/>
        <v>#DIV/0!</v>
      </c>
      <c r="R19" t="e">
        <f t="shared" si="1"/>
        <v>#DIV/0!</v>
      </c>
      <c r="S19" t="e">
        <f t="shared" si="2"/>
        <v>#DIV/0!</v>
      </c>
      <c r="T19" t="e">
        <f t="shared" si="3"/>
        <v>#DIV/0!</v>
      </c>
      <c r="U19" t="e">
        <f t="shared" si="4"/>
        <v>#DIV/0!</v>
      </c>
      <c r="V19" t="e">
        <f t="shared" si="5"/>
        <v>#DIV/0!</v>
      </c>
    </row>
    <row r="20" spans="1:26" x14ac:dyDescent="0.3">
      <c r="Q20" t="e">
        <f t="shared" si="0"/>
        <v>#DIV/0!</v>
      </c>
      <c r="R20" t="e">
        <f t="shared" si="1"/>
        <v>#DIV/0!</v>
      </c>
      <c r="S20" t="e">
        <f t="shared" si="2"/>
        <v>#DIV/0!</v>
      </c>
      <c r="T20" t="e">
        <f t="shared" si="3"/>
        <v>#DIV/0!</v>
      </c>
      <c r="U20" t="e">
        <f t="shared" si="4"/>
        <v>#DIV/0!</v>
      </c>
      <c r="V20" t="e">
        <f t="shared" si="5"/>
        <v>#DIV/0!</v>
      </c>
    </row>
    <row r="22" spans="1:26" x14ac:dyDescent="0.3">
      <c r="A22" t="s">
        <v>45</v>
      </c>
    </row>
    <row r="23" spans="1:26" x14ac:dyDescent="0.3">
      <c r="A23" t="s">
        <v>22</v>
      </c>
    </row>
    <row r="24" spans="1:26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 t="shared" si="5"/>
        <v>#DIV/0!</v>
      </c>
      <c r="W24" t="e">
        <f>AVERAGE(T24:T27)</f>
        <v>#DIV/0!</v>
      </c>
      <c r="X24" t="e">
        <f>_xlfn.STDEV.S(T24:T27)</f>
        <v>#DIV/0!</v>
      </c>
      <c r="Y24" t="e">
        <f>AVERAGE(V24:V27)</f>
        <v>#DIV/0!</v>
      </c>
      <c r="Z24" t="e">
        <f>_xlfn.STDEV.S(V24:V27)</f>
        <v>#DIV/0!</v>
      </c>
    </row>
    <row r="25" spans="1:26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 t="shared" si="5"/>
        <v>#DIV/0!</v>
      </c>
    </row>
    <row r="26" spans="1:26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</row>
    <row r="27" spans="1:26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30" spans="1:26" x14ac:dyDescent="0.3">
      <c r="A30" t="s">
        <v>46</v>
      </c>
    </row>
    <row r="31" spans="1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:3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:3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:3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:3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  <row r="39" spans="1:32" x14ac:dyDescent="0.3">
      <c r="A39" t="s">
        <v>74</v>
      </c>
      <c r="Q39" t="s">
        <v>75</v>
      </c>
      <c r="R39" t="s">
        <v>76</v>
      </c>
      <c r="S39" t="s">
        <v>77</v>
      </c>
      <c r="T39" t="s">
        <v>15</v>
      </c>
      <c r="U39" t="s">
        <v>78</v>
      </c>
      <c r="V39" t="s">
        <v>14</v>
      </c>
      <c r="W39" t="s">
        <v>5</v>
      </c>
      <c r="X39" t="s">
        <v>51</v>
      </c>
      <c r="Y39" t="s">
        <v>7</v>
      </c>
      <c r="Z39" t="s">
        <v>52</v>
      </c>
      <c r="AA39" t="s">
        <v>9</v>
      </c>
      <c r="AB39" t="s">
        <v>53</v>
      </c>
      <c r="AC39" t="s">
        <v>1</v>
      </c>
      <c r="AD39" t="s">
        <v>16</v>
      </c>
      <c r="AE39" t="s">
        <v>18</v>
      </c>
      <c r="AF39" t="s">
        <v>19</v>
      </c>
    </row>
    <row r="40" spans="1:32" x14ac:dyDescent="0.3">
      <c r="B40">
        <v>78</v>
      </c>
      <c r="C40">
        <v>22</v>
      </c>
      <c r="D40">
        <v>21</v>
      </c>
      <c r="E40">
        <v>79</v>
      </c>
      <c r="G40">
        <v>72</v>
      </c>
      <c r="H40">
        <v>28</v>
      </c>
      <c r="I40">
        <v>6</v>
      </c>
      <c r="J40">
        <v>94</v>
      </c>
      <c r="L40">
        <v>67</v>
      </c>
      <c r="M40">
        <v>33</v>
      </c>
      <c r="N40">
        <v>33</v>
      </c>
      <c r="O40">
        <v>67</v>
      </c>
      <c r="Q40">
        <f>AVERAGE(C40:D40)</f>
        <v>21.5</v>
      </c>
      <c r="R40">
        <f>AVERAGE(H40:I40)</f>
        <v>17</v>
      </c>
      <c r="S40">
        <f>AVERAGE(M40:N40)</f>
        <v>33</v>
      </c>
      <c r="T40">
        <f>AVERAGE(Q40:S40)</f>
        <v>23.833333333333332</v>
      </c>
      <c r="U40">
        <f>MIN(Q40:S40)</f>
        <v>17</v>
      </c>
      <c r="V40">
        <f>T40-U40</f>
        <v>6.8333333333333321</v>
      </c>
      <c r="W40">
        <f>AVERAGE(Q40:Q41)</f>
        <v>18.75</v>
      </c>
      <c r="X40">
        <f>_xlfn.STDEV.S(Q40:Q41)</f>
        <v>3.8890872965260113</v>
      </c>
      <c r="Y40">
        <f>AVERAGE(R40:R41)</f>
        <v>22.75</v>
      </c>
      <c r="Z40">
        <f>_xlfn.STDEV.S(R40:R41)</f>
        <v>8.1317279836452965</v>
      </c>
      <c r="AA40">
        <f>AVERAGE(S40:S41)</f>
        <v>32.25</v>
      </c>
      <c r="AB40">
        <f>_xlfn.STDEV.S(S40:S41)</f>
        <v>1.0606601717798212</v>
      </c>
      <c r="AC40">
        <f>AVERAGE(T40:T41)</f>
        <v>24.583333333333332</v>
      </c>
      <c r="AD40">
        <f>_xlfn.STDEV.S(T40:T41)</f>
        <v>1.0606601717798212</v>
      </c>
      <c r="AE40">
        <f>AVERAGE(V40:V41)</f>
        <v>8.0833333333333321</v>
      </c>
      <c r="AF40">
        <f>_xlfn.STDEV.S(V40,V41)</f>
        <v>1.7677669529663689</v>
      </c>
    </row>
    <row r="41" spans="1:32" x14ac:dyDescent="0.3">
      <c r="B41">
        <v>81</v>
      </c>
      <c r="C41">
        <v>19</v>
      </c>
      <c r="D41">
        <v>13</v>
      </c>
      <c r="E41">
        <v>87</v>
      </c>
      <c r="G41">
        <v>50</v>
      </c>
      <c r="H41">
        <v>50</v>
      </c>
      <c r="I41">
        <v>7</v>
      </c>
      <c r="J41">
        <v>93</v>
      </c>
      <c r="L41">
        <v>63</v>
      </c>
      <c r="M41">
        <v>37</v>
      </c>
      <c r="N41">
        <v>26</v>
      </c>
      <c r="O41">
        <v>74</v>
      </c>
      <c r="Q41">
        <f>AVERAGE(C41:D41)</f>
        <v>16</v>
      </c>
      <c r="R41">
        <f>AVERAGE(H41:I41)</f>
        <v>28.5</v>
      </c>
      <c r="S41">
        <f>AVERAGE(M41:N41)</f>
        <v>31.5</v>
      </c>
      <c r="T41">
        <f>AVERAGE(Q41:S41)</f>
        <v>25.333333333333332</v>
      </c>
      <c r="U41">
        <f>MIN(Q41:S41)</f>
        <v>16</v>
      </c>
      <c r="V41">
        <f>T41-U41</f>
        <v>9.3333333333333321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L1" workbookViewId="0">
      <selection activeCell="AE16" sqref="AE16:AF16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21</v>
      </c>
    </row>
    <row r="2" spans="1:44" x14ac:dyDescent="0.3">
      <c r="A2" t="s">
        <v>22</v>
      </c>
      <c r="F2" t="s">
        <v>23</v>
      </c>
      <c r="K2" t="s">
        <v>24</v>
      </c>
      <c r="Q2" t="s">
        <v>34</v>
      </c>
      <c r="R2" t="s">
        <v>35</v>
      </c>
      <c r="S2" t="s">
        <v>36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  <c r="AH2" t="s">
        <v>37</v>
      </c>
      <c r="AI2" t="s">
        <v>1</v>
      </c>
      <c r="AJ2" t="s">
        <v>18</v>
      </c>
      <c r="AL2" t="s">
        <v>40</v>
      </c>
      <c r="AM2" t="s">
        <v>1</v>
      </c>
      <c r="AN2" t="s">
        <v>18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 t="shared" ref="V3:V12" si="0"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38</v>
      </c>
      <c r="AL3" t="s">
        <v>41</v>
      </c>
    </row>
    <row r="4" spans="1:44" x14ac:dyDescent="0.3">
      <c r="Q4" t="e">
        <f t="shared" ref="Q4:Q67" si="1">AVERAGE(C4,D4)</f>
        <v>#DIV/0!</v>
      </c>
      <c r="R4" t="e">
        <f t="shared" ref="R4:R67" si="2">AVERAGE(H4:I4)</f>
        <v>#DIV/0!</v>
      </c>
      <c r="S4" t="e">
        <f t="shared" ref="S4:S67" si="3">AVERAGE(M4,N4)</f>
        <v>#DIV/0!</v>
      </c>
      <c r="T4" t="e">
        <f t="shared" ref="T4:T67" si="4">AVERAGE(Q4:S4)</f>
        <v>#DIV/0!</v>
      </c>
      <c r="U4" t="e">
        <f t="shared" ref="U4:U67" si="5">MIN(Q4:S4)</f>
        <v>#DIV/0!</v>
      </c>
      <c r="V4" t="e">
        <f t="shared" si="0"/>
        <v>#DIV/0!</v>
      </c>
      <c r="AH4" t="s">
        <v>32</v>
      </c>
      <c r="AI4">
        <v>19.472222222222225</v>
      </c>
      <c r="AJ4">
        <v>1.3518518518518519</v>
      </c>
      <c r="AL4" t="s">
        <v>32</v>
      </c>
      <c r="AM4">
        <v>19.472222222222225</v>
      </c>
      <c r="AN4">
        <v>1.3518518518518519</v>
      </c>
    </row>
    <row r="5" spans="1:44" x14ac:dyDescent="0.3">
      <c r="Q5" t="e">
        <f t="shared" si="1"/>
        <v>#DIV/0!</v>
      </c>
      <c r="R5" t="e">
        <f t="shared" si="2"/>
        <v>#DIV/0!</v>
      </c>
      <c r="S5" t="e">
        <f t="shared" si="3"/>
        <v>#DIV/0!</v>
      </c>
      <c r="T5" t="e">
        <f t="shared" si="4"/>
        <v>#DIV/0!</v>
      </c>
      <c r="U5" t="e">
        <f t="shared" si="5"/>
        <v>#DIV/0!</v>
      </c>
      <c r="V5" t="e">
        <f t="shared" si="0"/>
        <v>#DIV/0!</v>
      </c>
      <c r="AH5" t="s">
        <v>33</v>
      </c>
      <c r="AI5">
        <v>19.925925925925927</v>
      </c>
      <c r="AJ5">
        <v>1.7530864197530864</v>
      </c>
      <c r="AL5" t="s">
        <v>33</v>
      </c>
      <c r="AM5">
        <v>19.925925925925927</v>
      </c>
      <c r="AN5">
        <v>1.7530864197530864</v>
      </c>
    </row>
    <row r="6" spans="1:44" x14ac:dyDescent="0.3">
      <c r="Q6" t="e">
        <f t="shared" si="1"/>
        <v>#DIV/0!</v>
      </c>
      <c r="R6" t="e">
        <f t="shared" si="2"/>
        <v>#DIV/0!</v>
      </c>
      <c r="S6" t="e">
        <f t="shared" si="3"/>
        <v>#DIV/0!</v>
      </c>
      <c r="T6" t="e">
        <f t="shared" si="4"/>
        <v>#DIV/0!</v>
      </c>
      <c r="U6" t="e">
        <f t="shared" si="5"/>
        <v>#DIV/0!</v>
      </c>
      <c r="V6" t="e">
        <f t="shared" si="0"/>
        <v>#DIV/0!</v>
      </c>
      <c r="AL6" t="s">
        <v>30</v>
      </c>
      <c r="AM6">
        <v>20.333333333333332</v>
      </c>
      <c r="AN6">
        <v>1.7777777777777779</v>
      </c>
    </row>
    <row r="7" spans="1:44" x14ac:dyDescent="0.3">
      <c r="Q7" t="e">
        <f t="shared" si="1"/>
        <v>#DIV/0!</v>
      </c>
      <c r="R7" t="e">
        <f t="shared" si="2"/>
        <v>#DIV/0!</v>
      </c>
      <c r="S7" t="e">
        <f t="shared" si="3"/>
        <v>#DIV/0!</v>
      </c>
      <c r="T7" t="e">
        <f t="shared" si="4"/>
        <v>#DIV/0!</v>
      </c>
      <c r="U7" t="e">
        <f t="shared" si="5"/>
        <v>#DIV/0!</v>
      </c>
      <c r="V7" t="e">
        <f t="shared" si="0"/>
        <v>#DIV/0!</v>
      </c>
      <c r="AH7" t="s">
        <v>39</v>
      </c>
      <c r="AL7" t="s">
        <v>39</v>
      </c>
    </row>
    <row r="8" spans="1:44" x14ac:dyDescent="0.3">
      <c r="Q8" t="e">
        <f t="shared" si="1"/>
        <v>#DIV/0!</v>
      </c>
      <c r="R8" t="e">
        <f t="shared" si="2"/>
        <v>#DIV/0!</v>
      </c>
      <c r="S8" t="e">
        <f t="shared" si="3"/>
        <v>#DIV/0!</v>
      </c>
      <c r="T8" t="e">
        <f t="shared" si="4"/>
        <v>#DIV/0!</v>
      </c>
      <c r="U8" t="e">
        <f t="shared" si="5"/>
        <v>#DIV/0!</v>
      </c>
      <c r="V8" t="e">
        <f t="shared" si="0"/>
        <v>#DIV/0!</v>
      </c>
      <c r="AH8" t="s">
        <v>32</v>
      </c>
      <c r="AI8">
        <v>19.472222222222225</v>
      </c>
      <c r="AJ8">
        <v>1.3518518518518519</v>
      </c>
      <c r="AL8" t="s">
        <v>32</v>
      </c>
      <c r="AM8">
        <v>19.472222222222225</v>
      </c>
      <c r="AN8">
        <v>1.3518518518518519</v>
      </c>
    </row>
    <row r="9" spans="1:44" x14ac:dyDescent="0.3">
      <c r="Q9" t="e">
        <f t="shared" si="1"/>
        <v>#DIV/0!</v>
      </c>
      <c r="R9" t="e">
        <f t="shared" si="2"/>
        <v>#DIV/0!</v>
      </c>
      <c r="S9" t="e">
        <f t="shared" si="3"/>
        <v>#DIV/0!</v>
      </c>
      <c r="T9" t="e">
        <f t="shared" si="4"/>
        <v>#DIV/0!</v>
      </c>
      <c r="U9" t="e">
        <f t="shared" si="5"/>
        <v>#DIV/0!</v>
      </c>
      <c r="V9" t="e">
        <f t="shared" si="0"/>
        <v>#DIV/0!</v>
      </c>
    </row>
    <row r="10" spans="1:44" x14ac:dyDescent="0.3">
      <c r="Q10" t="e">
        <f t="shared" si="1"/>
        <v>#DIV/0!</v>
      </c>
      <c r="R10" t="e">
        <f t="shared" si="2"/>
        <v>#DIV/0!</v>
      </c>
      <c r="S10" t="e">
        <f t="shared" si="3"/>
        <v>#DIV/0!</v>
      </c>
      <c r="T10" t="e">
        <f t="shared" si="4"/>
        <v>#DIV/0!</v>
      </c>
      <c r="U10" t="e">
        <f t="shared" si="5"/>
        <v>#DIV/0!</v>
      </c>
      <c r="V10" t="e">
        <f t="shared" si="0"/>
        <v>#DIV/0!</v>
      </c>
    </row>
    <row r="11" spans="1:44" x14ac:dyDescent="0.3">
      <c r="Q11" t="e">
        <f t="shared" si="1"/>
        <v>#DIV/0!</v>
      </c>
      <c r="R11" t="e">
        <f t="shared" si="2"/>
        <v>#DIV/0!</v>
      </c>
      <c r="S11" t="e">
        <f t="shared" si="3"/>
        <v>#DIV/0!</v>
      </c>
      <c r="T11" t="e">
        <f t="shared" si="4"/>
        <v>#DIV/0!</v>
      </c>
      <c r="U11" t="e">
        <f t="shared" si="5"/>
        <v>#DIV/0!</v>
      </c>
      <c r="V11" t="e">
        <f t="shared" si="0"/>
        <v>#DIV/0!</v>
      </c>
      <c r="AI11" t="s">
        <v>5</v>
      </c>
      <c r="AJ11" t="s">
        <v>51</v>
      </c>
      <c r="AK11" t="s">
        <v>7</v>
      </c>
      <c r="AL11" t="s">
        <v>52</v>
      </c>
      <c r="AM11" t="s">
        <v>9</v>
      </c>
      <c r="AN11" t="s">
        <v>53</v>
      </c>
      <c r="AO11" t="s">
        <v>1</v>
      </c>
      <c r="AP11" t="s">
        <v>16</v>
      </c>
      <c r="AQ11" t="s">
        <v>18</v>
      </c>
      <c r="AR11" t="s">
        <v>19</v>
      </c>
    </row>
    <row r="12" spans="1:44" x14ac:dyDescent="0.3">
      <c r="Q12" t="e">
        <f t="shared" si="1"/>
        <v>#DIV/0!</v>
      </c>
      <c r="R12" t="e">
        <f t="shared" si="2"/>
        <v>#DIV/0!</v>
      </c>
      <c r="S12" t="e">
        <f t="shared" si="3"/>
        <v>#DIV/0!</v>
      </c>
      <c r="T12" t="e">
        <f t="shared" si="4"/>
        <v>#DIV/0!</v>
      </c>
      <c r="U12" t="e">
        <f t="shared" si="5"/>
        <v>#DIV/0!</v>
      </c>
      <c r="V12" t="e">
        <f t="shared" si="0"/>
        <v>#DIV/0!</v>
      </c>
      <c r="AH12" t="s">
        <v>20</v>
      </c>
      <c r="AI12">
        <f>AVERAGE(Q16:Q24)</f>
        <v>15.833333333333334</v>
      </c>
      <c r="AJ12">
        <f>_xlfn.STDEV.S(Q16:Q24)</f>
        <v>1.5275252316519468</v>
      </c>
      <c r="AK12">
        <f>AVERAGE(R16:R24)</f>
        <v>20.5</v>
      </c>
      <c r="AL12">
        <f>_xlfn.STDEV.S(R16:R24)</f>
        <v>0.8660254037844386</v>
      </c>
      <c r="AM12">
        <f>AVERAGE(S16:S24)</f>
        <v>30</v>
      </c>
      <c r="AN12">
        <f>_xlfn.STDEV.S(S16:S24)</f>
        <v>1.5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32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20</v>
      </c>
    </row>
    <row r="15" spans="1:44" x14ac:dyDescent="0.3">
      <c r="A15" t="s">
        <v>22</v>
      </c>
    </row>
    <row r="16" spans="1:44" x14ac:dyDescent="0.3">
      <c r="B16">
        <v>89</v>
      </c>
      <c r="C16">
        <v>11</v>
      </c>
      <c r="D16">
        <v>18</v>
      </c>
      <c r="E16">
        <v>82</v>
      </c>
      <c r="G16">
        <v>69</v>
      </c>
      <c r="H16">
        <v>31</v>
      </c>
      <c r="I16">
        <v>12</v>
      </c>
      <c r="J16">
        <v>88</v>
      </c>
      <c r="L16">
        <v>61</v>
      </c>
      <c r="M16">
        <v>39</v>
      </c>
      <c r="N16">
        <v>24</v>
      </c>
      <c r="O16">
        <v>76</v>
      </c>
      <c r="Q16">
        <f t="shared" si="1"/>
        <v>14.5</v>
      </c>
      <c r="R16">
        <f t="shared" si="2"/>
        <v>21.5</v>
      </c>
      <c r="S16">
        <f t="shared" si="3"/>
        <v>31.5</v>
      </c>
      <c r="T16">
        <f t="shared" si="4"/>
        <v>22.5</v>
      </c>
      <c r="U16">
        <f t="shared" si="5"/>
        <v>14.5</v>
      </c>
      <c r="V16">
        <f>(T16-U16)</f>
        <v>8</v>
      </c>
      <c r="W16">
        <f>AVERAGE(Q16:Q18)</f>
        <v>15.833333333333334</v>
      </c>
      <c r="X16">
        <f>_xlfn.STDEV.S(Q16:Q18)</f>
        <v>1.5275252316519468</v>
      </c>
      <c r="Y16">
        <f>AVERAGE(R16:R18)</f>
        <v>20.5</v>
      </c>
      <c r="Z16">
        <f>_xlfn.STDEV.S(R16:R18)</f>
        <v>0.8660254037844386</v>
      </c>
      <c r="AA16">
        <f>AVERAGE(S16:S18)</f>
        <v>30</v>
      </c>
      <c r="AB16">
        <f>_xlfn.STDEV.S(S16:S18)</f>
        <v>1.5</v>
      </c>
      <c r="AC16">
        <f>AVERAGE(T16:T24)</f>
        <v>22.111111111111111</v>
      </c>
      <c r="AD16">
        <f>_xlfn.STDEV.S(T16:T24)</f>
        <v>0.34694433324435597</v>
      </c>
      <c r="AE16">
        <f>AVERAGE(V16:V24)</f>
        <v>6.2777777777777777</v>
      </c>
      <c r="AF16">
        <f>_xlfn.STDEV.S(V16:V24)</f>
        <v>1.7506612507320798</v>
      </c>
    </row>
    <row r="17" spans="1:32" x14ac:dyDescent="0.3">
      <c r="B17">
        <v>87</v>
      </c>
      <c r="C17">
        <v>13</v>
      </c>
      <c r="D17">
        <v>22</v>
      </c>
      <c r="E17">
        <v>78</v>
      </c>
      <c r="G17">
        <v>70</v>
      </c>
      <c r="H17">
        <v>30</v>
      </c>
      <c r="I17">
        <v>10</v>
      </c>
      <c r="J17">
        <v>90</v>
      </c>
      <c r="L17">
        <v>66</v>
      </c>
      <c r="M17">
        <v>34</v>
      </c>
      <c r="N17">
        <v>23</v>
      </c>
      <c r="O17">
        <v>77</v>
      </c>
      <c r="Q17">
        <f t="shared" si="1"/>
        <v>17.5</v>
      </c>
      <c r="R17">
        <f t="shared" si="2"/>
        <v>20</v>
      </c>
      <c r="S17">
        <f t="shared" si="3"/>
        <v>28.5</v>
      </c>
      <c r="T17">
        <f t="shared" si="4"/>
        <v>22</v>
      </c>
      <c r="U17">
        <f t="shared" si="5"/>
        <v>17.5</v>
      </c>
      <c r="V17">
        <f t="shared" ref="V17:V18" si="6">(T17-U17)</f>
        <v>4.5</v>
      </c>
    </row>
    <row r="18" spans="1:32" x14ac:dyDescent="0.3">
      <c r="B18">
        <v>81</v>
      </c>
      <c r="C18">
        <v>19</v>
      </c>
      <c r="D18">
        <v>12</v>
      </c>
      <c r="E18">
        <v>88</v>
      </c>
      <c r="G18">
        <v>64</v>
      </c>
      <c r="H18">
        <v>36</v>
      </c>
      <c r="I18">
        <v>4</v>
      </c>
      <c r="J18">
        <v>96</v>
      </c>
      <c r="L18">
        <v>61</v>
      </c>
      <c r="M18">
        <v>39</v>
      </c>
      <c r="N18">
        <v>21</v>
      </c>
      <c r="O18">
        <v>79</v>
      </c>
      <c r="Q18">
        <f t="shared" si="1"/>
        <v>15.5</v>
      </c>
      <c r="R18">
        <f t="shared" si="2"/>
        <v>20</v>
      </c>
      <c r="S18">
        <f t="shared" si="3"/>
        <v>30</v>
      </c>
      <c r="T18">
        <f t="shared" si="4"/>
        <v>21.833333333333332</v>
      </c>
      <c r="U18">
        <f t="shared" si="5"/>
        <v>15.5</v>
      </c>
      <c r="V18">
        <f t="shared" si="6"/>
        <v>6.3333333333333321</v>
      </c>
    </row>
    <row r="26" spans="1:32" x14ac:dyDescent="0.3">
      <c r="A26" t="s">
        <v>25</v>
      </c>
    </row>
    <row r="27" spans="1:32" x14ac:dyDescent="0.3">
      <c r="A27" t="s">
        <v>22</v>
      </c>
    </row>
    <row r="28" spans="1:32" x14ac:dyDescent="0.3">
      <c r="Q28" t="e">
        <f t="shared" si="1"/>
        <v>#DIV/0!</v>
      </c>
      <c r="R28" t="e">
        <f t="shared" si="2"/>
        <v>#DIV/0!</v>
      </c>
      <c r="S28" t="e">
        <f t="shared" si="3"/>
        <v>#DIV/0!</v>
      </c>
      <c r="T28" t="e">
        <f t="shared" si="4"/>
        <v>#DIV/0!</v>
      </c>
      <c r="U28" t="e">
        <f t="shared" si="5"/>
        <v>#DIV/0!</v>
      </c>
      <c r="V28" t="e">
        <f>(1/3)*(T28-U28)</f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1"/>
        <v>#DIV/0!</v>
      </c>
      <c r="R29" t="e">
        <f t="shared" si="2"/>
        <v>#DIV/0!</v>
      </c>
      <c r="S29" t="e">
        <f t="shared" si="3"/>
        <v>#DIV/0!</v>
      </c>
      <c r="T29" t="e">
        <f t="shared" si="4"/>
        <v>#DIV/0!</v>
      </c>
      <c r="U29" t="e">
        <f t="shared" si="5"/>
        <v>#DIV/0!</v>
      </c>
      <c r="V29" t="e">
        <f>(1/3)*(T29-U29)</f>
        <v>#DIV/0!</v>
      </c>
    </row>
    <row r="30" spans="1:32" x14ac:dyDescent="0.3">
      <c r="Q30" t="e">
        <f t="shared" si="1"/>
        <v>#DIV/0!</v>
      </c>
      <c r="R30" t="e">
        <f t="shared" si="2"/>
        <v>#DIV/0!</v>
      </c>
      <c r="S30" t="e">
        <f t="shared" si="3"/>
        <v>#DIV/0!</v>
      </c>
      <c r="T30" t="e">
        <f t="shared" si="4"/>
        <v>#DIV/0!</v>
      </c>
      <c r="U30" t="e">
        <f t="shared" si="5"/>
        <v>#DIV/0!</v>
      </c>
      <c r="V30" t="e">
        <f>(1/3)*(T30-U30)</f>
        <v>#DIV/0!</v>
      </c>
    </row>
    <row r="32" spans="1:32" x14ac:dyDescent="0.3">
      <c r="A32" t="s">
        <v>26</v>
      </c>
    </row>
    <row r="33" spans="1:32" x14ac:dyDescent="0.3">
      <c r="A33" t="s">
        <v>22</v>
      </c>
    </row>
    <row r="34" spans="1:32" x14ac:dyDescent="0.3">
      <c r="Q34" t="e">
        <f t="shared" si="1"/>
        <v>#DIV/0!</v>
      </c>
      <c r="R34" t="e">
        <f t="shared" si="2"/>
        <v>#DIV/0!</v>
      </c>
      <c r="S34" t="e">
        <f t="shared" si="3"/>
        <v>#DIV/0!</v>
      </c>
      <c r="T34" t="e">
        <f t="shared" si="4"/>
        <v>#DIV/0!</v>
      </c>
      <c r="U34" t="e">
        <f t="shared" si="5"/>
        <v>#DIV/0!</v>
      </c>
      <c r="V34" t="e">
        <f t="shared" ref="V34:V42" si="7">(1/3)*(T34-U34)</f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1"/>
        <v>#DIV/0!</v>
      </c>
      <c r="R35" t="e">
        <f t="shared" si="2"/>
        <v>#DIV/0!</v>
      </c>
      <c r="S35" t="e">
        <f t="shared" si="3"/>
        <v>#DIV/0!</v>
      </c>
      <c r="T35" t="e">
        <f t="shared" si="4"/>
        <v>#DIV/0!</v>
      </c>
      <c r="U35" t="e">
        <f t="shared" si="5"/>
        <v>#DIV/0!</v>
      </c>
      <c r="V35" t="e">
        <f t="shared" si="7"/>
        <v>#DIV/0!</v>
      </c>
    </row>
    <row r="36" spans="1:32" x14ac:dyDescent="0.3">
      <c r="Q36" t="e">
        <f t="shared" si="1"/>
        <v>#DIV/0!</v>
      </c>
      <c r="R36" t="e">
        <f t="shared" si="2"/>
        <v>#DIV/0!</v>
      </c>
      <c r="S36" t="e">
        <f t="shared" si="3"/>
        <v>#DIV/0!</v>
      </c>
      <c r="T36" t="e">
        <f t="shared" si="4"/>
        <v>#DIV/0!</v>
      </c>
      <c r="U36" t="e">
        <f t="shared" si="5"/>
        <v>#DIV/0!</v>
      </c>
      <c r="V36" t="e">
        <f t="shared" si="7"/>
        <v>#DIV/0!</v>
      </c>
    </row>
    <row r="37" spans="1:32" x14ac:dyDescent="0.3">
      <c r="Q37" t="e">
        <f t="shared" si="1"/>
        <v>#DIV/0!</v>
      </c>
      <c r="R37" t="e">
        <f t="shared" si="2"/>
        <v>#DIV/0!</v>
      </c>
      <c r="S37" t="e">
        <f t="shared" si="3"/>
        <v>#DIV/0!</v>
      </c>
      <c r="T37" t="e">
        <f t="shared" si="4"/>
        <v>#DIV/0!</v>
      </c>
      <c r="U37" t="e">
        <f t="shared" si="5"/>
        <v>#DIV/0!</v>
      </c>
      <c r="V37" t="e">
        <f t="shared" si="7"/>
        <v>#DIV/0!</v>
      </c>
    </row>
    <row r="38" spans="1:32" x14ac:dyDescent="0.3">
      <c r="Q38" t="e">
        <f t="shared" si="1"/>
        <v>#DIV/0!</v>
      </c>
      <c r="R38" t="e">
        <f t="shared" si="2"/>
        <v>#DIV/0!</v>
      </c>
      <c r="S38" t="e">
        <f t="shared" si="3"/>
        <v>#DIV/0!</v>
      </c>
      <c r="T38" t="e">
        <f t="shared" si="4"/>
        <v>#DIV/0!</v>
      </c>
      <c r="U38" t="e">
        <f t="shared" si="5"/>
        <v>#DIV/0!</v>
      </c>
      <c r="V38" t="e">
        <f t="shared" si="7"/>
        <v>#DIV/0!</v>
      </c>
    </row>
    <row r="39" spans="1:32" x14ac:dyDescent="0.3">
      <c r="Q39" t="e">
        <f t="shared" si="1"/>
        <v>#DIV/0!</v>
      </c>
      <c r="R39" t="e">
        <f t="shared" si="2"/>
        <v>#DIV/0!</v>
      </c>
      <c r="S39" t="e">
        <f t="shared" si="3"/>
        <v>#DIV/0!</v>
      </c>
      <c r="T39" t="e">
        <f t="shared" si="4"/>
        <v>#DIV/0!</v>
      </c>
      <c r="U39" t="e">
        <f t="shared" si="5"/>
        <v>#DIV/0!</v>
      </c>
      <c r="V39" t="e">
        <f t="shared" si="7"/>
        <v>#DIV/0!</v>
      </c>
    </row>
    <row r="40" spans="1:32" x14ac:dyDescent="0.3">
      <c r="Q40" t="e">
        <f t="shared" si="1"/>
        <v>#DIV/0!</v>
      </c>
      <c r="R40" t="e">
        <f t="shared" si="2"/>
        <v>#DIV/0!</v>
      </c>
      <c r="S40" t="e">
        <f t="shared" si="3"/>
        <v>#DIV/0!</v>
      </c>
      <c r="T40" t="e">
        <f t="shared" si="4"/>
        <v>#DIV/0!</v>
      </c>
      <c r="U40" t="e">
        <f t="shared" si="5"/>
        <v>#DIV/0!</v>
      </c>
      <c r="V40" t="e">
        <f t="shared" si="7"/>
        <v>#DIV/0!</v>
      </c>
    </row>
    <row r="41" spans="1:32" x14ac:dyDescent="0.3">
      <c r="Q41" t="e">
        <f t="shared" si="1"/>
        <v>#DIV/0!</v>
      </c>
      <c r="R41" t="e">
        <f t="shared" si="2"/>
        <v>#DIV/0!</v>
      </c>
      <c r="S41" t="e">
        <f t="shared" si="3"/>
        <v>#DIV/0!</v>
      </c>
      <c r="T41" t="e">
        <f t="shared" si="4"/>
        <v>#DIV/0!</v>
      </c>
      <c r="U41" t="e">
        <f t="shared" si="5"/>
        <v>#DIV/0!</v>
      </c>
      <c r="V41" t="e">
        <f t="shared" si="7"/>
        <v>#DIV/0!</v>
      </c>
    </row>
    <row r="42" spans="1:32" x14ac:dyDescent="0.3">
      <c r="Q42" t="e">
        <f t="shared" si="1"/>
        <v>#DIV/0!</v>
      </c>
      <c r="R42" t="e">
        <f t="shared" si="2"/>
        <v>#DIV/0!</v>
      </c>
      <c r="S42" t="e">
        <f t="shared" si="3"/>
        <v>#DIV/0!</v>
      </c>
      <c r="T42" t="e">
        <f t="shared" si="4"/>
        <v>#DIV/0!</v>
      </c>
      <c r="U42" t="e">
        <f t="shared" si="5"/>
        <v>#DIV/0!</v>
      </c>
      <c r="V42" t="e">
        <f t="shared" si="7"/>
        <v>#DIV/0!</v>
      </c>
    </row>
    <row r="44" spans="1:32" x14ac:dyDescent="0.3">
      <c r="A44" t="s">
        <v>27</v>
      </c>
    </row>
    <row r="45" spans="1:32" x14ac:dyDescent="0.3">
      <c r="A45" t="s">
        <v>22</v>
      </c>
    </row>
    <row r="46" spans="1:32" x14ac:dyDescent="0.3">
      <c r="Q46" t="e">
        <f t="shared" si="1"/>
        <v>#DIV/0!</v>
      </c>
      <c r="R46" t="e">
        <f t="shared" si="2"/>
        <v>#DIV/0!</v>
      </c>
      <c r="S46" t="e">
        <f t="shared" si="3"/>
        <v>#DIV/0!</v>
      </c>
      <c r="T46" t="e">
        <f t="shared" si="4"/>
        <v>#DIV/0!</v>
      </c>
      <c r="U46" t="e">
        <f t="shared" si="5"/>
        <v>#DIV/0!</v>
      </c>
      <c r="V46" t="e">
        <f t="shared" ref="V46:V54" si="8">(1/3)*(T46-U46)</f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1"/>
        <v>#DIV/0!</v>
      </c>
      <c r="R47" t="e">
        <f t="shared" si="2"/>
        <v>#DIV/0!</v>
      </c>
      <c r="S47" t="e">
        <f t="shared" si="3"/>
        <v>#DIV/0!</v>
      </c>
      <c r="T47" t="e">
        <f t="shared" si="4"/>
        <v>#DIV/0!</v>
      </c>
      <c r="U47" t="e">
        <f t="shared" si="5"/>
        <v>#DIV/0!</v>
      </c>
      <c r="V47" t="e">
        <f t="shared" si="8"/>
        <v>#DIV/0!</v>
      </c>
    </row>
    <row r="48" spans="1:32" x14ac:dyDescent="0.3">
      <c r="Q48" t="e">
        <f t="shared" si="1"/>
        <v>#DIV/0!</v>
      </c>
      <c r="R48" t="e">
        <f t="shared" si="2"/>
        <v>#DIV/0!</v>
      </c>
      <c r="S48" t="e">
        <f t="shared" si="3"/>
        <v>#DIV/0!</v>
      </c>
      <c r="T48" t="e">
        <f t="shared" si="4"/>
        <v>#DIV/0!</v>
      </c>
      <c r="U48" t="e">
        <f t="shared" si="5"/>
        <v>#DIV/0!</v>
      </c>
      <c r="V48" t="e">
        <f t="shared" si="8"/>
        <v>#DIV/0!</v>
      </c>
    </row>
    <row r="49" spans="1:32" x14ac:dyDescent="0.3">
      <c r="Q49" t="e">
        <f t="shared" si="1"/>
        <v>#DIV/0!</v>
      </c>
      <c r="R49" t="e">
        <f t="shared" si="2"/>
        <v>#DIV/0!</v>
      </c>
      <c r="S49" t="e">
        <f t="shared" si="3"/>
        <v>#DIV/0!</v>
      </c>
      <c r="T49" t="e">
        <f t="shared" si="4"/>
        <v>#DIV/0!</v>
      </c>
      <c r="U49" t="e">
        <f t="shared" si="5"/>
        <v>#DIV/0!</v>
      </c>
      <c r="V49" t="e">
        <f t="shared" si="8"/>
        <v>#DIV/0!</v>
      </c>
    </row>
    <row r="50" spans="1:32" x14ac:dyDescent="0.3">
      <c r="Q50" t="e">
        <f t="shared" si="1"/>
        <v>#DIV/0!</v>
      </c>
      <c r="R50" t="e">
        <f t="shared" si="2"/>
        <v>#DIV/0!</v>
      </c>
      <c r="S50" t="e">
        <f t="shared" si="3"/>
        <v>#DIV/0!</v>
      </c>
      <c r="T50" t="e">
        <f t="shared" si="4"/>
        <v>#DIV/0!</v>
      </c>
      <c r="U50" t="e">
        <f t="shared" si="5"/>
        <v>#DIV/0!</v>
      </c>
      <c r="V50" t="e">
        <f t="shared" si="8"/>
        <v>#DIV/0!</v>
      </c>
    </row>
    <row r="51" spans="1:32" x14ac:dyDescent="0.3">
      <c r="Q51" t="e">
        <f t="shared" si="1"/>
        <v>#DIV/0!</v>
      </c>
      <c r="R51" t="e">
        <f t="shared" si="2"/>
        <v>#DIV/0!</v>
      </c>
      <c r="S51" t="e">
        <f t="shared" si="3"/>
        <v>#DIV/0!</v>
      </c>
      <c r="T51" t="e">
        <f t="shared" si="4"/>
        <v>#DIV/0!</v>
      </c>
      <c r="U51" t="e">
        <f t="shared" si="5"/>
        <v>#DIV/0!</v>
      </c>
      <c r="V51" t="e">
        <f t="shared" si="8"/>
        <v>#DIV/0!</v>
      </c>
    </row>
    <row r="52" spans="1:32" x14ac:dyDescent="0.3">
      <c r="Q52" t="e">
        <f t="shared" si="1"/>
        <v>#DIV/0!</v>
      </c>
      <c r="R52" t="e">
        <f t="shared" si="2"/>
        <v>#DIV/0!</v>
      </c>
      <c r="S52" t="e">
        <f t="shared" si="3"/>
        <v>#DIV/0!</v>
      </c>
      <c r="T52" t="e">
        <f t="shared" si="4"/>
        <v>#DIV/0!</v>
      </c>
      <c r="U52" t="e">
        <f t="shared" si="5"/>
        <v>#DIV/0!</v>
      </c>
      <c r="V52" t="e">
        <f t="shared" si="8"/>
        <v>#DIV/0!</v>
      </c>
    </row>
    <row r="53" spans="1:32" x14ac:dyDescent="0.3">
      <c r="Q53" t="e">
        <f t="shared" si="1"/>
        <v>#DIV/0!</v>
      </c>
      <c r="R53" t="e">
        <f t="shared" si="2"/>
        <v>#DIV/0!</v>
      </c>
      <c r="S53" t="e">
        <f t="shared" si="3"/>
        <v>#DIV/0!</v>
      </c>
      <c r="T53" t="e">
        <f t="shared" si="4"/>
        <v>#DIV/0!</v>
      </c>
      <c r="U53" t="e">
        <f t="shared" si="5"/>
        <v>#DIV/0!</v>
      </c>
      <c r="V53" t="e">
        <f t="shared" si="8"/>
        <v>#DIV/0!</v>
      </c>
    </row>
    <row r="54" spans="1:32" x14ac:dyDescent="0.3">
      <c r="Q54" t="e">
        <f t="shared" si="1"/>
        <v>#DIV/0!</v>
      </c>
      <c r="R54" t="e">
        <f t="shared" si="2"/>
        <v>#DIV/0!</v>
      </c>
      <c r="S54" t="e">
        <f t="shared" si="3"/>
        <v>#DIV/0!</v>
      </c>
      <c r="T54" t="e">
        <f t="shared" si="4"/>
        <v>#DIV/0!</v>
      </c>
      <c r="U54" t="e">
        <f t="shared" si="5"/>
        <v>#DIV/0!</v>
      </c>
      <c r="V54" t="e">
        <f t="shared" si="8"/>
        <v>#DIV/0!</v>
      </c>
    </row>
    <row r="56" spans="1:32" x14ac:dyDescent="0.3">
      <c r="A56" t="s">
        <v>28</v>
      </c>
    </row>
    <row r="57" spans="1:32" x14ac:dyDescent="0.3">
      <c r="A57" t="s">
        <v>22</v>
      </c>
    </row>
    <row r="58" spans="1:32" x14ac:dyDescent="0.3">
      <c r="Q58" t="e">
        <f t="shared" si="1"/>
        <v>#DIV/0!</v>
      </c>
      <c r="R58" t="e">
        <f t="shared" si="2"/>
        <v>#DIV/0!</v>
      </c>
      <c r="S58" t="e">
        <f t="shared" si="3"/>
        <v>#DIV/0!</v>
      </c>
      <c r="T58" t="e">
        <f t="shared" si="4"/>
        <v>#DIV/0!</v>
      </c>
      <c r="U58" t="e">
        <f t="shared" si="5"/>
        <v>#DIV/0!</v>
      </c>
      <c r="V58" t="e">
        <f>(1/3)*(T58-U58)</f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1"/>
        <v>#DIV/0!</v>
      </c>
      <c r="R59" t="e">
        <f t="shared" si="2"/>
        <v>#DIV/0!</v>
      </c>
      <c r="S59" t="e">
        <f t="shared" si="3"/>
        <v>#DIV/0!</v>
      </c>
      <c r="T59" t="e">
        <f t="shared" si="4"/>
        <v>#DIV/0!</v>
      </c>
      <c r="U59" t="e">
        <f t="shared" si="5"/>
        <v>#DIV/0!</v>
      </c>
      <c r="V59" t="e">
        <f>(1/3)*(T59-U59)</f>
        <v>#DIV/0!</v>
      </c>
    </row>
    <row r="61" spans="1:32" x14ac:dyDescent="0.3">
      <c r="A61" t="s">
        <v>29</v>
      </c>
    </row>
    <row r="62" spans="1:32" x14ac:dyDescent="0.3">
      <c r="A62" t="s">
        <v>22</v>
      </c>
    </row>
    <row r="63" spans="1:32" x14ac:dyDescent="0.3">
      <c r="Q63" t="e">
        <f t="shared" si="1"/>
        <v>#DIV/0!</v>
      </c>
      <c r="R63" t="e">
        <f t="shared" si="2"/>
        <v>#DIV/0!</v>
      </c>
      <c r="S63" t="e">
        <f t="shared" si="3"/>
        <v>#DIV/0!</v>
      </c>
      <c r="T63" t="e">
        <f t="shared" si="4"/>
        <v>#DIV/0!</v>
      </c>
      <c r="U63" t="e">
        <f t="shared" si="5"/>
        <v>#DIV/0!</v>
      </c>
      <c r="V63" t="e">
        <f>(1/3)*(T63-U63)</f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1"/>
        <v>#DIV/0!</v>
      </c>
      <c r="R64" t="e">
        <f t="shared" si="2"/>
        <v>#DIV/0!</v>
      </c>
      <c r="S64" t="e">
        <f t="shared" si="3"/>
        <v>#DIV/0!</v>
      </c>
      <c r="T64" t="e">
        <f t="shared" si="4"/>
        <v>#DIV/0!</v>
      </c>
      <c r="U64" t="e">
        <f t="shared" si="5"/>
        <v>#DIV/0!</v>
      </c>
      <c r="V64" t="e">
        <f>(1/3)*(T64-U64)</f>
        <v>#DIV/0!</v>
      </c>
    </row>
    <row r="65" spans="1:32" x14ac:dyDescent="0.3">
      <c r="Q65" t="e">
        <f t="shared" si="1"/>
        <v>#DIV/0!</v>
      </c>
      <c r="R65" t="e">
        <f t="shared" si="2"/>
        <v>#DIV/0!</v>
      </c>
      <c r="S65" t="e">
        <f t="shared" si="3"/>
        <v>#DIV/0!</v>
      </c>
      <c r="T65" t="e">
        <f t="shared" si="4"/>
        <v>#DIV/0!</v>
      </c>
      <c r="U65" t="e">
        <f t="shared" si="5"/>
        <v>#DIV/0!</v>
      </c>
      <c r="V65" t="e">
        <f>(1/3)*(T65-U65)</f>
        <v>#DIV/0!</v>
      </c>
    </row>
    <row r="66" spans="1:32" x14ac:dyDescent="0.3">
      <c r="Q66" t="e">
        <f t="shared" si="1"/>
        <v>#DIV/0!</v>
      </c>
      <c r="R66" t="e">
        <f t="shared" si="2"/>
        <v>#DIV/0!</v>
      </c>
      <c r="S66" t="e">
        <f t="shared" si="3"/>
        <v>#DIV/0!</v>
      </c>
      <c r="T66" t="e">
        <f t="shared" si="4"/>
        <v>#DIV/0!</v>
      </c>
      <c r="U66" t="e">
        <f t="shared" si="5"/>
        <v>#DIV/0!</v>
      </c>
      <c r="V66" t="e">
        <f>(1/3)*(T66-U66)</f>
        <v>#DIV/0!</v>
      </c>
    </row>
    <row r="67" spans="1:32" x14ac:dyDescent="0.3">
      <c r="Q67" t="e">
        <f t="shared" si="1"/>
        <v>#DIV/0!</v>
      </c>
      <c r="R67" t="e">
        <f t="shared" si="2"/>
        <v>#DIV/0!</v>
      </c>
      <c r="S67" t="e">
        <f t="shared" si="3"/>
        <v>#DIV/0!</v>
      </c>
      <c r="T67" t="e">
        <f t="shared" si="4"/>
        <v>#DIV/0!</v>
      </c>
      <c r="U67" t="e">
        <f t="shared" si="5"/>
        <v>#DIV/0!</v>
      </c>
      <c r="V67" t="e">
        <f>(1/3)*(T67-U67)</f>
        <v>#DIV/0!</v>
      </c>
    </row>
    <row r="68" spans="1:32" x14ac:dyDescent="0.3">
      <c r="Q68" t="e">
        <f t="shared" ref="Q68:Q109" si="9">AVERAGE(C68,D68)</f>
        <v>#DIV/0!</v>
      </c>
      <c r="R68" t="e">
        <f t="shared" ref="R68:R109" si="10">AVERAGE(H68:I68)</f>
        <v>#DIV/0!</v>
      </c>
      <c r="S68" t="e">
        <f t="shared" ref="S68:S109" si="11">AVERAGE(M68,N68)</f>
        <v>#DIV/0!</v>
      </c>
      <c r="T68" t="e">
        <f t="shared" ref="T68:T109" si="12">AVERAGE(Q68:S68)</f>
        <v>#DIV/0!</v>
      </c>
      <c r="U68" t="e">
        <f t="shared" ref="U68:U109" si="13">MIN(Q68:S68)</f>
        <v>#DIV/0!</v>
      </c>
      <c r="V68" t="e">
        <f t="shared" ref="V68:V109" si="14">(1/3)*(T68-U68)</f>
        <v>#DIV/0!</v>
      </c>
    </row>
    <row r="69" spans="1:32" x14ac:dyDescent="0.3">
      <c r="Q69" t="e">
        <f t="shared" si="9"/>
        <v>#DIV/0!</v>
      </c>
      <c r="R69" t="e">
        <f t="shared" si="10"/>
        <v>#DIV/0!</v>
      </c>
      <c r="S69" t="e">
        <f t="shared" si="11"/>
        <v>#DIV/0!</v>
      </c>
      <c r="T69" t="e">
        <f t="shared" si="12"/>
        <v>#DIV/0!</v>
      </c>
      <c r="U69" t="e">
        <f t="shared" si="13"/>
        <v>#DIV/0!</v>
      </c>
      <c r="V69" t="e">
        <f t="shared" si="14"/>
        <v>#DIV/0!</v>
      </c>
    </row>
    <row r="71" spans="1:32" x14ac:dyDescent="0.3">
      <c r="A71" t="s">
        <v>30</v>
      </c>
    </row>
    <row r="72" spans="1:32" x14ac:dyDescent="0.3">
      <c r="A72" t="s">
        <v>22</v>
      </c>
    </row>
    <row r="73" spans="1:32" x14ac:dyDescent="0.3">
      <c r="Q73" t="e">
        <f t="shared" si="9"/>
        <v>#DIV/0!</v>
      </c>
      <c r="R73" t="e">
        <f t="shared" si="10"/>
        <v>#DIV/0!</v>
      </c>
      <c r="S73" t="e">
        <f t="shared" si="11"/>
        <v>#DIV/0!</v>
      </c>
      <c r="T73" t="e">
        <f t="shared" si="12"/>
        <v>#DIV/0!</v>
      </c>
      <c r="U73" t="e">
        <f t="shared" si="13"/>
        <v>#DIV/0!</v>
      </c>
      <c r="V73" t="e">
        <f t="shared" si="14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9"/>
        <v>#DIV/0!</v>
      </c>
      <c r="R74" t="e">
        <f t="shared" si="10"/>
        <v>#DIV/0!</v>
      </c>
      <c r="S74" t="e">
        <f t="shared" si="11"/>
        <v>#DIV/0!</v>
      </c>
      <c r="T74" t="e">
        <f t="shared" si="12"/>
        <v>#DIV/0!</v>
      </c>
      <c r="U74" t="e">
        <f t="shared" si="13"/>
        <v>#DIV/0!</v>
      </c>
      <c r="V74" t="e">
        <f t="shared" si="14"/>
        <v>#DIV/0!</v>
      </c>
    </row>
    <row r="75" spans="1:32" x14ac:dyDescent="0.3">
      <c r="Q75" t="e">
        <f t="shared" si="9"/>
        <v>#DIV/0!</v>
      </c>
      <c r="R75" t="e">
        <f t="shared" si="10"/>
        <v>#DIV/0!</v>
      </c>
      <c r="S75" t="e">
        <f t="shared" si="11"/>
        <v>#DIV/0!</v>
      </c>
      <c r="T75" t="e">
        <f t="shared" si="12"/>
        <v>#DIV/0!</v>
      </c>
      <c r="U75" t="e">
        <f t="shared" si="13"/>
        <v>#DIV/0!</v>
      </c>
      <c r="V75" t="e">
        <f t="shared" si="14"/>
        <v>#DIV/0!</v>
      </c>
    </row>
    <row r="77" spans="1:32" x14ac:dyDescent="0.3">
      <c r="A77" t="s">
        <v>31</v>
      </c>
    </row>
    <row r="78" spans="1:32" x14ac:dyDescent="0.3">
      <c r="A78" t="s">
        <v>22</v>
      </c>
    </row>
    <row r="79" spans="1:32" x14ac:dyDescent="0.3">
      <c r="Q79" t="e">
        <f t="shared" si="9"/>
        <v>#DIV/0!</v>
      </c>
      <c r="R79" t="e">
        <f t="shared" si="10"/>
        <v>#DIV/0!</v>
      </c>
      <c r="S79" t="e">
        <f t="shared" si="11"/>
        <v>#DIV/0!</v>
      </c>
      <c r="T79" t="e">
        <f t="shared" si="12"/>
        <v>#DIV/0!</v>
      </c>
      <c r="U79" t="e">
        <f t="shared" si="13"/>
        <v>#DIV/0!</v>
      </c>
      <c r="V79" t="e">
        <f t="shared" si="14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9"/>
        <v>#DIV/0!</v>
      </c>
      <c r="R80" t="e">
        <f t="shared" si="10"/>
        <v>#DIV/0!</v>
      </c>
      <c r="S80" t="e">
        <f t="shared" si="11"/>
        <v>#DIV/0!</v>
      </c>
      <c r="T80" t="e">
        <f t="shared" si="12"/>
        <v>#DIV/0!</v>
      </c>
      <c r="U80" t="e">
        <f t="shared" si="13"/>
        <v>#DIV/0!</v>
      </c>
      <c r="V80" t="e">
        <f t="shared" si="14"/>
        <v>#DIV/0!</v>
      </c>
    </row>
    <row r="81" spans="1:32" x14ac:dyDescent="0.3">
      <c r="Q81" t="e">
        <f t="shared" si="9"/>
        <v>#DIV/0!</v>
      </c>
      <c r="R81" t="e">
        <f t="shared" si="10"/>
        <v>#DIV/0!</v>
      </c>
      <c r="S81" t="e">
        <f t="shared" si="11"/>
        <v>#DIV/0!</v>
      </c>
      <c r="T81" t="e">
        <f t="shared" si="12"/>
        <v>#DIV/0!</v>
      </c>
      <c r="U81" t="e">
        <f t="shared" si="13"/>
        <v>#DIV/0!</v>
      </c>
      <c r="V81" t="e">
        <f t="shared" si="14"/>
        <v>#DIV/0!</v>
      </c>
    </row>
    <row r="82" spans="1:32" x14ac:dyDescent="0.3">
      <c r="Q82" t="e">
        <f t="shared" si="9"/>
        <v>#DIV/0!</v>
      </c>
      <c r="R82" t="e">
        <f t="shared" si="10"/>
        <v>#DIV/0!</v>
      </c>
      <c r="S82" t="e">
        <f t="shared" si="11"/>
        <v>#DIV/0!</v>
      </c>
      <c r="T82" t="e">
        <f t="shared" si="12"/>
        <v>#DIV/0!</v>
      </c>
      <c r="U82" t="e">
        <f t="shared" si="13"/>
        <v>#DIV/0!</v>
      </c>
      <c r="V82" t="e">
        <f t="shared" si="14"/>
        <v>#DIV/0!</v>
      </c>
    </row>
    <row r="83" spans="1:32" x14ac:dyDescent="0.3">
      <c r="Q83" t="e">
        <f t="shared" si="9"/>
        <v>#DIV/0!</v>
      </c>
      <c r="R83" t="e">
        <f t="shared" si="10"/>
        <v>#DIV/0!</v>
      </c>
      <c r="S83" t="e">
        <f t="shared" si="11"/>
        <v>#DIV/0!</v>
      </c>
      <c r="T83" t="e">
        <f t="shared" si="12"/>
        <v>#DIV/0!</v>
      </c>
      <c r="U83" t="e">
        <f t="shared" si="13"/>
        <v>#DIV/0!</v>
      </c>
      <c r="V83" t="e">
        <f t="shared" si="14"/>
        <v>#DIV/0!</v>
      </c>
    </row>
    <row r="84" spans="1:32" x14ac:dyDescent="0.3">
      <c r="Q84" t="e">
        <f t="shared" si="9"/>
        <v>#DIV/0!</v>
      </c>
      <c r="R84" t="e">
        <f t="shared" si="10"/>
        <v>#DIV/0!</v>
      </c>
      <c r="S84" t="e">
        <f t="shared" si="11"/>
        <v>#DIV/0!</v>
      </c>
      <c r="T84" t="e">
        <f t="shared" si="12"/>
        <v>#DIV/0!</v>
      </c>
      <c r="U84" t="e">
        <f t="shared" si="13"/>
        <v>#DIV/0!</v>
      </c>
      <c r="V84" t="e">
        <f t="shared" si="14"/>
        <v>#DIV/0!</v>
      </c>
    </row>
    <row r="85" spans="1:32" x14ac:dyDescent="0.3">
      <c r="Q85" t="e">
        <f t="shared" si="9"/>
        <v>#DIV/0!</v>
      </c>
      <c r="R85" t="e">
        <f t="shared" si="10"/>
        <v>#DIV/0!</v>
      </c>
      <c r="S85" t="e">
        <f t="shared" si="11"/>
        <v>#DIV/0!</v>
      </c>
      <c r="T85" t="e">
        <f t="shared" si="12"/>
        <v>#DIV/0!</v>
      </c>
      <c r="U85" t="e">
        <f t="shared" si="13"/>
        <v>#DIV/0!</v>
      </c>
      <c r="V85" t="e">
        <f t="shared" si="14"/>
        <v>#DIV/0!</v>
      </c>
    </row>
    <row r="86" spans="1:32" x14ac:dyDescent="0.3">
      <c r="Q86" t="e">
        <f t="shared" si="9"/>
        <v>#DIV/0!</v>
      </c>
      <c r="R86" t="e">
        <f t="shared" si="10"/>
        <v>#DIV/0!</v>
      </c>
      <c r="S86" t="e">
        <f t="shared" si="11"/>
        <v>#DIV/0!</v>
      </c>
      <c r="T86" t="e">
        <f t="shared" si="12"/>
        <v>#DIV/0!</v>
      </c>
      <c r="U86" t="e">
        <f t="shared" si="13"/>
        <v>#DIV/0!</v>
      </c>
      <c r="V86" t="e">
        <f t="shared" si="14"/>
        <v>#DIV/0!</v>
      </c>
    </row>
    <row r="87" spans="1:32" x14ac:dyDescent="0.3">
      <c r="Q87" t="e">
        <f t="shared" si="9"/>
        <v>#DIV/0!</v>
      </c>
      <c r="R87" t="e">
        <f t="shared" si="10"/>
        <v>#DIV/0!</v>
      </c>
      <c r="S87" t="e">
        <f t="shared" si="11"/>
        <v>#DIV/0!</v>
      </c>
      <c r="T87" t="e">
        <f t="shared" si="12"/>
        <v>#DIV/0!</v>
      </c>
      <c r="U87" t="e">
        <f t="shared" si="13"/>
        <v>#DIV/0!</v>
      </c>
      <c r="V87" t="e">
        <f t="shared" si="14"/>
        <v>#DIV/0!</v>
      </c>
    </row>
    <row r="88" spans="1:32" x14ac:dyDescent="0.3">
      <c r="Q88" t="e">
        <f t="shared" si="9"/>
        <v>#DIV/0!</v>
      </c>
      <c r="R88" t="e">
        <f t="shared" si="10"/>
        <v>#DIV/0!</v>
      </c>
      <c r="S88" t="e">
        <f t="shared" si="11"/>
        <v>#DIV/0!</v>
      </c>
      <c r="T88" t="e">
        <f t="shared" si="12"/>
        <v>#DIV/0!</v>
      </c>
      <c r="U88" t="e">
        <f t="shared" si="13"/>
        <v>#DIV/0!</v>
      </c>
      <c r="V88" t="e">
        <f t="shared" si="14"/>
        <v>#DIV/0!</v>
      </c>
    </row>
    <row r="90" spans="1:32" x14ac:dyDescent="0.3">
      <c r="A90" t="s">
        <v>32</v>
      </c>
    </row>
    <row r="91" spans="1:32" x14ac:dyDescent="0.3">
      <c r="A91" t="s">
        <v>22</v>
      </c>
    </row>
    <row r="92" spans="1:32" x14ac:dyDescent="0.3">
      <c r="Q92" t="e">
        <f t="shared" si="9"/>
        <v>#DIV/0!</v>
      </c>
      <c r="R92" t="e">
        <f t="shared" si="10"/>
        <v>#DIV/0!</v>
      </c>
      <c r="S92" t="e">
        <f t="shared" si="11"/>
        <v>#DIV/0!</v>
      </c>
      <c r="T92" t="e">
        <f t="shared" si="12"/>
        <v>#DIV/0!</v>
      </c>
      <c r="U92" t="e">
        <f t="shared" si="13"/>
        <v>#DIV/0!</v>
      </c>
      <c r="V92" t="e">
        <f t="shared" si="14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9"/>
        <v>#DIV/0!</v>
      </c>
      <c r="R93" t="e">
        <f t="shared" si="10"/>
        <v>#DIV/0!</v>
      </c>
      <c r="S93" t="e">
        <f t="shared" si="11"/>
        <v>#DIV/0!</v>
      </c>
      <c r="T93" t="e">
        <f t="shared" si="12"/>
        <v>#DIV/0!</v>
      </c>
      <c r="U93" t="e">
        <f t="shared" si="13"/>
        <v>#DIV/0!</v>
      </c>
      <c r="V93" t="e">
        <f t="shared" si="14"/>
        <v>#DIV/0!</v>
      </c>
    </row>
    <row r="94" spans="1:32" x14ac:dyDescent="0.3">
      <c r="Q94" t="e">
        <f t="shared" si="9"/>
        <v>#DIV/0!</v>
      </c>
      <c r="R94" t="e">
        <f t="shared" si="10"/>
        <v>#DIV/0!</v>
      </c>
      <c r="S94" t="e">
        <f t="shared" si="11"/>
        <v>#DIV/0!</v>
      </c>
      <c r="T94" t="e">
        <f t="shared" si="12"/>
        <v>#DIV/0!</v>
      </c>
      <c r="U94" t="e">
        <f t="shared" si="13"/>
        <v>#DIV/0!</v>
      </c>
      <c r="V94" t="e">
        <f t="shared" si="14"/>
        <v>#DIV/0!</v>
      </c>
    </row>
    <row r="95" spans="1:32" x14ac:dyDescent="0.3">
      <c r="Q95" t="e">
        <f t="shared" si="9"/>
        <v>#DIV/0!</v>
      </c>
      <c r="R95" t="e">
        <f t="shared" si="10"/>
        <v>#DIV/0!</v>
      </c>
      <c r="S95" t="e">
        <f t="shared" si="11"/>
        <v>#DIV/0!</v>
      </c>
      <c r="T95" t="e">
        <f t="shared" si="12"/>
        <v>#DIV/0!</v>
      </c>
      <c r="U95" t="e">
        <f t="shared" si="13"/>
        <v>#DIV/0!</v>
      </c>
      <c r="V95" t="e">
        <f t="shared" si="14"/>
        <v>#DIV/0!</v>
      </c>
    </row>
    <row r="96" spans="1:32" x14ac:dyDescent="0.3">
      <c r="Q96" t="e">
        <f t="shared" si="9"/>
        <v>#DIV/0!</v>
      </c>
      <c r="R96" t="e">
        <f t="shared" si="10"/>
        <v>#DIV/0!</v>
      </c>
      <c r="S96" t="e">
        <f t="shared" si="11"/>
        <v>#DIV/0!</v>
      </c>
      <c r="T96" t="e">
        <f t="shared" si="12"/>
        <v>#DIV/0!</v>
      </c>
      <c r="U96" t="e">
        <f t="shared" si="13"/>
        <v>#DIV/0!</v>
      </c>
      <c r="V96" t="e">
        <f t="shared" si="14"/>
        <v>#DIV/0!</v>
      </c>
    </row>
    <row r="97" spans="1:32" x14ac:dyDescent="0.3">
      <c r="Q97" t="e">
        <f t="shared" si="9"/>
        <v>#DIV/0!</v>
      </c>
      <c r="R97" t="e">
        <f t="shared" si="10"/>
        <v>#DIV/0!</v>
      </c>
      <c r="S97" t="e">
        <f t="shared" si="11"/>
        <v>#DIV/0!</v>
      </c>
      <c r="T97" t="e">
        <f t="shared" si="12"/>
        <v>#DIV/0!</v>
      </c>
      <c r="U97" t="e">
        <f t="shared" si="13"/>
        <v>#DIV/0!</v>
      </c>
      <c r="V97" t="e">
        <f t="shared" si="14"/>
        <v>#DIV/0!</v>
      </c>
    </row>
    <row r="99" spans="1:32" x14ac:dyDescent="0.3">
      <c r="A99" t="s">
        <v>33</v>
      </c>
    </row>
    <row r="100" spans="1:32" x14ac:dyDescent="0.3">
      <c r="A100" t="s">
        <v>22</v>
      </c>
    </row>
    <row r="101" spans="1:32" x14ac:dyDescent="0.3">
      <c r="Q101" t="e">
        <f t="shared" si="9"/>
        <v>#DIV/0!</v>
      </c>
      <c r="R101" t="e">
        <f t="shared" si="10"/>
        <v>#DIV/0!</v>
      </c>
      <c r="S101" t="e">
        <f t="shared" si="11"/>
        <v>#DIV/0!</v>
      </c>
      <c r="T101" t="e">
        <f t="shared" si="12"/>
        <v>#DIV/0!</v>
      </c>
      <c r="U101" t="e">
        <f t="shared" si="13"/>
        <v>#DIV/0!</v>
      </c>
      <c r="V101" t="e">
        <f t="shared" si="14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9"/>
        <v>#DIV/0!</v>
      </c>
      <c r="R102" t="e">
        <f t="shared" si="10"/>
        <v>#DIV/0!</v>
      </c>
      <c r="S102" t="e">
        <f t="shared" si="11"/>
        <v>#DIV/0!</v>
      </c>
      <c r="T102" t="e">
        <f t="shared" si="12"/>
        <v>#DIV/0!</v>
      </c>
      <c r="U102" t="e">
        <f t="shared" si="13"/>
        <v>#DIV/0!</v>
      </c>
      <c r="V102" t="e">
        <f t="shared" si="14"/>
        <v>#DIV/0!</v>
      </c>
    </row>
    <row r="103" spans="1:32" x14ac:dyDescent="0.3">
      <c r="Q103" t="e">
        <f t="shared" si="9"/>
        <v>#DIV/0!</v>
      </c>
      <c r="R103" t="e">
        <f t="shared" si="10"/>
        <v>#DIV/0!</v>
      </c>
      <c r="S103" t="e">
        <f t="shared" si="11"/>
        <v>#DIV/0!</v>
      </c>
      <c r="T103" t="e">
        <f t="shared" si="12"/>
        <v>#DIV/0!</v>
      </c>
      <c r="U103" t="e">
        <f t="shared" si="13"/>
        <v>#DIV/0!</v>
      </c>
      <c r="V103" t="e">
        <f t="shared" si="14"/>
        <v>#DIV/0!</v>
      </c>
    </row>
    <row r="104" spans="1:32" x14ac:dyDescent="0.3">
      <c r="Q104" t="e">
        <f t="shared" si="9"/>
        <v>#DIV/0!</v>
      </c>
      <c r="R104" t="e">
        <f t="shared" si="10"/>
        <v>#DIV/0!</v>
      </c>
      <c r="S104" t="e">
        <f t="shared" si="11"/>
        <v>#DIV/0!</v>
      </c>
      <c r="T104" t="e">
        <f t="shared" si="12"/>
        <v>#DIV/0!</v>
      </c>
      <c r="U104" t="e">
        <f t="shared" si="13"/>
        <v>#DIV/0!</v>
      </c>
      <c r="V104" t="e">
        <f t="shared" si="14"/>
        <v>#DIV/0!</v>
      </c>
    </row>
    <row r="105" spans="1:32" x14ac:dyDescent="0.3">
      <c r="Q105" t="e">
        <f t="shared" si="9"/>
        <v>#DIV/0!</v>
      </c>
      <c r="R105" t="e">
        <f t="shared" si="10"/>
        <v>#DIV/0!</v>
      </c>
      <c r="S105" t="e">
        <f t="shared" si="11"/>
        <v>#DIV/0!</v>
      </c>
      <c r="T105" t="e">
        <f t="shared" si="12"/>
        <v>#DIV/0!</v>
      </c>
      <c r="U105" t="e">
        <f t="shared" si="13"/>
        <v>#DIV/0!</v>
      </c>
      <c r="V105" t="e">
        <f t="shared" si="14"/>
        <v>#DIV/0!</v>
      </c>
    </row>
    <row r="106" spans="1:32" x14ac:dyDescent="0.3">
      <c r="Q106" t="e">
        <f t="shared" si="9"/>
        <v>#DIV/0!</v>
      </c>
      <c r="R106" t="e">
        <f t="shared" si="10"/>
        <v>#DIV/0!</v>
      </c>
      <c r="S106" t="e">
        <f t="shared" si="11"/>
        <v>#DIV/0!</v>
      </c>
      <c r="T106" t="e">
        <f t="shared" si="12"/>
        <v>#DIV/0!</v>
      </c>
      <c r="U106" t="e">
        <f t="shared" si="13"/>
        <v>#DIV/0!</v>
      </c>
      <c r="V106" t="e">
        <f t="shared" si="14"/>
        <v>#DIV/0!</v>
      </c>
    </row>
    <row r="107" spans="1:32" x14ac:dyDescent="0.3">
      <c r="Q107" t="e">
        <f t="shared" si="9"/>
        <v>#DIV/0!</v>
      </c>
      <c r="R107" t="e">
        <f t="shared" si="10"/>
        <v>#DIV/0!</v>
      </c>
      <c r="S107" t="e">
        <f t="shared" si="11"/>
        <v>#DIV/0!</v>
      </c>
      <c r="T107" t="e">
        <f t="shared" si="12"/>
        <v>#DIV/0!</v>
      </c>
      <c r="U107" t="e">
        <f t="shared" si="13"/>
        <v>#DIV/0!</v>
      </c>
      <c r="V107" t="e">
        <f t="shared" si="14"/>
        <v>#DIV/0!</v>
      </c>
    </row>
    <row r="108" spans="1:32" x14ac:dyDescent="0.3">
      <c r="Q108" t="e">
        <f t="shared" si="9"/>
        <v>#DIV/0!</v>
      </c>
      <c r="R108" t="e">
        <f t="shared" si="10"/>
        <v>#DIV/0!</v>
      </c>
      <c r="S108" t="e">
        <f t="shared" si="11"/>
        <v>#DIV/0!</v>
      </c>
      <c r="T108" t="e">
        <f t="shared" si="12"/>
        <v>#DIV/0!</v>
      </c>
      <c r="U108" t="e">
        <f t="shared" si="13"/>
        <v>#DIV/0!</v>
      </c>
      <c r="V108" t="e">
        <f t="shared" si="14"/>
        <v>#DIV/0!</v>
      </c>
    </row>
    <row r="109" spans="1:32" x14ac:dyDescent="0.3">
      <c r="Q109" t="e">
        <f t="shared" si="9"/>
        <v>#DIV/0!</v>
      </c>
      <c r="R109" t="e">
        <f t="shared" si="10"/>
        <v>#DIV/0!</v>
      </c>
      <c r="S109" t="e">
        <f t="shared" si="11"/>
        <v>#DIV/0!</v>
      </c>
      <c r="T109" t="e">
        <f t="shared" si="12"/>
        <v>#DIV/0!</v>
      </c>
      <c r="U109" t="e">
        <f t="shared" si="13"/>
        <v>#DIV/0!</v>
      </c>
      <c r="V109" t="e">
        <f t="shared" si="14"/>
        <v>#DIV/0!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topLeftCell="K1" workbookViewId="0">
      <selection activeCell="W3" sqref="W3:AF3"/>
    </sheetView>
  </sheetViews>
  <sheetFormatPr defaultRowHeight="14.4" x14ac:dyDescent="0.3"/>
  <cols>
    <col min="29" max="29" width="13.109375" customWidth="1"/>
  </cols>
  <sheetData>
    <row r="1" spans="1:32" x14ac:dyDescent="0.3">
      <c r="A1" t="s">
        <v>0</v>
      </c>
    </row>
    <row r="2" spans="1:32" x14ac:dyDescent="0.3">
      <c r="A2" t="s">
        <v>22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</v>
      </c>
      <c r="X2" t="s">
        <v>51</v>
      </c>
      <c r="Y2" t="s">
        <v>7</v>
      </c>
      <c r="Z2" t="s">
        <v>52</v>
      </c>
      <c r="AA2" t="s">
        <v>9</v>
      </c>
      <c r="AB2" t="s">
        <v>53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B3" s="1">
        <v>85</v>
      </c>
      <c r="C3">
        <v>15</v>
      </c>
      <c r="D3">
        <v>10</v>
      </c>
      <c r="E3">
        <v>90</v>
      </c>
      <c r="G3">
        <v>66</v>
      </c>
      <c r="H3">
        <v>34</v>
      </c>
      <c r="I3">
        <v>6</v>
      </c>
      <c r="J3">
        <v>94</v>
      </c>
      <c r="L3">
        <v>57</v>
      </c>
      <c r="M3">
        <v>43</v>
      </c>
      <c r="N3">
        <v>17</v>
      </c>
      <c r="O3">
        <v>83</v>
      </c>
      <c r="Q3">
        <f>AVERAGE(C3:D3)</f>
        <v>12.5</v>
      </c>
      <c r="R3">
        <f>AVERAGE(H3:I3)</f>
        <v>20</v>
      </c>
      <c r="S3">
        <f>AVERAGE(M3:N3)</f>
        <v>30</v>
      </c>
      <c r="T3">
        <f>AVERAGE(Q3:S3)</f>
        <v>20.833333333333332</v>
      </c>
      <c r="U3">
        <f>MIN(Q3:S3)</f>
        <v>12.5</v>
      </c>
      <c r="V3">
        <f>T3-U3</f>
        <v>8.3333333333333321</v>
      </c>
      <c r="W3">
        <f>AVERAGE(Q3:Q5)</f>
        <v>13.166666666666666</v>
      </c>
      <c r="X3">
        <f>_xlfn.STDEV.S(Q3:Q5)</f>
        <v>0.76376261582597327</v>
      </c>
      <c r="Y3">
        <f>AVERAGE(R3:R5)</f>
        <v>24.166666666666668</v>
      </c>
      <c r="Z3">
        <f>_xlfn.STDEV.S(R3:R5)</f>
        <v>4.0104031385053265</v>
      </c>
      <c r="AA3">
        <f>AVERAGE(S3:S5)</f>
        <v>28.833333333333332</v>
      </c>
      <c r="AB3">
        <f>_xlfn.STDEV.S(S3:S5)</f>
        <v>4.3684474740270431</v>
      </c>
      <c r="AC3">
        <f>AVERAGE(T3:T5)</f>
        <v>22.055555555555557</v>
      </c>
      <c r="AD3">
        <f>_xlfn.STDEV.S(T3:T5)</f>
        <v>1.4561491580090185</v>
      </c>
      <c r="AE3">
        <f>AVERAGE(V3:V5)</f>
        <v>8.8888888888888893</v>
      </c>
      <c r="AF3">
        <f>_xlfn.STDEV.S(V3:V5)</f>
        <v>0.69388866648871195</v>
      </c>
    </row>
    <row r="4" spans="1:32" x14ac:dyDescent="0.3">
      <c r="B4" s="1">
        <v>89</v>
      </c>
      <c r="C4">
        <v>11</v>
      </c>
      <c r="D4">
        <v>15</v>
      </c>
      <c r="E4">
        <v>85</v>
      </c>
      <c r="G4">
        <v>56</v>
      </c>
      <c r="H4">
        <v>44</v>
      </c>
      <c r="I4">
        <v>12</v>
      </c>
      <c r="J4">
        <v>88</v>
      </c>
      <c r="L4">
        <v>66</v>
      </c>
      <c r="M4">
        <v>34</v>
      </c>
      <c r="N4">
        <v>14</v>
      </c>
      <c r="O4">
        <v>86</v>
      </c>
      <c r="Q4">
        <f t="shared" ref="Q4:Q5" si="0">AVERAGE(C4:D4)</f>
        <v>13</v>
      </c>
      <c r="R4">
        <f t="shared" ref="R4:R5" si="1">AVERAGE(H4:I4)</f>
        <v>28</v>
      </c>
      <c r="S4">
        <f t="shared" ref="S4:S5" si="2">AVERAGE(M4:N4)</f>
        <v>24</v>
      </c>
      <c r="T4">
        <f t="shared" ref="T4:T5" si="3">AVERAGE(Q4:S4)</f>
        <v>21.666666666666668</v>
      </c>
      <c r="U4">
        <f>MIN(Q4:S4)</f>
        <v>13</v>
      </c>
      <c r="V4">
        <f>T4-U4</f>
        <v>8.6666666666666679</v>
      </c>
    </row>
    <row r="5" spans="1:32" x14ac:dyDescent="0.3">
      <c r="B5" s="1">
        <v>83</v>
      </c>
      <c r="C5">
        <v>17</v>
      </c>
      <c r="D5">
        <v>11</v>
      </c>
      <c r="E5">
        <v>89</v>
      </c>
      <c r="G5">
        <v>55</v>
      </c>
      <c r="H5">
        <v>45</v>
      </c>
      <c r="I5">
        <v>4</v>
      </c>
      <c r="J5">
        <v>96</v>
      </c>
      <c r="L5">
        <v>60</v>
      </c>
      <c r="M5">
        <v>40</v>
      </c>
      <c r="N5">
        <v>25</v>
      </c>
      <c r="O5">
        <v>75</v>
      </c>
      <c r="Q5">
        <f t="shared" si="0"/>
        <v>14</v>
      </c>
      <c r="R5">
        <f t="shared" si="1"/>
        <v>24.5</v>
      </c>
      <c r="S5">
        <f t="shared" si="2"/>
        <v>32.5</v>
      </c>
      <c r="T5">
        <f t="shared" si="3"/>
        <v>23.666666666666668</v>
      </c>
      <c r="U5">
        <f>MIN(Q5:S5)</f>
        <v>14</v>
      </c>
      <c r="V5">
        <f>T5-U5</f>
        <v>9.6666666666666679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Foglio1</vt:lpstr>
      <vt:lpstr>MIT_DIFF_ONLYMIN_STDAUG</vt:lpstr>
      <vt:lpstr>MIT_DIFF_ONLYMIN_NOAUG</vt:lpstr>
      <vt:lpstr>MIT_PARBS_DIFF_ONLYMIN_STDAUG</vt:lpstr>
      <vt:lpstr>MIT_PARBS_STDAUG</vt:lpstr>
      <vt:lpstr>MIT_DIFF_STDAUG</vt:lpstr>
      <vt:lpstr>MIT_DIFF_NOAUG</vt:lpstr>
      <vt:lpstr>MIT_STDAUG</vt:lpstr>
      <vt:lpstr>MIT_NOAUG</vt:lpstr>
      <vt:lpstr>MIT_PARBS_NOAUG</vt:lpstr>
      <vt:lpstr>STD_IMB_AUG</vt:lpstr>
      <vt:lpstr>STD_IMB_NOAUG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2026-01-05T21:28:57Z</dcterms:modified>
</cp:coreProperties>
</file>