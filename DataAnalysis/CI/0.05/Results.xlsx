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346FA73E-98BB-43E5-A553-9289A40573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NOAUG" sheetId="11" r:id="rId8"/>
    <sheet name="MIT_STDAUG" sheetId="12" r:id="rId9"/>
    <sheet name="MIT_PARBS_NOAUG" sheetId="13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NOAUG" sheetId="2" r:id="rId16"/>
    <sheet name="STD_BAL_STDAUG" sheetId="5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19" l="1"/>
  <c r="AE8" i="19"/>
  <c r="AB8" i="19"/>
  <c r="AA8" i="19"/>
  <c r="Z8" i="19"/>
  <c r="Y8" i="19"/>
  <c r="X8" i="19"/>
  <c r="W8" i="19"/>
  <c r="V8" i="19"/>
  <c r="U8" i="19"/>
  <c r="AF4" i="19"/>
  <c r="AE4" i="19"/>
  <c r="AB4" i="19"/>
  <c r="AA4" i="19"/>
  <c r="Z4" i="19"/>
  <c r="Y4" i="19"/>
  <c r="X4" i="19"/>
  <c r="W4" i="19"/>
  <c r="V4" i="19"/>
  <c r="U4" i="19"/>
  <c r="Q5" i="19"/>
  <c r="T5" i="19" s="1"/>
  <c r="AD5" i="19" s="1"/>
  <c r="R5" i="19"/>
  <c r="AC5" i="19" s="1"/>
  <c r="S5" i="19"/>
  <c r="Q8" i="19"/>
  <c r="T8" i="19" s="1"/>
  <c r="AD8" i="19" s="1"/>
  <c r="R8" i="19"/>
  <c r="S8" i="19"/>
  <c r="AC8" i="19"/>
  <c r="Q9" i="19"/>
  <c r="R9" i="19"/>
  <c r="S9" i="19"/>
  <c r="T9" i="19"/>
  <c r="AC9" i="19"/>
  <c r="AD9" i="19"/>
  <c r="Q10" i="19"/>
  <c r="T10" i="19" s="1"/>
  <c r="R10" i="19"/>
  <c r="S10" i="19"/>
  <c r="Q11" i="19"/>
  <c r="R11" i="19"/>
  <c r="AC11" i="19" s="1"/>
  <c r="S11" i="19"/>
  <c r="T11" i="19"/>
  <c r="AD11" i="19" s="1"/>
  <c r="AD4" i="19"/>
  <c r="AC4" i="19"/>
  <c r="T4" i="19"/>
  <c r="S4" i="19"/>
  <c r="R4" i="19"/>
  <c r="Q4" i="19"/>
  <c r="AF4" i="18"/>
  <c r="AE4" i="18"/>
  <c r="AB4" i="18"/>
  <c r="AA4" i="18"/>
  <c r="Z4" i="18"/>
  <c r="Y4" i="18"/>
  <c r="X4" i="18"/>
  <c r="W4" i="18"/>
  <c r="V4" i="18"/>
  <c r="U4" i="18"/>
  <c r="Q5" i="18"/>
  <c r="T5" i="18" s="1"/>
  <c r="R5" i="18"/>
  <c r="S5" i="18"/>
  <c r="AD4" i="18"/>
  <c r="AC4" i="18"/>
  <c r="T4" i="18"/>
  <c r="S4" i="18"/>
  <c r="R4" i="18"/>
  <c r="Q4" i="18"/>
  <c r="AF8" i="17"/>
  <c r="AE8" i="17"/>
  <c r="AB8" i="17"/>
  <c r="AA8" i="17"/>
  <c r="Z8" i="17"/>
  <c r="Y8" i="17"/>
  <c r="X8" i="17"/>
  <c r="W8" i="17"/>
  <c r="V8" i="17"/>
  <c r="U8" i="17"/>
  <c r="Q10" i="17"/>
  <c r="R10" i="17"/>
  <c r="S10" i="17"/>
  <c r="T10" i="17"/>
  <c r="AC10" i="17"/>
  <c r="AD10" i="17"/>
  <c r="Q9" i="17"/>
  <c r="R9" i="17"/>
  <c r="S9" i="17"/>
  <c r="T9" i="17"/>
  <c r="AD8" i="17"/>
  <c r="AC8" i="17"/>
  <c r="T8" i="17"/>
  <c r="S8" i="17"/>
  <c r="R8" i="17"/>
  <c r="Q8" i="17"/>
  <c r="AB8" i="16"/>
  <c r="AF8" i="16"/>
  <c r="AE8" i="16"/>
  <c r="AA8" i="16"/>
  <c r="Z8" i="16"/>
  <c r="Y8" i="16"/>
  <c r="X8" i="16"/>
  <c r="W8" i="16"/>
  <c r="V8" i="16"/>
  <c r="U8" i="16"/>
  <c r="AF4" i="16"/>
  <c r="AE4" i="16"/>
  <c r="AB4" i="16"/>
  <c r="AA4" i="16"/>
  <c r="Z4" i="16"/>
  <c r="Y4" i="16"/>
  <c r="X4" i="16"/>
  <c r="W4" i="16"/>
  <c r="V4" i="16"/>
  <c r="U4" i="16"/>
  <c r="Q5" i="16"/>
  <c r="T5" i="16" s="1"/>
  <c r="R5" i="16"/>
  <c r="S5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AC10" i="16" s="1"/>
  <c r="R10" i="16"/>
  <c r="S10" i="16"/>
  <c r="T10" i="16"/>
  <c r="AD10" i="16" s="1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AD4" i="16"/>
  <c r="AC4" i="16"/>
  <c r="T4" i="16"/>
  <c r="S4" i="16"/>
  <c r="R4" i="16"/>
  <c r="Q4" i="16"/>
  <c r="AF4" i="15"/>
  <c r="AE4" i="15"/>
  <c r="AB4" i="15"/>
  <c r="AA4" i="15"/>
  <c r="Z4" i="15"/>
  <c r="X4" i="15"/>
  <c r="Y4" i="15"/>
  <c r="W4" i="15"/>
  <c r="V4" i="15"/>
  <c r="U4" i="15"/>
  <c r="Q5" i="15"/>
  <c r="R5" i="15"/>
  <c r="S5" i="15"/>
  <c r="T5" i="15"/>
  <c r="AC5" i="15"/>
  <c r="AD5" i="15"/>
  <c r="AD4" i="15"/>
  <c r="AC4" i="15"/>
  <c r="T4" i="15"/>
  <c r="S4" i="15"/>
  <c r="R4" i="15"/>
  <c r="Q4" i="15"/>
  <c r="AF7" i="14"/>
  <c r="AE7" i="14"/>
  <c r="AB7" i="14"/>
  <c r="AA7" i="14"/>
  <c r="Z7" i="14"/>
  <c r="Y7" i="14"/>
  <c r="X7" i="14"/>
  <c r="W7" i="14"/>
  <c r="V7" i="14"/>
  <c r="U7" i="14"/>
  <c r="Q8" i="14"/>
  <c r="AC8" i="14" s="1"/>
  <c r="R8" i="14"/>
  <c r="S8" i="14"/>
  <c r="AD7" i="14"/>
  <c r="AC7" i="14"/>
  <c r="T7" i="14"/>
  <c r="S7" i="14"/>
  <c r="R7" i="14"/>
  <c r="Q7" i="14"/>
  <c r="AD4" i="13"/>
  <c r="AC4" i="13"/>
  <c r="AF7" i="13"/>
  <c r="AE7" i="13"/>
  <c r="AD8" i="13"/>
  <c r="AD9" i="13"/>
  <c r="AD7" i="13"/>
  <c r="AC8" i="13"/>
  <c r="AC9" i="13"/>
  <c r="AC7" i="13"/>
  <c r="AB7" i="13"/>
  <c r="AA7" i="13"/>
  <c r="Z7" i="13"/>
  <c r="Y7" i="13"/>
  <c r="X7" i="13"/>
  <c r="W7" i="13"/>
  <c r="V7" i="13"/>
  <c r="U7" i="13"/>
  <c r="Q7" i="13"/>
  <c r="R7" i="13"/>
  <c r="S7" i="13"/>
  <c r="T7" i="13"/>
  <c r="Q8" i="13"/>
  <c r="R8" i="13"/>
  <c r="S8" i="13"/>
  <c r="T8" i="13"/>
  <c r="Q9" i="13"/>
  <c r="R9" i="13"/>
  <c r="S9" i="13"/>
  <c r="T9" i="13"/>
  <c r="T4" i="13"/>
  <c r="S4" i="13"/>
  <c r="R4" i="13"/>
  <c r="Q4" i="13"/>
  <c r="AF7" i="12"/>
  <c r="AE7" i="12"/>
  <c r="AB7" i="12"/>
  <c r="AA7" i="12"/>
  <c r="Z7" i="12"/>
  <c r="Y7" i="12"/>
  <c r="X7" i="12"/>
  <c r="W7" i="12"/>
  <c r="V7" i="12"/>
  <c r="U7" i="12"/>
  <c r="Q9" i="12"/>
  <c r="T9" i="12" s="1"/>
  <c r="R9" i="12"/>
  <c r="S9" i="12"/>
  <c r="Q10" i="12"/>
  <c r="R10" i="12"/>
  <c r="S10" i="12"/>
  <c r="T10" i="12"/>
  <c r="AC10" i="12"/>
  <c r="AD10" i="12"/>
  <c r="AD8" i="12"/>
  <c r="AC8" i="12"/>
  <c r="T8" i="12"/>
  <c r="S8" i="12"/>
  <c r="R8" i="12"/>
  <c r="Q8" i="12"/>
  <c r="S7" i="12"/>
  <c r="R7" i="12"/>
  <c r="Q7" i="12"/>
  <c r="AC7" i="12" s="1"/>
  <c r="AD4" i="12"/>
  <c r="AC4" i="12"/>
  <c r="T4" i="12"/>
  <c r="S4" i="12"/>
  <c r="R4" i="12"/>
  <c r="Q4" i="12"/>
  <c r="AF7" i="11"/>
  <c r="AE7" i="11"/>
  <c r="AD8" i="11"/>
  <c r="AD9" i="11"/>
  <c r="AD10" i="11"/>
  <c r="AD7" i="11"/>
  <c r="AC8" i="11"/>
  <c r="AC9" i="11"/>
  <c r="AC10" i="11"/>
  <c r="AC7" i="11"/>
  <c r="AB7" i="11"/>
  <c r="AA7" i="11"/>
  <c r="Z7" i="11"/>
  <c r="Y7" i="11"/>
  <c r="X7" i="11"/>
  <c r="W7" i="11"/>
  <c r="V7" i="11"/>
  <c r="U7" i="11"/>
  <c r="Q7" i="11"/>
  <c r="R7" i="11"/>
  <c r="S7" i="11"/>
  <c r="T7" i="11"/>
  <c r="Q8" i="11"/>
  <c r="R8" i="11"/>
  <c r="S8" i="11"/>
  <c r="T8" i="11"/>
  <c r="Q9" i="11"/>
  <c r="T9" i="11" s="1"/>
  <c r="R9" i="11"/>
  <c r="S9" i="11"/>
  <c r="Q10" i="11"/>
  <c r="R10" i="11"/>
  <c r="S10" i="11"/>
  <c r="T10" i="11"/>
  <c r="AE4" i="11"/>
  <c r="AC4" i="11"/>
  <c r="AA4" i="11"/>
  <c r="Y4" i="11"/>
  <c r="W4" i="11"/>
  <c r="U4" i="11"/>
  <c r="T4" i="11"/>
  <c r="S4" i="11"/>
  <c r="R4" i="11"/>
  <c r="Q4" i="11"/>
  <c r="AG15" i="10"/>
  <c r="AE15" i="10"/>
  <c r="AC15" i="10"/>
  <c r="AF15" i="10"/>
  <c r="AD15" i="10"/>
  <c r="AB15" i="10"/>
  <c r="Z91" i="10"/>
  <c r="Y91" i="10"/>
  <c r="X91" i="10"/>
  <c r="W91" i="10"/>
  <c r="Z83" i="10"/>
  <c r="X83" i="10"/>
  <c r="Y83" i="10"/>
  <c r="W83" i="10"/>
  <c r="Z71" i="10"/>
  <c r="X71" i="10"/>
  <c r="Y71" i="10"/>
  <c r="W71" i="10"/>
  <c r="Z66" i="10"/>
  <c r="X66" i="10"/>
  <c r="Y66" i="10"/>
  <c r="W66" i="10"/>
  <c r="Z57" i="10"/>
  <c r="X57" i="10"/>
  <c r="Y57" i="10"/>
  <c r="W57" i="10"/>
  <c r="Z53" i="10"/>
  <c r="X53" i="10"/>
  <c r="Y53" i="10"/>
  <c r="W53" i="10"/>
  <c r="Z42" i="10"/>
  <c r="X42" i="10"/>
  <c r="Y42" i="10"/>
  <c r="W42" i="10"/>
  <c r="Z31" i="10"/>
  <c r="X31" i="10"/>
  <c r="Y31" i="10"/>
  <c r="W31" i="10"/>
  <c r="Z26" i="10"/>
  <c r="X26" i="10"/>
  <c r="Y26" i="10"/>
  <c r="W26" i="10"/>
  <c r="Z15" i="10"/>
  <c r="X15" i="10"/>
  <c r="Y15" i="10"/>
  <c r="W15" i="10"/>
  <c r="Z3" i="10"/>
  <c r="X3" i="10"/>
  <c r="Y3" i="10"/>
  <c r="W3" i="10"/>
  <c r="Q4" i="10"/>
  <c r="R4" i="10"/>
  <c r="S4" i="10"/>
  <c r="T4" i="10"/>
  <c r="U4" i="10"/>
  <c r="V4" i="10"/>
  <c r="Q5" i="10"/>
  <c r="R5" i="10"/>
  <c r="S5" i="10"/>
  <c r="T5" i="10"/>
  <c r="U5" i="10"/>
  <c r="V5" i="10"/>
  <c r="Q6" i="10"/>
  <c r="U6" i="10" s="1"/>
  <c r="R6" i="10"/>
  <c r="S6" i="10"/>
  <c r="T6" i="10"/>
  <c r="V6" i="10" s="1"/>
  <c r="Q7" i="10"/>
  <c r="R7" i="10"/>
  <c r="S7" i="10"/>
  <c r="T7" i="10"/>
  <c r="U7" i="10"/>
  <c r="V7" i="10"/>
  <c r="Q8" i="10"/>
  <c r="R8" i="10"/>
  <c r="S8" i="10"/>
  <c r="T8" i="10"/>
  <c r="U8" i="10"/>
  <c r="V8" i="10"/>
  <c r="Q9" i="10"/>
  <c r="T9" i="10" s="1"/>
  <c r="R9" i="10"/>
  <c r="S9" i="10"/>
  <c r="Q10" i="10"/>
  <c r="R10" i="10"/>
  <c r="S10" i="10"/>
  <c r="T10" i="10"/>
  <c r="U10" i="10"/>
  <c r="V10" i="10"/>
  <c r="Q11" i="10"/>
  <c r="R11" i="10"/>
  <c r="S11" i="10"/>
  <c r="T11" i="10"/>
  <c r="U11" i="10"/>
  <c r="V11" i="10"/>
  <c r="Q12" i="10"/>
  <c r="R12" i="10"/>
  <c r="S12" i="10"/>
  <c r="T12" i="10"/>
  <c r="U12" i="10"/>
  <c r="V12" i="10"/>
  <c r="Q15" i="10"/>
  <c r="R15" i="10"/>
  <c r="S15" i="10"/>
  <c r="T15" i="10"/>
  <c r="U15" i="10"/>
  <c r="V15" i="10"/>
  <c r="Q16" i="10"/>
  <c r="R16" i="10"/>
  <c r="S16" i="10"/>
  <c r="T16" i="10"/>
  <c r="U16" i="10"/>
  <c r="V16" i="10"/>
  <c r="Q17" i="10"/>
  <c r="T17" i="10" s="1"/>
  <c r="R17" i="10"/>
  <c r="S17" i="10"/>
  <c r="Q18" i="10"/>
  <c r="R18" i="10"/>
  <c r="S18" i="10"/>
  <c r="T18" i="10"/>
  <c r="U18" i="10"/>
  <c r="V18" i="10"/>
  <c r="Q19" i="10"/>
  <c r="R19" i="10"/>
  <c r="S19" i="10"/>
  <c r="T19" i="10"/>
  <c r="U19" i="10"/>
  <c r="V19" i="10"/>
  <c r="Q20" i="10"/>
  <c r="R20" i="10"/>
  <c r="S20" i="10"/>
  <c r="T20" i="10"/>
  <c r="U20" i="10"/>
  <c r="V20" i="10"/>
  <c r="Q21" i="10"/>
  <c r="R21" i="10"/>
  <c r="S21" i="10"/>
  <c r="T21" i="10"/>
  <c r="U21" i="10"/>
  <c r="V21" i="10"/>
  <c r="Q22" i="10"/>
  <c r="U22" i="10" s="1"/>
  <c r="R22" i="10"/>
  <c r="S22" i="10"/>
  <c r="T22" i="10"/>
  <c r="V22" i="10" s="1"/>
  <c r="Q23" i="10"/>
  <c r="R23" i="10"/>
  <c r="S23" i="10"/>
  <c r="T23" i="10"/>
  <c r="U23" i="10"/>
  <c r="V23" i="10"/>
  <c r="Q26" i="10"/>
  <c r="R26" i="10"/>
  <c r="S26" i="10"/>
  <c r="T26" i="10"/>
  <c r="U26" i="10"/>
  <c r="V26" i="10"/>
  <c r="Q27" i="10"/>
  <c r="R27" i="10"/>
  <c r="S27" i="10"/>
  <c r="T27" i="10"/>
  <c r="U27" i="10"/>
  <c r="V27" i="10"/>
  <c r="Q28" i="10"/>
  <c r="R28" i="10"/>
  <c r="S28" i="10"/>
  <c r="T28" i="10"/>
  <c r="U28" i="10"/>
  <c r="V28" i="10"/>
  <c r="Q31" i="10"/>
  <c r="R31" i="10"/>
  <c r="S31" i="10"/>
  <c r="T31" i="10"/>
  <c r="U31" i="10"/>
  <c r="V31" i="10"/>
  <c r="Q32" i="10"/>
  <c r="R32" i="10"/>
  <c r="S32" i="10"/>
  <c r="T32" i="10"/>
  <c r="U32" i="10"/>
  <c r="V32" i="10"/>
  <c r="Q33" i="10"/>
  <c r="T33" i="10" s="1"/>
  <c r="R33" i="10"/>
  <c r="S33" i="10"/>
  <c r="Q34" i="10"/>
  <c r="R34" i="10"/>
  <c r="S34" i="10"/>
  <c r="T34" i="10"/>
  <c r="U34" i="10"/>
  <c r="V34" i="10" s="1"/>
  <c r="Q35" i="10"/>
  <c r="R35" i="10"/>
  <c r="S35" i="10"/>
  <c r="T35" i="10"/>
  <c r="U35" i="10"/>
  <c r="V35" i="10"/>
  <c r="Q36" i="10"/>
  <c r="R36" i="10"/>
  <c r="S36" i="10"/>
  <c r="T36" i="10"/>
  <c r="U36" i="10"/>
  <c r="V36" i="10"/>
  <c r="Q37" i="10"/>
  <c r="R37" i="10"/>
  <c r="S37" i="10"/>
  <c r="T37" i="10"/>
  <c r="U37" i="10"/>
  <c r="V37" i="10"/>
  <c r="Q38" i="10"/>
  <c r="U38" i="10" s="1"/>
  <c r="R38" i="10"/>
  <c r="S38" i="10"/>
  <c r="T38" i="10"/>
  <c r="Q39" i="10"/>
  <c r="R39" i="10"/>
  <c r="S39" i="10"/>
  <c r="T39" i="10"/>
  <c r="U39" i="10"/>
  <c r="V39" i="10"/>
  <c r="Q42" i="10"/>
  <c r="R42" i="10"/>
  <c r="S42" i="10"/>
  <c r="T42" i="10"/>
  <c r="U42" i="10"/>
  <c r="V42" i="10"/>
  <c r="Q43" i="10"/>
  <c r="R43" i="10"/>
  <c r="S43" i="10"/>
  <c r="T43" i="10"/>
  <c r="U43" i="10"/>
  <c r="V43" i="10"/>
  <c r="Q44" i="10"/>
  <c r="R44" i="10"/>
  <c r="S44" i="10"/>
  <c r="T44" i="10"/>
  <c r="U44" i="10"/>
  <c r="V44" i="10"/>
  <c r="Q45" i="10"/>
  <c r="R45" i="10"/>
  <c r="S45" i="10"/>
  <c r="T45" i="10"/>
  <c r="U45" i="10"/>
  <c r="V45" i="10"/>
  <c r="Q46" i="10"/>
  <c r="U46" i="10" s="1"/>
  <c r="R46" i="10"/>
  <c r="S46" i="10"/>
  <c r="T46" i="10"/>
  <c r="V46" i="10" s="1"/>
  <c r="Q47" i="10"/>
  <c r="R47" i="10"/>
  <c r="S47" i="10"/>
  <c r="T47" i="10"/>
  <c r="U47" i="10"/>
  <c r="V47" i="10"/>
  <c r="Q48" i="10"/>
  <c r="R48" i="10"/>
  <c r="S48" i="10"/>
  <c r="T48" i="10"/>
  <c r="U48" i="10"/>
  <c r="V48" i="10"/>
  <c r="Q49" i="10"/>
  <c r="T49" i="10" s="1"/>
  <c r="R49" i="10"/>
  <c r="S49" i="10"/>
  <c r="Q50" i="10"/>
  <c r="R50" i="10"/>
  <c r="S50" i="10"/>
  <c r="T50" i="10"/>
  <c r="U50" i="10"/>
  <c r="V50" i="10"/>
  <c r="Q53" i="10"/>
  <c r="R53" i="10"/>
  <c r="S53" i="10"/>
  <c r="T53" i="10"/>
  <c r="U53" i="10"/>
  <c r="V53" i="10"/>
  <c r="Q54" i="10"/>
  <c r="U54" i="10" s="1"/>
  <c r="R54" i="10"/>
  <c r="S54" i="10"/>
  <c r="T54" i="10"/>
  <c r="V54" i="10" s="1"/>
  <c r="Q57" i="10"/>
  <c r="T57" i="10" s="1"/>
  <c r="R57" i="10"/>
  <c r="S57" i="10"/>
  <c r="Q58" i="10"/>
  <c r="R58" i="10"/>
  <c r="S58" i="10"/>
  <c r="T58" i="10"/>
  <c r="U58" i="10"/>
  <c r="V58" i="10"/>
  <c r="Q59" i="10"/>
  <c r="R59" i="10"/>
  <c r="S59" i="10"/>
  <c r="T59" i="10"/>
  <c r="U59" i="10"/>
  <c r="V59" i="10"/>
  <c r="Q60" i="10"/>
  <c r="R60" i="10"/>
  <c r="S60" i="10"/>
  <c r="T60" i="10"/>
  <c r="U60" i="10"/>
  <c r="V60" i="10"/>
  <c r="Q61" i="10"/>
  <c r="R61" i="10"/>
  <c r="S61" i="10"/>
  <c r="T61" i="10"/>
  <c r="U61" i="10"/>
  <c r="V61" i="10"/>
  <c r="Q62" i="10"/>
  <c r="U62" i="10" s="1"/>
  <c r="R62" i="10"/>
  <c r="S62" i="10"/>
  <c r="T62" i="10"/>
  <c r="V62" i="10" s="1"/>
  <c r="Q63" i="10"/>
  <c r="R63" i="10"/>
  <c r="S63" i="10"/>
  <c r="T63" i="10"/>
  <c r="U63" i="10"/>
  <c r="V63" i="10"/>
  <c r="Q66" i="10"/>
  <c r="R66" i="10"/>
  <c r="S66" i="10"/>
  <c r="T66" i="10"/>
  <c r="U66" i="10"/>
  <c r="V66" i="10"/>
  <c r="Q67" i="10"/>
  <c r="R67" i="10"/>
  <c r="S67" i="10"/>
  <c r="T67" i="10"/>
  <c r="U67" i="10"/>
  <c r="V67" i="10"/>
  <c r="Q68" i="10"/>
  <c r="R68" i="10"/>
  <c r="S68" i="10"/>
  <c r="T68" i="10"/>
  <c r="U68" i="10"/>
  <c r="V68" i="10"/>
  <c r="Q71" i="10"/>
  <c r="R71" i="10"/>
  <c r="S71" i="10"/>
  <c r="T71" i="10"/>
  <c r="U71" i="10"/>
  <c r="V71" i="10"/>
  <c r="Q72" i="10"/>
  <c r="R72" i="10"/>
  <c r="S72" i="10"/>
  <c r="T72" i="10"/>
  <c r="U72" i="10"/>
  <c r="V72" i="10"/>
  <c r="Q73" i="10"/>
  <c r="T73" i="10" s="1"/>
  <c r="R73" i="10"/>
  <c r="S73" i="10"/>
  <c r="Q74" i="10"/>
  <c r="R74" i="10"/>
  <c r="S74" i="10"/>
  <c r="T74" i="10"/>
  <c r="U74" i="10"/>
  <c r="V74" i="10"/>
  <c r="Q75" i="10"/>
  <c r="R75" i="10"/>
  <c r="S75" i="10"/>
  <c r="T75" i="10"/>
  <c r="U75" i="10"/>
  <c r="V75" i="10"/>
  <c r="Q76" i="10"/>
  <c r="R76" i="10"/>
  <c r="S76" i="10"/>
  <c r="T76" i="10"/>
  <c r="U76" i="10"/>
  <c r="V76" i="10"/>
  <c r="Q77" i="10"/>
  <c r="R77" i="10"/>
  <c r="S77" i="10"/>
  <c r="T77" i="10"/>
  <c r="U77" i="10"/>
  <c r="V77" i="10"/>
  <c r="Q78" i="10"/>
  <c r="U78" i="10" s="1"/>
  <c r="R78" i="10"/>
  <c r="S78" i="10"/>
  <c r="T78" i="10"/>
  <c r="V78" i="10" s="1"/>
  <c r="Q79" i="10"/>
  <c r="R79" i="10"/>
  <c r="S79" i="10"/>
  <c r="T79" i="10"/>
  <c r="U79" i="10"/>
  <c r="V79" i="10"/>
  <c r="Q80" i="10"/>
  <c r="R80" i="10"/>
  <c r="S80" i="10"/>
  <c r="T80" i="10"/>
  <c r="U80" i="10"/>
  <c r="V80" i="10"/>
  <c r="Q83" i="10"/>
  <c r="R83" i="10"/>
  <c r="S83" i="10"/>
  <c r="T83" i="10"/>
  <c r="U83" i="10"/>
  <c r="V83" i="10"/>
  <c r="Q84" i="10"/>
  <c r="R84" i="10"/>
  <c r="S84" i="10"/>
  <c r="T84" i="10"/>
  <c r="U84" i="10"/>
  <c r="V84" i="10"/>
  <c r="Q85" i="10"/>
  <c r="R85" i="10"/>
  <c r="S85" i="10"/>
  <c r="T85" i="10"/>
  <c r="U85" i="10"/>
  <c r="V85" i="10"/>
  <c r="Q86" i="10"/>
  <c r="U86" i="10" s="1"/>
  <c r="R86" i="10"/>
  <c r="S86" i="10"/>
  <c r="T86" i="10"/>
  <c r="V86" i="10" s="1"/>
  <c r="Q87" i="10"/>
  <c r="R87" i="10"/>
  <c r="S87" i="10"/>
  <c r="T87" i="10"/>
  <c r="U87" i="10"/>
  <c r="V87" i="10"/>
  <c r="Q88" i="10"/>
  <c r="R88" i="10"/>
  <c r="S88" i="10"/>
  <c r="T88" i="10"/>
  <c r="U88" i="10"/>
  <c r="V88" i="10"/>
  <c r="Q91" i="10"/>
  <c r="R91" i="10"/>
  <c r="S91" i="10"/>
  <c r="T91" i="10"/>
  <c r="U91" i="10"/>
  <c r="V91" i="10"/>
  <c r="Q92" i="10"/>
  <c r="R92" i="10"/>
  <c r="S92" i="10"/>
  <c r="T92" i="10"/>
  <c r="U92" i="10"/>
  <c r="V92" i="10"/>
  <c r="Q93" i="10"/>
  <c r="R93" i="10"/>
  <c r="S93" i="10"/>
  <c r="T93" i="10"/>
  <c r="U93" i="10"/>
  <c r="V93" i="10"/>
  <c r="Q94" i="10"/>
  <c r="U94" i="10" s="1"/>
  <c r="R94" i="10"/>
  <c r="S94" i="10"/>
  <c r="T94" i="10"/>
  <c r="V94" i="10" s="1"/>
  <c r="Q95" i="10"/>
  <c r="R95" i="10"/>
  <c r="S95" i="10"/>
  <c r="T95" i="10"/>
  <c r="U95" i="10"/>
  <c r="V95" i="10"/>
  <c r="Q96" i="10"/>
  <c r="R96" i="10"/>
  <c r="S96" i="10"/>
  <c r="T96" i="10"/>
  <c r="U96" i="10"/>
  <c r="V96" i="10"/>
  <c r="Q97" i="10"/>
  <c r="T97" i="10" s="1"/>
  <c r="R97" i="10"/>
  <c r="S97" i="10"/>
  <c r="Q98" i="10"/>
  <c r="R98" i="10"/>
  <c r="S98" i="10"/>
  <c r="T98" i="10"/>
  <c r="U98" i="10"/>
  <c r="V98" i="10"/>
  <c r="Q99" i="10"/>
  <c r="R99" i="10"/>
  <c r="S99" i="10"/>
  <c r="T99" i="10"/>
  <c r="U99" i="10"/>
  <c r="V99" i="10"/>
  <c r="V3" i="10"/>
  <c r="U3" i="10"/>
  <c r="T3" i="10"/>
  <c r="S3" i="10"/>
  <c r="R3" i="10"/>
  <c r="Q3" i="10"/>
  <c r="AG2" i="9"/>
  <c r="AF2" i="9"/>
  <c r="AE3" i="9"/>
  <c r="AE4" i="9"/>
  <c r="AE5" i="9"/>
  <c r="AE6" i="9"/>
  <c r="AE7" i="9"/>
  <c r="AE8" i="9"/>
  <c r="AE9" i="9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2" i="9"/>
  <c r="AD3" i="9"/>
  <c r="AD4" i="9"/>
  <c r="AD5" i="9"/>
  <c r="AD6" i="9"/>
  <c r="AD7" i="9"/>
  <c r="AD8" i="9"/>
  <c r="AD9" i="9"/>
  <c r="AD10" i="9"/>
  <c r="AD11" i="9"/>
  <c r="AD12" i="9"/>
  <c r="AD13" i="9"/>
  <c r="AD14" i="9"/>
  <c r="AD15" i="9"/>
  <c r="AD16" i="9"/>
  <c r="AD17" i="9"/>
  <c r="AD18" i="9"/>
  <c r="AD19" i="9"/>
  <c r="AD20" i="9"/>
  <c r="AD21" i="9"/>
  <c r="AD22" i="9"/>
  <c r="AD23" i="9"/>
  <c r="AD24" i="9"/>
  <c r="AD25" i="9"/>
  <c r="AD26" i="9"/>
  <c r="AD27" i="9"/>
  <c r="AD28" i="9"/>
  <c r="AD29" i="9"/>
  <c r="AD30" i="9"/>
  <c r="AD31" i="9"/>
  <c r="AD32" i="9"/>
  <c r="AD33" i="9"/>
  <c r="AD34" i="9"/>
  <c r="AD2" i="9"/>
  <c r="AC2" i="9"/>
  <c r="AB2" i="9"/>
  <c r="AA2" i="9"/>
  <c r="Z2" i="9"/>
  <c r="Y2" i="9"/>
  <c r="X2" i="9"/>
  <c r="W2" i="9"/>
  <c r="V2" i="9"/>
  <c r="R3" i="9"/>
  <c r="S3" i="9"/>
  <c r="T3" i="9"/>
  <c r="U3" i="9"/>
  <c r="R4" i="9"/>
  <c r="S4" i="9"/>
  <c r="T4" i="9"/>
  <c r="U4" i="9"/>
  <c r="R5" i="9"/>
  <c r="S5" i="9"/>
  <c r="T5" i="9"/>
  <c r="U5" i="9"/>
  <c r="R6" i="9"/>
  <c r="S6" i="9"/>
  <c r="T6" i="9"/>
  <c r="U6" i="9"/>
  <c r="R7" i="9"/>
  <c r="S7" i="9"/>
  <c r="T7" i="9"/>
  <c r="U7" i="9"/>
  <c r="R8" i="9"/>
  <c r="S8" i="9"/>
  <c r="T8" i="9"/>
  <c r="U8" i="9"/>
  <c r="R9" i="9"/>
  <c r="S9" i="9"/>
  <c r="T9" i="9"/>
  <c r="U9" i="9"/>
  <c r="R10" i="9"/>
  <c r="S10" i="9"/>
  <c r="T10" i="9"/>
  <c r="U10" i="9"/>
  <c r="R11" i="9"/>
  <c r="S11" i="9"/>
  <c r="T11" i="9"/>
  <c r="U11" i="9"/>
  <c r="R12" i="9"/>
  <c r="S12" i="9"/>
  <c r="T12" i="9"/>
  <c r="U12" i="9"/>
  <c r="R13" i="9"/>
  <c r="S13" i="9"/>
  <c r="T13" i="9"/>
  <c r="U13" i="9"/>
  <c r="R14" i="9"/>
  <c r="S14" i="9"/>
  <c r="T14" i="9"/>
  <c r="U14" i="9"/>
  <c r="R15" i="9"/>
  <c r="S15" i="9"/>
  <c r="T15" i="9"/>
  <c r="U15" i="9"/>
  <c r="R16" i="9"/>
  <c r="S16" i="9"/>
  <c r="T16" i="9"/>
  <c r="U16" i="9"/>
  <c r="R17" i="9"/>
  <c r="S17" i="9"/>
  <c r="T17" i="9"/>
  <c r="U17" i="9"/>
  <c r="R18" i="9"/>
  <c r="S18" i="9"/>
  <c r="T18" i="9"/>
  <c r="U18" i="9" s="1"/>
  <c r="R19" i="9"/>
  <c r="S19" i="9"/>
  <c r="T19" i="9"/>
  <c r="U19" i="9"/>
  <c r="R20" i="9"/>
  <c r="S20" i="9"/>
  <c r="T20" i="9"/>
  <c r="U20" i="9"/>
  <c r="R21" i="9"/>
  <c r="S21" i="9"/>
  <c r="T21" i="9"/>
  <c r="U21" i="9"/>
  <c r="R22" i="9"/>
  <c r="S22" i="9"/>
  <c r="T22" i="9"/>
  <c r="U22" i="9"/>
  <c r="R23" i="9"/>
  <c r="S23" i="9"/>
  <c r="T23" i="9"/>
  <c r="U23" i="9"/>
  <c r="R24" i="9"/>
  <c r="S24" i="9"/>
  <c r="T24" i="9"/>
  <c r="U24" i="9"/>
  <c r="R25" i="9"/>
  <c r="S25" i="9"/>
  <c r="T25" i="9"/>
  <c r="U25" i="9"/>
  <c r="R26" i="9"/>
  <c r="S26" i="9"/>
  <c r="T26" i="9"/>
  <c r="U26" i="9"/>
  <c r="R27" i="9"/>
  <c r="S27" i="9"/>
  <c r="T27" i="9"/>
  <c r="U27" i="9"/>
  <c r="R28" i="9"/>
  <c r="S28" i="9"/>
  <c r="T28" i="9"/>
  <c r="U28" i="9"/>
  <c r="R29" i="9"/>
  <c r="S29" i="9"/>
  <c r="T29" i="9"/>
  <c r="U29" i="9"/>
  <c r="R30" i="9"/>
  <c r="S30" i="9"/>
  <c r="T30" i="9"/>
  <c r="U30" i="9"/>
  <c r="R31" i="9"/>
  <c r="S31" i="9"/>
  <c r="T31" i="9"/>
  <c r="U31" i="9"/>
  <c r="R32" i="9"/>
  <c r="S32" i="9"/>
  <c r="T32" i="9"/>
  <c r="U32" i="9"/>
  <c r="R33" i="9"/>
  <c r="S33" i="9"/>
  <c r="T33" i="9"/>
  <c r="U33" i="9"/>
  <c r="R34" i="9"/>
  <c r="S34" i="9"/>
  <c r="T34" i="9"/>
  <c r="U34" i="9"/>
  <c r="U2" i="9"/>
  <c r="T2" i="9"/>
  <c r="S2" i="9"/>
  <c r="R2" i="9"/>
  <c r="Z14" i="8"/>
  <c r="X14" i="8"/>
  <c r="V14" i="8"/>
  <c r="Y14" i="8"/>
  <c r="W14" i="8"/>
  <c r="U14" i="8"/>
  <c r="Y9" i="8"/>
  <c r="W9" i="8"/>
  <c r="U9" i="8"/>
  <c r="AB9" i="8"/>
  <c r="Q9" i="8"/>
  <c r="R9" i="8"/>
  <c r="S9" i="8"/>
  <c r="Q10" i="8"/>
  <c r="R10" i="8"/>
  <c r="S10" i="8"/>
  <c r="Q14" i="8"/>
  <c r="R14" i="8"/>
  <c r="S14" i="8"/>
  <c r="Q15" i="8"/>
  <c r="R15" i="8"/>
  <c r="S15" i="8"/>
  <c r="Q16" i="8"/>
  <c r="R16" i="8"/>
  <c r="S16" i="8"/>
  <c r="S4" i="8"/>
  <c r="R4" i="8"/>
  <c r="Q4" i="8"/>
  <c r="AF32" i="7"/>
  <c r="AE32" i="7"/>
  <c r="AD32" i="7"/>
  <c r="AC32" i="7"/>
  <c r="AB32" i="7"/>
  <c r="AA32" i="7"/>
  <c r="Z32" i="7"/>
  <c r="Y32" i="7"/>
  <c r="X32" i="7"/>
  <c r="W32" i="7"/>
  <c r="AF24" i="7"/>
  <c r="AE24" i="7"/>
  <c r="AD24" i="7"/>
  <c r="AC24" i="7"/>
  <c r="AB24" i="7"/>
  <c r="AA24" i="7"/>
  <c r="Z24" i="7"/>
  <c r="Y24" i="7"/>
  <c r="X24" i="7"/>
  <c r="W24" i="7"/>
  <c r="AF17" i="7"/>
  <c r="AE17" i="7"/>
  <c r="AD17" i="7"/>
  <c r="AC17" i="7"/>
  <c r="AB17" i="7"/>
  <c r="AA17" i="7"/>
  <c r="Z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T20" i="7"/>
  <c r="Q24" i="7"/>
  <c r="U24" i="7" s="1"/>
  <c r="R24" i="7"/>
  <c r="T24" i="7" s="1"/>
  <c r="S24" i="7"/>
  <c r="Q25" i="7"/>
  <c r="T25" i="7" s="1"/>
  <c r="R25" i="7"/>
  <c r="S25" i="7"/>
  <c r="Q26" i="7"/>
  <c r="R26" i="7"/>
  <c r="S26" i="7"/>
  <c r="T26" i="7"/>
  <c r="U26" i="7"/>
  <c r="V26" i="7"/>
  <c r="Q27" i="7"/>
  <c r="T27" i="7" s="1"/>
  <c r="R27" i="7"/>
  <c r="S27" i="7"/>
  <c r="Q32" i="7"/>
  <c r="U32" i="7" s="1"/>
  <c r="R32" i="7"/>
  <c r="T32" i="7" s="1"/>
  <c r="V32" i="7" s="1"/>
  <c r="S32" i="7"/>
  <c r="Q33" i="7"/>
  <c r="T33" i="7" s="1"/>
  <c r="R33" i="7"/>
  <c r="S33" i="7"/>
  <c r="Q34" i="7"/>
  <c r="R34" i="7"/>
  <c r="S34" i="7"/>
  <c r="T34" i="7"/>
  <c r="U34" i="7"/>
  <c r="V34" i="7"/>
  <c r="Q35" i="7"/>
  <c r="T35" i="7" s="1"/>
  <c r="R35" i="7"/>
  <c r="S35" i="7"/>
  <c r="Q36" i="7"/>
  <c r="U36" i="7" s="1"/>
  <c r="R36" i="7"/>
  <c r="S36" i="7"/>
  <c r="T36" i="7"/>
  <c r="Q37" i="7"/>
  <c r="R37" i="7"/>
  <c r="S37" i="7"/>
  <c r="T37" i="7"/>
  <c r="V37" i="7" s="1"/>
  <c r="U37" i="7"/>
  <c r="V3" i="7"/>
  <c r="U3" i="7"/>
  <c r="T3" i="7"/>
  <c r="S3" i="7"/>
  <c r="R3" i="7"/>
  <c r="Q3" i="7"/>
  <c r="AH13" i="5"/>
  <c r="AG13" i="5"/>
  <c r="AF13" i="5"/>
  <c r="AE13" i="5"/>
  <c r="AD13" i="5"/>
  <c r="AC13" i="5"/>
  <c r="AH12" i="5"/>
  <c r="AG12" i="5"/>
  <c r="AF12" i="5"/>
  <c r="AE12" i="5"/>
  <c r="AD12" i="5"/>
  <c r="AC12" i="5"/>
  <c r="AH7" i="6"/>
  <c r="AG7" i="6"/>
  <c r="AF7" i="6"/>
  <c r="AE7" i="6"/>
  <c r="AD7" i="6"/>
  <c r="AC7" i="6"/>
  <c r="U17" i="6"/>
  <c r="Z24" i="6"/>
  <c r="Z10" i="6"/>
  <c r="Z3" i="6"/>
  <c r="Z31" i="6"/>
  <c r="Y31" i="6"/>
  <c r="X31" i="6"/>
  <c r="W31" i="6"/>
  <c r="X24" i="6"/>
  <c r="X17" i="6"/>
  <c r="X10" i="6"/>
  <c r="X3" i="6"/>
  <c r="Y24" i="6"/>
  <c r="W24" i="6"/>
  <c r="Y17" i="6"/>
  <c r="W17" i="6"/>
  <c r="Y10" i="6"/>
  <c r="W10" i="6"/>
  <c r="Y3" i="6"/>
  <c r="W3" i="6"/>
  <c r="T6" i="6"/>
  <c r="U6" i="6"/>
  <c r="V6" i="6"/>
  <c r="T10" i="6"/>
  <c r="V10" i="6" s="1"/>
  <c r="U10" i="6"/>
  <c r="T11" i="6"/>
  <c r="V11" i="6" s="1"/>
  <c r="U11" i="6"/>
  <c r="T17" i="6"/>
  <c r="V17" i="6"/>
  <c r="Z17" i="6" s="1"/>
  <c r="T18" i="6"/>
  <c r="U18" i="6"/>
  <c r="V18" i="6" s="1"/>
  <c r="T19" i="6"/>
  <c r="U19" i="6"/>
  <c r="V19" i="6"/>
  <c r="U20" i="6"/>
  <c r="U24" i="6"/>
  <c r="T32" i="6"/>
  <c r="U33" i="6"/>
  <c r="V3" i="6"/>
  <c r="U3" i="6"/>
  <c r="T3" i="6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R11" i="6"/>
  <c r="S11" i="6"/>
  <c r="Q12" i="6"/>
  <c r="R12" i="6"/>
  <c r="S12" i="6"/>
  <c r="T12" i="6" s="1"/>
  <c r="Q13" i="6"/>
  <c r="T13" i="6" s="1"/>
  <c r="R13" i="6"/>
  <c r="S13" i="6"/>
  <c r="Q17" i="6"/>
  <c r="R17" i="6"/>
  <c r="S17" i="6"/>
  <c r="Q18" i="6"/>
  <c r="R18" i="6"/>
  <c r="S18" i="6"/>
  <c r="Q19" i="6"/>
  <c r="R19" i="6"/>
  <c r="S19" i="6"/>
  <c r="Q20" i="6"/>
  <c r="R20" i="6"/>
  <c r="S20" i="6"/>
  <c r="T20" i="6" s="1"/>
  <c r="V20" i="6" s="1"/>
  <c r="Q24" i="6"/>
  <c r="R24" i="6"/>
  <c r="S24" i="6"/>
  <c r="T24" i="6" s="1"/>
  <c r="V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V27" i="6" s="1"/>
  <c r="R27" i="6"/>
  <c r="U27" i="6" s="1"/>
  <c r="S27" i="6"/>
  <c r="Q31" i="6"/>
  <c r="T31" i="6" s="1"/>
  <c r="R31" i="6"/>
  <c r="U31" i="6" s="1"/>
  <c r="S31" i="6"/>
  <c r="Q32" i="6"/>
  <c r="U32" i="6" s="1"/>
  <c r="R32" i="6"/>
  <c r="S32" i="6"/>
  <c r="Q33" i="6"/>
  <c r="T33" i="6" s="1"/>
  <c r="V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Y101" i="5"/>
  <c r="W101" i="5"/>
  <c r="Z101" i="5"/>
  <c r="X101" i="5"/>
  <c r="Z92" i="5"/>
  <c r="X92" i="5"/>
  <c r="Z79" i="5"/>
  <c r="X79" i="5"/>
  <c r="Z73" i="5"/>
  <c r="X73" i="5"/>
  <c r="Z63" i="5"/>
  <c r="X63" i="5"/>
  <c r="Z58" i="5"/>
  <c r="X58" i="5"/>
  <c r="Z46" i="5"/>
  <c r="X46" i="5"/>
  <c r="Z34" i="5"/>
  <c r="X34" i="5"/>
  <c r="Z28" i="5"/>
  <c r="X28" i="5"/>
  <c r="Z16" i="5"/>
  <c r="X16" i="5"/>
  <c r="Y92" i="5"/>
  <c r="W92" i="5"/>
  <c r="Y79" i="5"/>
  <c r="W79" i="5"/>
  <c r="Y73" i="5"/>
  <c r="W73" i="5"/>
  <c r="Y63" i="5"/>
  <c r="W63" i="5"/>
  <c r="Y58" i="5"/>
  <c r="W58" i="5"/>
  <c r="Y46" i="5"/>
  <c r="W46" i="5"/>
  <c r="Y34" i="5"/>
  <c r="W34" i="5"/>
  <c r="Y28" i="5"/>
  <c r="W28" i="5"/>
  <c r="Y16" i="5"/>
  <c r="W16" i="5"/>
  <c r="Z3" i="5"/>
  <c r="Y3" i="5"/>
  <c r="X3" i="5"/>
  <c r="W3" i="5"/>
  <c r="V4" i="5"/>
  <c r="V5" i="5"/>
  <c r="V6" i="5"/>
  <c r="V7" i="5"/>
  <c r="V8" i="5"/>
  <c r="V9" i="5"/>
  <c r="V10" i="5"/>
  <c r="V11" i="5"/>
  <c r="V12" i="5"/>
  <c r="V16" i="5"/>
  <c r="V17" i="5"/>
  <c r="V18" i="5"/>
  <c r="V19" i="5"/>
  <c r="V20" i="5"/>
  <c r="V21" i="5"/>
  <c r="V22" i="5"/>
  <c r="V23" i="5"/>
  <c r="V24" i="5"/>
  <c r="V28" i="5"/>
  <c r="V29" i="5"/>
  <c r="V30" i="5"/>
  <c r="V34" i="5"/>
  <c r="V35" i="5"/>
  <c r="V36" i="5"/>
  <c r="V37" i="5"/>
  <c r="V38" i="5"/>
  <c r="V39" i="5"/>
  <c r="V40" i="5"/>
  <c r="V41" i="5"/>
  <c r="V42" i="5"/>
  <c r="V46" i="5"/>
  <c r="V47" i="5"/>
  <c r="V48" i="5"/>
  <c r="V49" i="5"/>
  <c r="V50" i="5"/>
  <c r="V51" i="5"/>
  <c r="V52" i="5"/>
  <c r="V53" i="5"/>
  <c r="V54" i="5"/>
  <c r="V58" i="5"/>
  <c r="V59" i="5"/>
  <c r="V63" i="5"/>
  <c r="V64" i="5"/>
  <c r="V65" i="5"/>
  <c r="V66" i="5"/>
  <c r="V67" i="5"/>
  <c r="V68" i="5"/>
  <c r="V69" i="5"/>
  <c r="V73" i="5"/>
  <c r="V74" i="5"/>
  <c r="V75" i="5"/>
  <c r="V79" i="5"/>
  <c r="V80" i="5"/>
  <c r="V81" i="5"/>
  <c r="V82" i="5"/>
  <c r="V83" i="5"/>
  <c r="V84" i="5"/>
  <c r="V85" i="5"/>
  <c r="V86" i="5"/>
  <c r="V87" i="5"/>
  <c r="V88" i="5"/>
  <c r="V92" i="5"/>
  <c r="V93" i="5"/>
  <c r="V94" i="5"/>
  <c r="V95" i="5"/>
  <c r="V96" i="5"/>
  <c r="V97" i="5"/>
  <c r="V101" i="5"/>
  <c r="V102" i="5"/>
  <c r="V103" i="5"/>
  <c r="V104" i="5"/>
  <c r="V105" i="5"/>
  <c r="V106" i="5"/>
  <c r="V107" i="5"/>
  <c r="V108" i="5"/>
  <c r="V109" i="5"/>
  <c r="V3" i="5"/>
  <c r="U4" i="5"/>
  <c r="U5" i="5"/>
  <c r="U6" i="5"/>
  <c r="U7" i="5"/>
  <c r="U8" i="5"/>
  <c r="U9" i="5"/>
  <c r="U10" i="5"/>
  <c r="U11" i="5"/>
  <c r="U12" i="5"/>
  <c r="U16" i="5"/>
  <c r="U17" i="5"/>
  <c r="U18" i="5"/>
  <c r="U19" i="5"/>
  <c r="U20" i="5"/>
  <c r="U21" i="5"/>
  <c r="U22" i="5"/>
  <c r="U23" i="5"/>
  <c r="U24" i="5"/>
  <c r="U28" i="5"/>
  <c r="U29" i="5"/>
  <c r="U30" i="5"/>
  <c r="U34" i="5"/>
  <c r="U35" i="5"/>
  <c r="U36" i="5"/>
  <c r="U37" i="5"/>
  <c r="U38" i="5"/>
  <c r="U39" i="5"/>
  <c r="U40" i="5"/>
  <c r="U41" i="5"/>
  <c r="U42" i="5"/>
  <c r="U46" i="5"/>
  <c r="U47" i="5"/>
  <c r="U48" i="5"/>
  <c r="U49" i="5"/>
  <c r="U50" i="5"/>
  <c r="U51" i="5"/>
  <c r="U52" i="5"/>
  <c r="U53" i="5"/>
  <c r="U54" i="5"/>
  <c r="U58" i="5"/>
  <c r="U59" i="5"/>
  <c r="U63" i="5"/>
  <c r="U64" i="5"/>
  <c r="U65" i="5"/>
  <c r="U66" i="5"/>
  <c r="U67" i="5"/>
  <c r="U68" i="5"/>
  <c r="U69" i="5"/>
  <c r="U73" i="5"/>
  <c r="U74" i="5"/>
  <c r="U75" i="5"/>
  <c r="U79" i="5"/>
  <c r="U80" i="5"/>
  <c r="U81" i="5"/>
  <c r="U82" i="5"/>
  <c r="U83" i="5"/>
  <c r="U84" i="5"/>
  <c r="U85" i="5"/>
  <c r="U86" i="5"/>
  <c r="U87" i="5"/>
  <c r="U88" i="5"/>
  <c r="U92" i="5"/>
  <c r="U93" i="5"/>
  <c r="U94" i="5"/>
  <c r="U95" i="5"/>
  <c r="U96" i="5"/>
  <c r="U97" i="5"/>
  <c r="U101" i="5"/>
  <c r="U102" i="5"/>
  <c r="U103" i="5"/>
  <c r="U104" i="5"/>
  <c r="U105" i="5"/>
  <c r="U106" i="5"/>
  <c r="U107" i="5"/>
  <c r="U108" i="5"/>
  <c r="U109" i="5"/>
  <c r="U3" i="5"/>
  <c r="T4" i="5"/>
  <c r="T5" i="5"/>
  <c r="T6" i="5"/>
  <c r="T7" i="5"/>
  <c r="T8" i="5"/>
  <c r="T9" i="5"/>
  <c r="T10" i="5"/>
  <c r="T11" i="5"/>
  <c r="T12" i="5"/>
  <c r="T16" i="5"/>
  <c r="T17" i="5"/>
  <c r="T18" i="5"/>
  <c r="T19" i="5"/>
  <c r="T20" i="5"/>
  <c r="T21" i="5"/>
  <c r="T22" i="5"/>
  <c r="T23" i="5"/>
  <c r="T24" i="5"/>
  <c r="T28" i="5"/>
  <c r="T29" i="5"/>
  <c r="T30" i="5"/>
  <c r="T34" i="5"/>
  <c r="T35" i="5"/>
  <c r="T36" i="5"/>
  <c r="T37" i="5"/>
  <c r="T38" i="5"/>
  <c r="T39" i="5"/>
  <c r="T40" i="5"/>
  <c r="T41" i="5"/>
  <c r="T42" i="5"/>
  <c r="T46" i="5"/>
  <c r="T47" i="5"/>
  <c r="T48" i="5"/>
  <c r="T49" i="5"/>
  <c r="T50" i="5"/>
  <c r="T51" i="5"/>
  <c r="T52" i="5"/>
  <c r="T53" i="5"/>
  <c r="T54" i="5"/>
  <c r="T58" i="5"/>
  <c r="T59" i="5"/>
  <c r="T63" i="5"/>
  <c r="T64" i="5"/>
  <c r="T65" i="5"/>
  <c r="T66" i="5"/>
  <c r="T67" i="5"/>
  <c r="T68" i="5"/>
  <c r="T69" i="5"/>
  <c r="T73" i="5"/>
  <c r="T74" i="5"/>
  <c r="T75" i="5"/>
  <c r="T79" i="5"/>
  <c r="T80" i="5"/>
  <c r="T81" i="5"/>
  <c r="T82" i="5"/>
  <c r="T83" i="5"/>
  <c r="T84" i="5"/>
  <c r="T85" i="5"/>
  <c r="T86" i="5"/>
  <c r="T87" i="5"/>
  <c r="T88" i="5"/>
  <c r="T92" i="5"/>
  <c r="T93" i="5"/>
  <c r="T94" i="5"/>
  <c r="T95" i="5"/>
  <c r="T96" i="5"/>
  <c r="T97" i="5"/>
  <c r="T101" i="5"/>
  <c r="T102" i="5"/>
  <c r="T103" i="5"/>
  <c r="T104" i="5"/>
  <c r="T105" i="5"/>
  <c r="T106" i="5"/>
  <c r="T107" i="5"/>
  <c r="T108" i="5"/>
  <c r="T109" i="5"/>
  <c r="T3" i="5"/>
  <c r="S4" i="5"/>
  <c r="S5" i="5"/>
  <c r="S6" i="5"/>
  <c r="S7" i="5"/>
  <c r="S8" i="5"/>
  <c r="S9" i="5"/>
  <c r="S10" i="5"/>
  <c r="S11" i="5"/>
  <c r="S12" i="5"/>
  <c r="S16" i="5"/>
  <c r="S17" i="5"/>
  <c r="S18" i="5"/>
  <c r="S19" i="5"/>
  <c r="S20" i="5"/>
  <c r="S21" i="5"/>
  <c r="S22" i="5"/>
  <c r="S23" i="5"/>
  <c r="S24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19" i="5"/>
  <c r="R20" i="5"/>
  <c r="R21" i="5"/>
  <c r="R22" i="5"/>
  <c r="R23" i="5"/>
  <c r="R24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Q5" i="5"/>
  <c r="Q6" i="5"/>
  <c r="Q7" i="5"/>
  <c r="Q8" i="5"/>
  <c r="Q9" i="5"/>
  <c r="Q10" i="5"/>
  <c r="Q11" i="5"/>
  <c r="Q12" i="5"/>
  <c r="Q16" i="5"/>
  <c r="Q17" i="5"/>
  <c r="Q18" i="5"/>
  <c r="Q19" i="5"/>
  <c r="Q20" i="5"/>
  <c r="Q21" i="5"/>
  <c r="Q22" i="5"/>
  <c r="Q23" i="5"/>
  <c r="Q24" i="5"/>
  <c r="Q28" i="5"/>
  <c r="Q29" i="5"/>
  <c r="Q30" i="5"/>
  <c r="Q34" i="5"/>
  <c r="Q35" i="5"/>
  <c r="Q36" i="5"/>
  <c r="Q37" i="5"/>
  <c r="Q38" i="5"/>
  <c r="Q39" i="5"/>
  <c r="Q40" i="5"/>
  <c r="Q41" i="5"/>
  <c r="Q42" i="5"/>
  <c r="Q46" i="5"/>
  <c r="Q47" i="5"/>
  <c r="Q48" i="5"/>
  <c r="Q49" i="5"/>
  <c r="Q50" i="5"/>
  <c r="Q51" i="5"/>
  <c r="Q52" i="5"/>
  <c r="Q53" i="5"/>
  <c r="Q54" i="5"/>
  <c r="Q58" i="5"/>
  <c r="Q59" i="5"/>
  <c r="Q63" i="5"/>
  <c r="Q64" i="5"/>
  <c r="Q65" i="5"/>
  <c r="Q66" i="5"/>
  <c r="Q67" i="5"/>
  <c r="Q68" i="5"/>
  <c r="Q69" i="5"/>
  <c r="Q73" i="5"/>
  <c r="Q74" i="5"/>
  <c r="Q75" i="5"/>
  <c r="Q79" i="5"/>
  <c r="Q80" i="5"/>
  <c r="Q81" i="5"/>
  <c r="Q82" i="5"/>
  <c r="Q83" i="5"/>
  <c r="Q84" i="5"/>
  <c r="Q85" i="5"/>
  <c r="Q86" i="5"/>
  <c r="Q87" i="5"/>
  <c r="Q88" i="5"/>
  <c r="Q92" i="5"/>
  <c r="Q93" i="5"/>
  <c r="Q94" i="5"/>
  <c r="Q95" i="5"/>
  <c r="Q96" i="5"/>
  <c r="Q97" i="5"/>
  <c r="Q101" i="5"/>
  <c r="Q102" i="5"/>
  <c r="Q103" i="5"/>
  <c r="Q104" i="5"/>
  <c r="Q105" i="5"/>
  <c r="Q106" i="5"/>
  <c r="Q107" i="5"/>
  <c r="Q108" i="5"/>
  <c r="Q109" i="5"/>
  <c r="Q3" i="5"/>
  <c r="U3" i="2"/>
  <c r="T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" i="2"/>
  <c r="P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" i="2"/>
  <c r="Q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H74" i="2" s="1"/>
  <c r="F90" i="2"/>
  <c r="I74" i="2" s="1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" i="2"/>
  <c r="AC10" i="19" l="1"/>
  <c r="AD10" i="19" s="1"/>
  <c r="AC5" i="18"/>
  <c r="AD5" i="18" s="1"/>
  <c r="AC9" i="17"/>
  <c r="AD9" i="17" s="1"/>
  <c r="AC5" i="16"/>
  <c r="AD5" i="16" s="1"/>
  <c r="T8" i="14"/>
  <c r="AD8" i="14" s="1"/>
  <c r="AC9" i="12"/>
  <c r="AD9" i="12" s="1"/>
  <c r="T7" i="12"/>
  <c r="AD7" i="12" s="1"/>
  <c r="V38" i="10"/>
  <c r="V73" i="10"/>
  <c r="V49" i="10"/>
  <c r="U97" i="10"/>
  <c r="V97" i="10" s="1"/>
  <c r="U73" i="10"/>
  <c r="U57" i="10"/>
  <c r="V57" i="10" s="1"/>
  <c r="U49" i="10"/>
  <c r="U33" i="10"/>
  <c r="V33" i="10" s="1"/>
  <c r="U17" i="10"/>
  <c r="V17" i="10" s="1"/>
  <c r="U9" i="10"/>
  <c r="V9" i="10" s="1"/>
  <c r="AC16" i="8"/>
  <c r="T4" i="8"/>
  <c r="AB4" i="8" s="1"/>
  <c r="T16" i="8"/>
  <c r="T15" i="8"/>
  <c r="T14" i="8"/>
  <c r="AB14" i="8" s="1"/>
  <c r="T10" i="8"/>
  <c r="T9" i="8"/>
  <c r="AC9" i="8"/>
  <c r="AA14" i="8"/>
  <c r="AA4" i="8"/>
  <c r="AA9" i="8"/>
  <c r="AD9" i="8"/>
  <c r="AC15" i="8"/>
  <c r="AD15" i="8" s="1"/>
  <c r="AC10" i="8"/>
  <c r="AC14" i="8"/>
  <c r="AC4" i="8"/>
  <c r="AD4" i="8" s="1"/>
  <c r="V19" i="7"/>
  <c r="V27" i="7"/>
  <c r="V17" i="7"/>
  <c r="V25" i="7"/>
  <c r="V20" i="7"/>
  <c r="V12" i="7"/>
  <c r="V33" i="7"/>
  <c r="V36" i="7"/>
  <c r="V24" i="7"/>
  <c r="U35" i="7"/>
  <c r="V35" i="7" s="1"/>
  <c r="U27" i="7"/>
  <c r="U19" i="7"/>
  <c r="U11" i="7"/>
  <c r="V11" i="7" s="1"/>
  <c r="U33" i="7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V12" i="6" s="1"/>
  <c r="U25" i="6"/>
  <c r="V25" i="6" s="1"/>
  <c r="U13" i="6"/>
  <c r="V13" i="6" s="1"/>
  <c r="U4" i="6"/>
  <c r="V4" i="6" s="1"/>
  <c r="J3" i="2"/>
  <c r="H39" i="2"/>
  <c r="I3" i="2"/>
  <c r="I39" i="2"/>
  <c r="AD14" i="8" l="1"/>
  <c r="AD10" i="8"/>
  <c r="AD16" i="8"/>
  <c r="AF4" i="8"/>
  <c r="AE4" i="8"/>
  <c r="AF9" i="8"/>
  <c r="AE9" i="8"/>
  <c r="AF14" i="8" l="1"/>
  <c r="AE14" i="8"/>
</calcChain>
</file>

<file path=xl/sharedStrings.xml><?xml version="1.0" encoding="utf-8"?>
<sst xmlns="http://schemas.openxmlformats.org/spreadsheetml/2006/main" count="554" uniqueCount="83">
  <si>
    <t>Dati originali</t>
  </si>
  <si>
    <t>media errori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</si>
  <si>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</si>
  <si>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</si>
  <si>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</si>
  <si>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</si>
  <si>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</si>
  <si>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</si>
  <si>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</si>
  <si>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</si>
  <si>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</si>
  <si>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</si>
  <si>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</si>
  <si>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CULTURE1</t>
  </si>
  <si>
    <t>CULTURE2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</si>
  <si>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</si>
  <si>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</si>
  <si>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</si>
  <si>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</si>
  <si>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</si>
  <si>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</si>
  <si>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</si>
  <si>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</si>
  <si>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</si>
  <si>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</si>
  <si>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</si>
  <si>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</si>
  <si>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</si>
  <si>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</si>
  <si>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</si>
  <si>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</si>
  <si>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</si>
  <si>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</si>
  <si>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</si>
  <si>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</si>
  <si>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</si>
  <si>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</si>
  <si>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</si>
  <si>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</si>
  <si>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</si>
  <si>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</si>
  <si>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</si>
  <si>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</si>
  <si>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</si>
  <si>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</si>
  <si>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</si>
  <si>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</si>
  <si>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</si>
  <si>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</si>
  <si>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</si>
  <si>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</si>
  <si>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</si>
  <si>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</si>
  <si>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</si>
  <si>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</si>
  <si>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</si>
  <si>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</si>
  <si>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</si>
  <si>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</si>
  <si>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</si>
  <si>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</si>
  <si>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</si>
  <si>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</si>
  <si>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</si>
  <si>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</si>
  <si>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</si>
  <si>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DIFF With try</t>
  </si>
  <si>
    <t>DIFF with try and temp2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</si>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</sst>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tabSelected="1" topLeftCell="A11" workbookViewId="0">
      <selection activeCell="K15" sqref="K15"/>
    </sheetView>
  </sheetViews>
  <sheetFormatPr defaultRowHeight="14.4" x14ac:dyDescent="0.3"/>
  <cols>
    <col min="1" max="1" width="9.88671875" customWidth="1"/>
  </cols>
  <sheetData>
    <row r="1" spans="1:17" x14ac:dyDescent="0.3">
      <c r="A1" t="s">
        <v>3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N1" t="s">
        <v>2</v>
      </c>
      <c r="O1" t="s">
        <v>21</v>
      </c>
      <c r="P1" t="s">
        <v>23</v>
      </c>
      <c r="Q1" t="s">
        <v>24</v>
      </c>
    </row>
    <row r="2" spans="1:17" x14ac:dyDescent="0.3">
      <c r="B2" t="s">
        <v>4</v>
      </c>
    </row>
    <row r="3" spans="1:17" x14ac:dyDescent="0.3">
      <c r="C3" t="s">
        <v>5</v>
      </c>
      <c r="G3">
        <v>15.545454545454545</v>
      </c>
      <c r="H3">
        <v>2.977424527705415</v>
      </c>
      <c r="I3">
        <v>20.424242424242426</v>
      </c>
      <c r="J3">
        <v>2.8149189933982002</v>
      </c>
      <c r="K3">
        <v>28.469696969696969</v>
      </c>
      <c r="L3">
        <v>3.1695312003990437</v>
      </c>
      <c r="N3">
        <v>21.479797979797979</v>
      </c>
      <c r="O3">
        <v>1.7066849647851146</v>
      </c>
      <c r="P3">
        <v>2.0690235690235692</v>
      </c>
      <c r="Q3">
        <v>0.69652885828960742</v>
      </c>
    </row>
    <row r="4" spans="1:17" x14ac:dyDescent="0.3">
      <c r="C4" t="s">
        <v>3</v>
      </c>
      <c r="F4" t="s">
        <v>25</v>
      </c>
      <c r="G4">
        <v>14.444444444444445</v>
      </c>
      <c r="H4">
        <v>2.5792979234236921</v>
      </c>
      <c r="I4">
        <v>18.888888888888889</v>
      </c>
      <c r="J4">
        <v>3.6893239368631057</v>
      </c>
      <c r="K4">
        <v>28.277777777777779</v>
      </c>
      <c r="L4">
        <v>3.94581353391724</v>
      </c>
      <c r="N4">
        <v>20.537037037037035</v>
      </c>
      <c r="O4">
        <v>1.3405476124459617</v>
      </c>
      <c r="P4">
        <v>2.216049382716049</v>
      </c>
      <c r="Q4">
        <v>0.74558600515545947</v>
      </c>
    </row>
    <row r="5" spans="1:17" x14ac:dyDescent="0.3">
      <c r="E5" t="s">
        <v>47</v>
      </c>
      <c r="F5" t="s">
        <v>37</v>
      </c>
      <c r="G5">
        <v>16.083333333333332</v>
      </c>
      <c r="H5">
        <v>2.083666640004262</v>
      </c>
      <c r="I5">
        <v>16.333333333333332</v>
      </c>
      <c r="J5">
        <v>1.5383974345619102</v>
      </c>
      <c r="K5">
        <v>26</v>
      </c>
      <c r="L5">
        <v>3.9242833740697169</v>
      </c>
      <c r="N5">
        <v>19.472222222222225</v>
      </c>
      <c r="O5">
        <v>1.7808133805360669</v>
      </c>
      <c r="P5">
        <v>1.3518518518518519</v>
      </c>
      <c r="Q5">
        <v>0.51480149196723157</v>
      </c>
    </row>
    <row r="6" spans="1:17" x14ac:dyDescent="0.3">
      <c r="E6" t="s">
        <v>48</v>
      </c>
      <c r="F6" t="s">
        <v>37</v>
      </c>
      <c r="G6">
        <v>16.083333333333332</v>
      </c>
      <c r="H6">
        <v>2.083666640004262</v>
      </c>
      <c r="I6">
        <v>16.333333333333332</v>
      </c>
      <c r="J6">
        <v>1.5383974345619102</v>
      </c>
      <c r="K6">
        <v>26</v>
      </c>
      <c r="L6">
        <v>3.9242833740697169</v>
      </c>
      <c r="N6">
        <v>19.472222222222225</v>
      </c>
      <c r="O6">
        <v>1.7808133805360669</v>
      </c>
      <c r="P6">
        <v>1.3518518518518519</v>
      </c>
      <c r="Q6">
        <v>0.51480149196723157</v>
      </c>
    </row>
    <row r="7" spans="1:17" x14ac:dyDescent="0.3">
      <c r="C7" t="s">
        <v>57</v>
      </c>
    </row>
    <row r="8" spans="1:17" x14ac:dyDescent="0.3">
      <c r="D8" t="s">
        <v>62</v>
      </c>
    </row>
    <row r="9" spans="1:17" x14ac:dyDescent="0.3">
      <c r="E9" t="s">
        <v>47</v>
      </c>
      <c r="F9" t="s">
        <v>56</v>
      </c>
      <c r="G9">
        <v>21.125</v>
      </c>
      <c r="H9">
        <v>1.6520189667999174</v>
      </c>
      <c r="I9">
        <v>25.125</v>
      </c>
      <c r="J9">
        <v>5.2181574014844232</v>
      </c>
      <c r="K9">
        <v>37.875</v>
      </c>
      <c r="L9">
        <v>3.966001344763598</v>
      </c>
      <c r="N9">
        <v>28.041666666666668</v>
      </c>
      <c r="O9">
        <v>3.0103986446980731</v>
      </c>
      <c r="P9">
        <v>2.5972222222222219</v>
      </c>
      <c r="Q9">
        <v>0.62915286960589489</v>
      </c>
    </row>
    <row r="10" spans="1:17" x14ac:dyDescent="0.3">
      <c r="E10" t="s">
        <v>48</v>
      </c>
      <c r="F10" t="s">
        <v>56</v>
      </c>
      <c r="G10">
        <v>21.125</v>
      </c>
      <c r="H10">
        <v>1.6520189667999174</v>
      </c>
      <c r="I10">
        <v>25.125</v>
      </c>
      <c r="J10">
        <v>5.2181574014844232</v>
      </c>
      <c r="K10">
        <v>37.875</v>
      </c>
      <c r="L10">
        <v>3.966001344763598</v>
      </c>
      <c r="N10">
        <v>28.041666666666668</v>
      </c>
      <c r="O10">
        <v>3.0103986446980731</v>
      </c>
      <c r="P10">
        <v>2.5972222222222219</v>
      </c>
      <c r="Q10">
        <v>0.62915286960589489</v>
      </c>
    </row>
    <row r="11" spans="1:17" x14ac:dyDescent="0.3">
      <c r="D11" t="s">
        <v>63</v>
      </c>
    </row>
    <row r="12" spans="1:17" x14ac:dyDescent="0.3">
      <c r="E12" t="s">
        <v>47</v>
      </c>
      <c r="F12" t="s">
        <v>53</v>
      </c>
      <c r="G12">
        <v>20.916666666666668</v>
      </c>
      <c r="H12">
        <v>3.0564140208202648</v>
      </c>
      <c r="I12">
        <v>25.25</v>
      </c>
      <c r="J12">
        <v>7.7636975726775965</v>
      </c>
      <c r="K12">
        <v>39.833333333333336</v>
      </c>
      <c r="L12">
        <v>2.9944392908634274</v>
      </c>
      <c r="N12">
        <v>28.666666666666671</v>
      </c>
      <c r="O12">
        <v>3.7771241264573558</v>
      </c>
      <c r="P12">
        <v>2.7777777777777772</v>
      </c>
      <c r="Q12">
        <v>0.86922698736035331</v>
      </c>
    </row>
    <row r="13" spans="1:17" x14ac:dyDescent="0.3">
      <c r="E13" t="s">
        <v>48</v>
      </c>
      <c r="F13" t="s">
        <v>53</v>
      </c>
      <c r="G13">
        <v>20.916666666666668</v>
      </c>
      <c r="H13">
        <v>3.0564140208202648</v>
      </c>
      <c r="I13">
        <v>25.25</v>
      </c>
      <c r="J13">
        <v>7.7636975726775965</v>
      </c>
      <c r="K13">
        <v>39.833333333333336</v>
      </c>
      <c r="L13">
        <v>2.9944392908634274</v>
      </c>
      <c r="N13">
        <v>28.666666666666671</v>
      </c>
      <c r="O13">
        <v>3.7771241264573558</v>
      </c>
      <c r="P13">
        <v>2.7777777777777772</v>
      </c>
      <c r="Q13">
        <v>0.86922698736035331</v>
      </c>
    </row>
    <row r="14" spans="1:17" x14ac:dyDescent="0.3">
      <c r="C14" t="s">
        <v>61</v>
      </c>
    </row>
    <row r="15" spans="1:17" x14ac:dyDescent="0.3">
      <c r="G15">
        <v>13.833333333333334</v>
      </c>
      <c r="H15">
        <v>0.76376261582597327</v>
      </c>
      <c r="I15">
        <v>16.666666666666668</v>
      </c>
      <c r="J15">
        <v>5.0332229568471645</v>
      </c>
      <c r="K15">
        <v>29</v>
      </c>
      <c r="L15">
        <v>4.5825756949558398</v>
      </c>
      <c r="N15">
        <v>19.833333333333332</v>
      </c>
      <c r="O15">
        <v>3.0867098629086973</v>
      </c>
      <c r="P15">
        <v>2.2777777777777777</v>
      </c>
      <c r="Q15">
        <v>0.69610911589675883</v>
      </c>
    </row>
    <row r="16" spans="1:17" x14ac:dyDescent="0.3">
      <c r="B16" t="s">
        <v>71</v>
      </c>
    </row>
    <row r="17" spans="1:17" x14ac:dyDescent="0.3">
      <c r="C17" t="s">
        <v>5</v>
      </c>
    </row>
    <row r="18" spans="1:17" x14ac:dyDescent="0.3">
      <c r="G18">
        <v>15.075757575757576</v>
      </c>
      <c r="H18">
        <v>3.6467477208320758</v>
      </c>
      <c r="I18">
        <v>18.363636363636363</v>
      </c>
      <c r="J18">
        <v>2.574735202624995</v>
      </c>
      <c r="K18">
        <v>29.90909090909091</v>
      </c>
      <c r="L18">
        <v>3.685814329660035</v>
      </c>
      <c r="N18">
        <v>21.116161616161612</v>
      </c>
      <c r="O18">
        <v>2.1276473903136339</v>
      </c>
      <c r="P18">
        <v>2.265993265993266</v>
      </c>
      <c r="Q18">
        <v>0.54711603167310885</v>
      </c>
    </row>
    <row r="19" spans="1:17" x14ac:dyDescent="0.3">
      <c r="C19" t="s">
        <v>3</v>
      </c>
      <c r="F19" t="s">
        <v>25</v>
      </c>
      <c r="G19">
        <v>16.333333333333332</v>
      </c>
      <c r="H19">
        <v>3.5266839949164712</v>
      </c>
      <c r="I19">
        <v>15</v>
      </c>
      <c r="J19">
        <v>3.2596012026013246</v>
      </c>
      <c r="K19">
        <v>25.611111111111111</v>
      </c>
      <c r="L19">
        <v>3.3426951866885926</v>
      </c>
      <c r="N19">
        <v>18.981481481481485</v>
      </c>
      <c r="O19">
        <v>1.4706490546610054</v>
      </c>
      <c r="P19">
        <v>1.6419753086419753</v>
      </c>
      <c r="Q19">
        <v>0.9103787330478087</v>
      </c>
    </row>
    <row r="20" spans="1:17" x14ac:dyDescent="0.3">
      <c r="E20" t="s">
        <v>47</v>
      </c>
      <c r="F20" t="s">
        <v>25</v>
      </c>
      <c r="G20">
        <v>16.333333333333332</v>
      </c>
      <c r="H20">
        <v>3.5266839949164712</v>
      </c>
      <c r="I20">
        <v>15</v>
      </c>
      <c r="J20">
        <v>3.2596012026013246</v>
      </c>
      <c r="K20">
        <v>25.611111111111111</v>
      </c>
      <c r="L20">
        <v>3.3426951866885926</v>
      </c>
      <c r="N20">
        <v>18.981481481481485</v>
      </c>
      <c r="O20">
        <v>1.4706490546610054</v>
      </c>
      <c r="P20">
        <v>1.6419753086419753</v>
      </c>
      <c r="Q20">
        <v>0.9103787330478087</v>
      </c>
    </row>
    <row r="21" spans="1:17" x14ac:dyDescent="0.3">
      <c r="E21" t="s">
        <v>48</v>
      </c>
      <c r="F21" t="s">
        <v>25</v>
      </c>
      <c r="G21">
        <v>16.333333333333332</v>
      </c>
      <c r="H21">
        <v>3.5266839949164712</v>
      </c>
      <c r="I21">
        <v>15</v>
      </c>
      <c r="J21">
        <v>3.2596012026013246</v>
      </c>
      <c r="K21">
        <v>25.611111111111111</v>
      </c>
      <c r="L21">
        <v>3.3426951866885926</v>
      </c>
      <c r="N21">
        <v>18.981481481481485</v>
      </c>
      <c r="O21">
        <v>1.4706490546610054</v>
      </c>
      <c r="P21">
        <v>1.6419753086419753</v>
      </c>
      <c r="Q21">
        <v>0.9103787330478087</v>
      </c>
    </row>
    <row r="22" spans="1:17" x14ac:dyDescent="0.3">
      <c r="A22" t="s">
        <v>78</v>
      </c>
    </row>
    <row r="23" spans="1:17" x14ac:dyDescent="0.3">
      <c r="B23" t="s">
        <v>4</v>
      </c>
    </row>
    <row r="24" spans="1:17" x14ac:dyDescent="0.3">
      <c r="C24" t="s">
        <v>5</v>
      </c>
      <c r="G24">
        <v>15</v>
      </c>
      <c r="H24">
        <v>0.40824829046386302</v>
      </c>
      <c r="I24">
        <v>19.25</v>
      </c>
      <c r="J24">
        <v>3.8405728739343039</v>
      </c>
      <c r="K24">
        <v>35.75</v>
      </c>
      <c r="L24">
        <v>6.3966136874651625</v>
      </c>
      <c r="N24">
        <v>23.333333333333332</v>
      </c>
      <c r="O24">
        <v>2.5531389540169025</v>
      </c>
      <c r="P24">
        <v>2.7777777777777772</v>
      </c>
      <c r="Q24">
        <v>0.73842229768062817</v>
      </c>
    </row>
    <row r="25" spans="1:17" x14ac:dyDescent="0.3">
      <c r="C25" t="s">
        <v>80</v>
      </c>
      <c r="F25" t="s">
        <v>25</v>
      </c>
      <c r="G25">
        <v>14.75</v>
      </c>
      <c r="H25">
        <v>3.2015621187164243</v>
      </c>
      <c r="I25">
        <v>18.625</v>
      </c>
      <c r="J25">
        <v>1.0307764064044151</v>
      </c>
      <c r="K25">
        <v>29.625</v>
      </c>
      <c r="L25">
        <v>5.4524459343185301</v>
      </c>
      <c r="N25">
        <v>21</v>
      </c>
      <c r="O25">
        <v>1.5335748602046966</v>
      </c>
      <c r="P25">
        <v>2.0833333333333335</v>
      </c>
      <c r="Q25">
        <v>1.113423519670919</v>
      </c>
    </row>
    <row r="26" spans="1:17" x14ac:dyDescent="0.3">
      <c r="C26" t="s">
        <v>61</v>
      </c>
    </row>
    <row r="27" spans="1:17" x14ac:dyDescent="0.3">
      <c r="D27" t="s">
        <v>80</v>
      </c>
      <c r="G27">
        <v>15.9</v>
      </c>
      <c r="H27">
        <v>1.8506755523321778</v>
      </c>
      <c r="I27">
        <v>20</v>
      </c>
      <c r="J27">
        <v>1.4577379737113252</v>
      </c>
      <c r="K27">
        <v>32.9</v>
      </c>
      <c r="L27">
        <v>3.150396800404673</v>
      </c>
      <c r="N27">
        <v>22.933333333333334</v>
      </c>
      <c r="O27">
        <v>0.72264944628929306</v>
      </c>
      <c r="P27">
        <v>2.3444444444444441</v>
      </c>
      <c r="Q27">
        <v>0.67059030564473054</v>
      </c>
    </row>
    <row r="28" spans="1:17" x14ac:dyDescent="0.3">
      <c r="D28" t="s">
        <v>82</v>
      </c>
    </row>
    <row r="29" spans="1:17" x14ac:dyDescent="0.3">
      <c r="E29" t="s">
        <v>80</v>
      </c>
    </row>
    <row r="30" spans="1:17" x14ac:dyDescent="0.3">
      <c r="G30">
        <v>16.5</v>
      </c>
      <c r="H30">
        <v>1.2909944487358056</v>
      </c>
      <c r="I30">
        <v>19.375</v>
      </c>
      <c r="J30">
        <v>1.6007810593582121</v>
      </c>
      <c r="K30">
        <v>28.5</v>
      </c>
      <c r="L30">
        <v>1.6832508230603465</v>
      </c>
      <c r="N30">
        <v>21.458333333333332</v>
      </c>
      <c r="O30">
        <v>0.89623698916120498</v>
      </c>
      <c r="P30">
        <v>1.7361111111111107</v>
      </c>
      <c r="Q30">
        <v>0.19966535789673939</v>
      </c>
    </row>
    <row r="31" spans="1:17" x14ac:dyDescent="0.3">
      <c r="B31" t="s">
        <v>81</v>
      </c>
    </row>
    <row r="32" spans="1:17" x14ac:dyDescent="0.3">
      <c r="C32" t="s">
        <v>5</v>
      </c>
      <c r="G32">
        <v>17.5</v>
      </c>
      <c r="H32">
        <v>4.7696960070847281</v>
      </c>
      <c r="I32">
        <v>17</v>
      </c>
      <c r="J32">
        <v>4.924428900898052</v>
      </c>
      <c r="K32">
        <v>35.666666666666664</v>
      </c>
      <c r="L32">
        <v>4.6457866215887762</v>
      </c>
      <c r="N32">
        <v>23.388888888888889</v>
      </c>
      <c r="O32">
        <v>2.3353166174426341</v>
      </c>
      <c r="P32">
        <v>3.074074074074074</v>
      </c>
      <c r="Q32">
        <v>1.1129614223197588</v>
      </c>
    </row>
    <row r="33" spans="3:17" x14ac:dyDescent="0.3">
      <c r="C33" t="s">
        <v>80</v>
      </c>
      <c r="F33" t="s">
        <v>25</v>
      </c>
      <c r="G33" s="1">
        <v>24.5</v>
      </c>
      <c r="H33">
        <v>7.0710678118654755</v>
      </c>
      <c r="I33">
        <v>20.25</v>
      </c>
      <c r="J33">
        <v>3.8890872965260113</v>
      </c>
      <c r="K33">
        <v>41</v>
      </c>
      <c r="L33">
        <v>12.727922061357855</v>
      </c>
      <c r="N33">
        <v>28.583333333333332</v>
      </c>
      <c r="O33">
        <v>7.8960257232497773</v>
      </c>
      <c r="P33">
        <v>2.7777777777777772</v>
      </c>
      <c r="Q33">
        <v>1.3356461422412567</v>
      </c>
    </row>
    <row r="34" spans="3:17" x14ac:dyDescent="0.3">
      <c r="C34" t="s">
        <v>61</v>
      </c>
    </row>
    <row r="35" spans="3:17" x14ac:dyDescent="0.3">
      <c r="D35" t="s">
        <v>82</v>
      </c>
    </row>
    <row r="36" spans="3:17" x14ac:dyDescent="0.3">
      <c r="E36" t="s">
        <v>80</v>
      </c>
      <c r="G36">
        <v>15</v>
      </c>
      <c r="H36">
        <v>4.5825756949558398</v>
      </c>
      <c r="I36">
        <v>17.166666666666668</v>
      </c>
      <c r="J36">
        <v>4.1633319989322635</v>
      </c>
      <c r="K36">
        <v>31</v>
      </c>
      <c r="L36">
        <v>2.5</v>
      </c>
      <c r="N36">
        <v>21.055555555555557</v>
      </c>
      <c r="O36">
        <v>1.0046189622236181</v>
      </c>
      <c r="P36">
        <v>2.8518518518518516</v>
      </c>
      <c r="Q36">
        <v>0.40950637754622288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1"/>
  <sheetViews>
    <sheetView topLeftCell="M1" workbookViewId="0">
      <selection activeCell="AF8" activeCellId="2" sqref="U8:AB8 AE8 AF8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82</v>
      </c>
      <c r="C4">
        <v>18</v>
      </c>
      <c r="D4">
        <v>18</v>
      </c>
      <c r="E4">
        <v>82</v>
      </c>
      <c r="G4">
        <v>72</v>
      </c>
      <c r="H4">
        <v>28</v>
      </c>
      <c r="I4">
        <v>6</v>
      </c>
      <c r="J4">
        <v>94</v>
      </c>
      <c r="L4">
        <v>56</v>
      </c>
      <c r="M4">
        <v>44</v>
      </c>
      <c r="N4">
        <v>14</v>
      </c>
      <c r="O4">
        <v>86</v>
      </c>
      <c r="Q4">
        <f>AVERAGE(C4,D4)</f>
        <v>18</v>
      </c>
      <c r="R4">
        <f>AVERAGE(H4,I4)</f>
        <v>17</v>
      </c>
      <c r="S4">
        <f>AVERAGE(M4,N4)</f>
        <v>29</v>
      </c>
      <c r="T4">
        <f>AVERAGE(Q4:S4)</f>
        <v>21.333333333333332</v>
      </c>
      <c r="U4">
        <f>AVERAGE(Q4:Q5)</f>
        <v>17.5</v>
      </c>
      <c r="V4">
        <f>_xlfn.STDEV.S(Q4:Q5)</f>
        <v>0.70710678118654757</v>
      </c>
      <c r="W4">
        <f>AVERAGE(R4:R5)</f>
        <v>18.75</v>
      </c>
      <c r="X4">
        <f>_xlfn.STDEV.S(R4:R5)</f>
        <v>2.4748737341529163</v>
      </c>
      <c r="Y4">
        <f>AVERAGE(S4:S5)</f>
        <v>29.75</v>
      </c>
      <c r="Z4">
        <f>_xlfn.STDEV.S(S4:S5)</f>
        <v>1.0606601717798212</v>
      </c>
      <c r="AA4">
        <f>AVERAGE(T4:T5)</f>
        <v>22</v>
      </c>
      <c r="AB4">
        <f>_xlfn.STDEV.S(T4:T5)</f>
        <v>0.94280904158206502</v>
      </c>
      <c r="AC4">
        <f>MIN(Q4:S4)</f>
        <v>17</v>
      </c>
      <c r="AD4">
        <f>(1/3)*(T4-AC4)</f>
        <v>1.444444444444444</v>
      </c>
      <c r="AE4">
        <f>AVERAGE(AD4:AD5)</f>
        <v>1.6666666666666665</v>
      </c>
      <c r="AF4">
        <f>_xlfn.STDEV.S(AD4:AD5)</f>
        <v>0.31426968052735654</v>
      </c>
    </row>
    <row r="5" spans="1:32" x14ac:dyDescent="0.3">
      <c r="B5">
        <v>80</v>
      </c>
      <c r="C5">
        <v>20</v>
      </c>
      <c r="D5">
        <v>14</v>
      </c>
      <c r="E5">
        <v>86</v>
      </c>
      <c r="G5">
        <v>64</v>
      </c>
      <c r="H5">
        <v>36</v>
      </c>
      <c r="I5">
        <v>5</v>
      </c>
      <c r="J5">
        <v>95</v>
      </c>
      <c r="L5">
        <v>58</v>
      </c>
      <c r="M5">
        <v>42</v>
      </c>
      <c r="N5">
        <v>19</v>
      </c>
      <c r="O5">
        <v>81</v>
      </c>
      <c r="Q5">
        <f t="shared" ref="Q5:Q11" si="0">AVERAGE(C5,D5)</f>
        <v>17</v>
      </c>
      <c r="R5">
        <f t="shared" ref="R5:R11" si="1">AVERAGE(H5,I5)</f>
        <v>20.5</v>
      </c>
      <c r="S5">
        <f t="shared" ref="S5:S11" si="2">AVERAGE(M5,N5)</f>
        <v>30.5</v>
      </c>
      <c r="T5">
        <f t="shared" ref="T5:T11" si="3">AVERAGE(Q5:S5)</f>
        <v>22.666666666666668</v>
      </c>
      <c r="AC5">
        <f t="shared" ref="AC5:AC11" si="4">MIN(Q5:S5)</f>
        <v>17</v>
      </c>
      <c r="AD5">
        <f t="shared" ref="AD5:AD11" si="5">(1/3)*(T5-AC5)</f>
        <v>1.8888888888888893</v>
      </c>
    </row>
    <row r="7" spans="1:32" x14ac:dyDescent="0.3">
      <c r="A7" t="s">
        <v>27</v>
      </c>
      <c r="F7" t="s">
        <v>28</v>
      </c>
      <c r="K7" t="s">
        <v>29</v>
      </c>
    </row>
    <row r="8" spans="1:32" x14ac:dyDescent="0.3">
      <c r="B8">
        <v>82</v>
      </c>
      <c r="C8">
        <v>18</v>
      </c>
      <c r="D8">
        <v>18</v>
      </c>
      <c r="E8">
        <v>82</v>
      </c>
      <c r="G8">
        <v>72</v>
      </c>
      <c r="H8">
        <v>28</v>
      </c>
      <c r="I8">
        <v>6</v>
      </c>
      <c r="J8">
        <v>94</v>
      </c>
      <c r="L8">
        <v>56</v>
      </c>
      <c r="M8">
        <v>44</v>
      </c>
      <c r="N8">
        <v>14</v>
      </c>
      <c r="O8">
        <v>86</v>
      </c>
      <c r="Q8">
        <f t="shared" si="0"/>
        <v>18</v>
      </c>
      <c r="R8">
        <f t="shared" si="1"/>
        <v>17</v>
      </c>
      <c r="S8">
        <f t="shared" si="2"/>
        <v>29</v>
      </c>
      <c r="T8">
        <f t="shared" si="3"/>
        <v>21.333333333333332</v>
      </c>
      <c r="U8">
        <f>AVERAGE(Q8:Q11)</f>
        <v>16.5</v>
      </c>
      <c r="V8">
        <f>_xlfn.STDEV.S(Q8:Q11)</f>
        <v>1.2909944487358056</v>
      </c>
      <c r="W8">
        <f>AVERAGE(R8:R11)</f>
        <v>19.375</v>
      </c>
      <c r="X8">
        <f>_xlfn.STDEV.S(R8:R11)</f>
        <v>1.6007810593582121</v>
      </c>
      <c r="Y8">
        <f>AVERAGE(S8:S11)</f>
        <v>28.5</v>
      </c>
      <c r="Z8">
        <f>_xlfn.STDEV.S(S8:S11)</f>
        <v>1.6832508230603465</v>
      </c>
      <c r="AA8">
        <f>AVERAGE(T8:T11)</f>
        <v>21.458333333333332</v>
      </c>
      <c r="AB8">
        <f>_xlfn.STDEV.S(T8:T11)</f>
        <v>0.89623698916120498</v>
      </c>
      <c r="AC8">
        <f t="shared" si="4"/>
        <v>17</v>
      </c>
      <c r="AD8">
        <f t="shared" si="5"/>
        <v>1.444444444444444</v>
      </c>
      <c r="AE8">
        <f>AVERAGE(AD8:AD11)</f>
        <v>1.7361111111111107</v>
      </c>
      <c r="AF8">
        <f>_xlfn.STDEV.S(AD8:AD11)</f>
        <v>0.19966535789673939</v>
      </c>
    </row>
    <row r="9" spans="1:32" x14ac:dyDescent="0.3">
      <c r="B9">
        <v>80</v>
      </c>
      <c r="C9">
        <v>20</v>
      </c>
      <c r="D9">
        <v>14</v>
      </c>
      <c r="E9">
        <v>86</v>
      </c>
      <c r="G9">
        <v>64</v>
      </c>
      <c r="H9">
        <v>36</v>
      </c>
      <c r="I9">
        <v>5</v>
      </c>
      <c r="J9">
        <v>95</v>
      </c>
      <c r="L9">
        <v>58</v>
      </c>
      <c r="M9">
        <v>42</v>
      </c>
      <c r="N9">
        <v>19</v>
      </c>
      <c r="O9">
        <v>81</v>
      </c>
      <c r="Q9">
        <f t="shared" si="0"/>
        <v>17</v>
      </c>
      <c r="R9">
        <f t="shared" si="1"/>
        <v>20.5</v>
      </c>
      <c r="S9">
        <f t="shared" si="2"/>
        <v>30.5</v>
      </c>
      <c r="T9">
        <f t="shared" si="3"/>
        <v>22.666666666666668</v>
      </c>
      <c r="AC9">
        <f t="shared" si="4"/>
        <v>17</v>
      </c>
      <c r="AD9">
        <f t="shared" si="5"/>
        <v>1.8888888888888893</v>
      </c>
    </row>
    <row r="10" spans="1:32" x14ac:dyDescent="0.3">
      <c r="B10">
        <v>85</v>
      </c>
      <c r="C10">
        <v>15</v>
      </c>
      <c r="D10">
        <v>15</v>
      </c>
      <c r="E10">
        <v>85</v>
      </c>
      <c r="G10">
        <v>74</v>
      </c>
      <c r="H10">
        <v>26</v>
      </c>
      <c r="I10">
        <v>14</v>
      </c>
      <c r="J10">
        <v>86</v>
      </c>
      <c r="L10">
        <v>68</v>
      </c>
      <c r="M10">
        <v>32</v>
      </c>
      <c r="N10">
        <v>21</v>
      </c>
      <c r="O10">
        <v>79</v>
      </c>
      <c r="Q10">
        <f t="shared" si="0"/>
        <v>15</v>
      </c>
      <c r="R10">
        <f t="shared" si="1"/>
        <v>20</v>
      </c>
      <c r="S10">
        <f t="shared" si="2"/>
        <v>26.5</v>
      </c>
      <c r="T10">
        <f t="shared" si="3"/>
        <v>20.5</v>
      </c>
      <c r="AC10">
        <f t="shared" si="4"/>
        <v>15</v>
      </c>
      <c r="AD10">
        <f t="shared" si="5"/>
        <v>1.8333333333333333</v>
      </c>
    </row>
    <row r="11" spans="1:32" x14ac:dyDescent="0.3">
      <c r="B11">
        <v>85</v>
      </c>
      <c r="C11">
        <v>15</v>
      </c>
      <c r="D11">
        <v>17</v>
      </c>
      <c r="E11">
        <v>83</v>
      </c>
      <c r="G11">
        <v>73</v>
      </c>
      <c r="H11">
        <v>27</v>
      </c>
      <c r="I11">
        <v>13</v>
      </c>
      <c r="J11">
        <v>87</v>
      </c>
      <c r="L11">
        <v>68</v>
      </c>
      <c r="M11">
        <v>32</v>
      </c>
      <c r="N11">
        <v>24</v>
      </c>
      <c r="O11">
        <v>76</v>
      </c>
      <c r="Q11">
        <f t="shared" si="0"/>
        <v>16</v>
      </c>
      <c r="R11">
        <f t="shared" si="1"/>
        <v>20</v>
      </c>
      <c r="S11">
        <f t="shared" si="2"/>
        <v>28</v>
      </c>
      <c r="T11">
        <f t="shared" si="3"/>
        <v>21.333333333333332</v>
      </c>
      <c r="AC11">
        <f t="shared" si="4"/>
        <v>16</v>
      </c>
      <c r="AD11">
        <f t="shared" si="5"/>
        <v>1.7777777777777772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73</v>
      </c>
      <c r="H4">
        <v>27</v>
      </c>
      <c r="I4">
        <v>14</v>
      </c>
      <c r="J4">
        <v>86</v>
      </c>
      <c r="L4">
        <v>63</v>
      </c>
      <c r="M4">
        <v>37</v>
      </c>
      <c r="N4">
        <v>39</v>
      </c>
      <c r="O4">
        <v>61</v>
      </c>
      <c r="Q4">
        <f>AVERAGE(C4,D4)</f>
        <v>14</v>
      </c>
      <c r="R4">
        <f>AVERAGE(H4,I4)</f>
        <v>20.5</v>
      </c>
      <c r="S4">
        <f>AVERAGE(M4,N4)</f>
        <v>38</v>
      </c>
      <c r="T4">
        <f>AVERAGE(Q4:S4)</f>
        <v>24.166666666666668</v>
      </c>
      <c r="U4">
        <f>AVERAGE(Q4,Q5)</f>
        <v>15.75</v>
      </c>
      <c r="V4">
        <f>_xlfn.STDEV.S(Q4,Q5)</f>
        <v>2.4748737341529163</v>
      </c>
      <c r="W4">
        <f>AVERAGE(R4,R5)</f>
        <v>19.5</v>
      </c>
      <c r="X4">
        <f>_xlfn.STDEV.S(R4,R5)</f>
        <v>1.4142135623730951</v>
      </c>
      <c r="Y4">
        <f>AVERAGE(S4,S5)</f>
        <v>34.25</v>
      </c>
      <c r="Z4">
        <f>_xlfn.STDEV.S(S4,S5)</f>
        <v>5.3033008588991066</v>
      </c>
      <c r="AA4">
        <f>AVERAGE(T4,T5)</f>
        <v>23.166666666666668</v>
      </c>
      <c r="AB4">
        <f>_xlfn.STDEV.S(T4,T5)</f>
        <v>1.4142135623730951</v>
      </c>
      <c r="AC4">
        <f>MIN(Q4:S4)</f>
        <v>14</v>
      </c>
      <c r="AD4">
        <f>(1/3)*(T4-AC4)</f>
        <v>3.3888888888888893</v>
      </c>
      <c r="AE4">
        <f>AVERAGE(AD4,AD5)</f>
        <v>2.4722222222222223</v>
      </c>
      <c r="AF4">
        <f>_xlfn.STDEV.S(AD4,AD5)</f>
        <v>1.2963624321753378</v>
      </c>
    </row>
    <row r="5" spans="1:32" x14ac:dyDescent="0.3">
      <c r="B5">
        <v>79</v>
      </c>
      <c r="C5">
        <v>21</v>
      </c>
      <c r="D5">
        <v>14</v>
      </c>
      <c r="E5">
        <v>86</v>
      </c>
      <c r="G5">
        <v>77</v>
      </c>
      <c r="H5">
        <v>23</v>
      </c>
      <c r="I5">
        <v>14</v>
      </c>
      <c r="J5">
        <v>86</v>
      </c>
      <c r="L5">
        <v>61</v>
      </c>
      <c r="M5">
        <v>39</v>
      </c>
      <c r="N5">
        <v>22</v>
      </c>
      <c r="O5">
        <v>78</v>
      </c>
      <c r="Q5">
        <f>AVERAGE(C5,D5)</f>
        <v>17.5</v>
      </c>
      <c r="R5">
        <f>AVERAGE(H5,I5)</f>
        <v>18.5</v>
      </c>
      <c r="S5">
        <f>AVERAGE(M5,N5)</f>
        <v>30.5</v>
      </c>
      <c r="T5">
        <f>AVERAGE(Q5:S5)</f>
        <v>22.166666666666668</v>
      </c>
      <c r="AC5">
        <f>MIN(Q5:S5)</f>
        <v>17.5</v>
      </c>
      <c r="AD5">
        <f>(1/3)*(T5-AC5)</f>
        <v>1.5555555555555558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workbookViewId="0">
      <selection activeCell="G15" sqref="A1:XFD1048576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81</v>
      </c>
      <c r="C4">
        <v>19</v>
      </c>
      <c r="D4">
        <v>21</v>
      </c>
      <c r="E4">
        <v>79</v>
      </c>
      <c r="G4">
        <v>85</v>
      </c>
      <c r="H4">
        <v>15</v>
      </c>
      <c r="I4">
        <v>10</v>
      </c>
      <c r="J4">
        <v>90</v>
      </c>
      <c r="L4">
        <v>76</v>
      </c>
      <c r="M4">
        <v>24</v>
      </c>
      <c r="N4">
        <v>43</v>
      </c>
      <c r="O4">
        <v>57</v>
      </c>
    </row>
    <row r="7" spans="1:32" x14ac:dyDescent="0.3">
      <c r="A7" t="s">
        <v>27</v>
      </c>
      <c r="F7" t="s">
        <v>28</v>
      </c>
      <c r="K7" t="s">
        <v>29</v>
      </c>
    </row>
    <row r="8" spans="1:32" x14ac:dyDescent="0.3">
      <c r="B8">
        <v>81</v>
      </c>
      <c r="C8">
        <v>19</v>
      </c>
      <c r="D8">
        <v>21</v>
      </c>
      <c r="E8">
        <v>79</v>
      </c>
      <c r="G8">
        <v>85</v>
      </c>
      <c r="H8">
        <v>15</v>
      </c>
      <c r="I8">
        <v>10</v>
      </c>
      <c r="J8">
        <v>90</v>
      </c>
      <c r="L8">
        <v>76</v>
      </c>
      <c r="M8">
        <v>24</v>
      </c>
      <c r="N8">
        <v>43</v>
      </c>
      <c r="O8">
        <v>57</v>
      </c>
      <c r="Q8">
        <f>AVERAGE(C8,D8)</f>
        <v>20</v>
      </c>
      <c r="R8">
        <f>AVERAGE(H8:I8)</f>
        <v>12.5</v>
      </c>
      <c r="S8">
        <f>AVERAGE(M8,N8)</f>
        <v>33.5</v>
      </c>
      <c r="T8">
        <f>AVERAGE(Q8:S8)</f>
        <v>22</v>
      </c>
      <c r="U8">
        <f>AVERAGE(Q8,Q9:Q10)</f>
        <v>15</v>
      </c>
      <c r="V8">
        <f>_xlfn.STDEV.S(Q8,Q9:Q10)</f>
        <v>4.5825756949558398</v>
      </c>
      <c r="W8">
        <f>AVERAGE(R8,R9:R10)</f>
        <v>17.166666666666668</v>
      </c>
      <c r="X8">
        <f>_xlfn.STDEV.S(R8,R9:R10)</f>
        <v>4.1633319989322635</v>
      </c>
      <c r="Y8">
        <f>AVERAGE(S8,S9:S10)</f>
        <v>31</v>
      </c>
      <c r="Z8">
        <f>_xlfn.STDEV.S(S8,S9:S10)</f>
        <v>2.5</v>
      </c>
      <c r="AA8">
        <f>AVERAGE(T8,T9:T10)</f>
        <v>21.055555555555557</v>
      </c>
      <c r="AB8">
        <f>_xlfn.STDEV.S(T8,T9:T10)</f>
        <v>1.0046189622236181</v>
      </c>
      <c r="AC8">
        <f>MIN(Q8:S8)</f>
        <v>12.5</v>
      </c>
      <c r="AD8">
        <f>(1/3)*(T8-AC8)</f>
        <v>3.1666666666666665</v>
      </c>
      <c r="AE8">
        <f>AVERAGE(AD8,AD9:AD10)</f>
        <v>2.8518518518518516</v>
      </c>
      <c r="AF8">
        <f>_xlfn.STDEV.S(AD8,AD9:AD10)</f>
        <v>0.40950637754622288</v>
      </c>
    </row>
    <row r="9" spans="1:32" x14ac:dyDescent="0.3">
      <c r="B9">
        <v>87</v>
      </c>
      <c r="C9">
        <v>13</v>
      </c>
      <c r="D9">
        <v>9</v>
      </c>
      <c r="E9">
        <v>91</v>
      </c>
      <c r="G9">
        <v>70</v>
      </c>
      <c r="H9">
        <v>30</v>
      </c>
      <c r="I9">
        <v>11</v>
      </c>
      <c r="J9">
        <v>89</v>
      </c>
      <c r="L9">
        <v>68</v>
      </c>
      <c r="M9">
        <v>32</v>
      </c>
      <c r="N9">
        <v>25</v>
      </c>
      <c r="O9">
        <v>75</v>
      </c>
      <c r="Q9">
        <f>AVERAGE(C9,D9)</f>
        <v>11</v>
      </c>
      <c r="R9">
        <f>AVERAGE(H9:I9)</f>
        <v>20.5</v>
      </c>
      <c r="S9">
        <f>AVERAGE(M9,N9)</f>
        <v>28.5</v>
      </c>
      <c r="T9">
        <f>AVERAGE(Q9:S9)</f>
        <v>20</v>
      </c>
      <c r="AC9">
        <f>MIN(Q9:S9)</f>
        <v>11</v>
      </c>
      <c r="AD9">
        <f>(1/3)*(T9-AC9)</f>
        <v>3</v>
      </c>
    </row>
    <row r="10" spans="1:32" x14ac:dyDescent="0.3">
      <c r="B10">
        <v>85</v>
      </c>
      <c r="C10">
        <v>15</v>
      </c>
      <c r="D10">
        <v>13</v>
      </c>
      <c r="E10">
        <v>87</v>
      </c>
      <c r="G10">
        <v>77</v>
      </c>
      <c r="H10">
        <v>23</v>
      </c>
      <c r="I10">
        <v>14</v>
      </c>
      <c r="J10">
        <v>86</v>
      </c>
      <c r="L10">
        <v>71</v>
      </c>
      <c r="M10">
        <v>29</v>
      </c>
      <c r="N10">
        <v>33</v>
      </c>
      <c r="O10">
        <v>67</v>
      </c>
      <c r="Q10">
        <f>AVERAGE(C10,D10)</f>
        <v>14</v>
      </c>
      <c r="R10">
        <f>AVERAGE(H10:I10)</f>
        <v>18.5</v>
      </c>
      <c r="S10">
        <f>AVERAGE(M10,N10)</f>
        <v>31</v>
      </c>
      <c r="T10">
        <f>AVERAGE(Q10:S10)</f>
        <v>21.166666666666668</v>
      </c>
      <c r="AC10">
        <f>MIN(Q10:S10)</f>
        <v>14</v>
      </c>
      <c r="AD10">
        <f>(1/3)*(T10-AC10)</f>
        <v>2.3888888888888893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2"/>
  <sheetViews>
    <sheetView workbookViewId="0">
      <selection activeCell="V19" sqref="A1:XFD1048576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92</v>
      </c>
      <c r="C4">
        <v>8</v>
      </c>
      <c r="D4">
        <v>22</v>
      </c>
      <c r="E4">
        <v>78</v>
      </c>
      <c r="G4">
        <v>71</v>
      </c>
      <c r="H4">
        <v>29</v>
      </c>
      <c r="I4">
        <v>6</v>
      </c>
      <c r="J4">
        <v>94</v>
      </c>
      <c r="L4">
        <v>53</v>
      </c>
      <c r="M4">
        <v>47</v>
      </c>
      <c r="N4">
        <v>21</v>
      </c>
      <c r="O4">
        <v>79</v>
      </c>
      <c r="Q4">
        <f>AVERAGE(C4,D4)</f>
        <v>15</v>
      </c>
      <c r="R4">
        <f>AVERAGE(H4,I4)</f>
        <v>17.5</v>
      </c>
      <c r="S4">
        <f>AVERAGE(M4,N4)</f>
        <v>34</v>
      </c>
      <c r="T4">
        <f>AVERAGE(Q4:S4)</f>
        <v>22.166666666666668</v>
      </c>
      <c r="U4">
        <f>AVERAGE(Q4,Q5)</f>
        <v>15.5</v>
      </c>
      <c r="V4">
        <f>_xlfn.STDEV.S(Q4,Q5)</f>
        <v>0.70710678118654757</v>
      </c>
      <c r="W4">
        <f>AVERAGE(R4,R5)</f>
        <v>19.25</v>
      </c>
      <c r="X4">
        <f>_xlfn.STDEV.S(R4,R5)</f>
        <v>2.4748737341529163</v>
      </c>
      <c r="Y4">
        <f>AVERAGE(S4,S5)</f>
        <v>31.75</v>
      </c>
      <c r="Z4">
        <f>_xlfn.STDEV.S(S4,S5)</f>
        <v>3.1819805153394638</v>
      </c>
      <c r="AA4">
        <f>AVERAGE(T4,T5)</f>
        <v>22.166666666666668</v>
      </c>
      <c r="AB4">
        <f>_xlfn.STDEV.S(T4,T5)</f>
        <v>0</v>
      </c>
      <c r="AC4">
        <f>MIN(Q4:S4)</f>
        <v>15</v>
      </c>
      <c r="AD4">
        <f>(1/3)*(T4-AC4)</f>
        <v>2.3888888888888893</v>
      </c>
      <c r="AE4">
        <f>AVERAGE(AD4,AD5)</f>
        <v>2.2222222222222223</v>
      </c>
      <c r="AF4">
        <f>_xlfn.STDEV.S(AD5,AD4)</f>
        <v>0.23570226039551595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70</v>
      </c>
      <c r="H5">
        <v>30</v>
      </c>
      <c r="I5">
        <v>12</v>
      </c>
      <c r="J5">
        <v>88</v>
      </c>
      <c r="L5">
        <v>61</v>
      </c>
      <c r="M5">
        <v>39</v>
      </c>
      <c r="N5">
        <v>20</v>
      </c>
      <c r="O5">
        <v>80</v>
      </c>
      <c r="Q5">
        <f t="shared" ref="Q5:Q12" si="0">AVERAGE(C5,D5)</f>
        <v>16</v>
      </c>
      <c r="R5">
        <f t="shared" ref="R5:R12" si="1">AVERAGE(H5,I5)</f>
        <v>21</v>
      </c>
      <c r="S5">
        <f t="shared" ref="S5:S12" si="2">AVERAGE(M5,N5)</f>
        <v>29.5</v>
      </c>
      <c r="T5">
        <f t="shared" ref="T5:T12" si="3">AVERAGE(Q5:S5)</f>
        <v>22.166666666666668</v>
      </c>
      <c r="AC5">
        <f t="shared" ref="AC5:AC12" si="4">MIN(Q5:S5)</f>
        <v>16</v>
      </c>
      <c r="AD5">
        <f t="shared" ref="AD5:AD12" si="5">(1/3)*(T5-AC5)</f>
        <v>2.0555555555555558</v>
      </c>
    </row>
    <row r="7" spans="1:32" x14ac:dyDescent="0.3">
      <c r="A7" t="s">
        <v>27</v>
      </c>
      <c r="F7" t="s">
        <v>28</v>
      </c>
      <c r="K7" t="s">
        <v>29</v>
      </c>
    </row>
    <row r="8" spans="1:32" x14ac:dyDescent="0.3">
      <c r="B8">
        <v>92</v>
      </c>
      <c r="C8">
        <v>8</v>
      </c>
      <c r="D8">
        <v>22</v>
      </c>
      <c r="E8">
        <v>78</v>
      </c>
      <c r="G8">
        <v>71</v>
      </c>
      <c r="H8">
        <v>29</v>
      </c>
      <c r="I8">
        <v>6</v>
      </c>
      <c r="J8">
        <v>94</v>
      </c>
      <c r="L8">
        <v>53</v>
      </c>
      <c r="M8">
        <v>47</v>
      </c>
      <c r="N8">
        <v>21</v>
      </c>
      <c r="O8">
        <v>79</v>
      </c>
      <c r="Q8">
        <f t="shared" si="0"/>
        <v>15</v>
      </c>
      <c r="R8">
        <f t="shared" si="1"/>
        <v>17.5</v>
      </c>
      <c r="S8">
        <f t="shared" si="2"/>
        <v>34</v>
      </c>
      <c r="T8">
        <f t="shared" si="3"/>
        <v>22.166666666666668</v>
      </c>
      <c r="U8">
        <f>AVERAGE(Q8,Q9:Q12)</f>
        <v>15.9</v>
      </c>
      <c r="V8">
        <f>_xlfn.STDEV.S(Q8,Q9:Q12)</f>
        <v>1.8506755523321778</v>
      </c>
      <c r="W8">
        <f>AVERAGE(R8,R9:R12)</f>
        <v>20</v>
      </c>
      <c r="X8">
        <f>_xlfn.STDEV.S(R8,R9:R12)</f>
        <v>1.4577379737113252</v>
      </c>
      <c r="Y8">
        <f>AVERAGE(S8,S9:S12)</f>
        <v>32.9</v>
      </c>
      <c r="Z8">
        <f>_xlfn.STDEV.S(S8,S9:S12)</f>
        <v>3.150396800404673</v>
      </c>
      <c r="AA8">
        <f>AVERAGE(T8,T9:T12)</f>
        <v>22.933333333333334</v>
      </c>
      <c r="AB8">
        <f>_xlfn.STDEV.S(T8,T9:T12)</f>
        <v>0.72264944628929306</v>
      </c>
      <c r="AC8">
        <f t="shared" si="4"/>
        <v>15</v>
      </c>
      <c r="AD8">
        <f t="shared" si="5"/>
        <v>2.3888888888888893</v>
      </c>
      <c r="AE8">
        <f>AVERAGE(AD8:AD12)</f>
        <v>2.3444444444444441</v>
      </c>
      <c r="AF8">
        <f>_xlfn.STDEV.S(AD8:AD12)</f>
        <v>0.67059030564473054</v>
      </c>
    </row>
    <row r="9" spans="1:32" x14ac:dyDescent="0.3">
      <c r="B9">
        <v>88</v>
      </c>
      <c r="C9">
        <v>12</v>
      </c>
      <c r="D9">
        <v>20</v>
      </c>
      <c r="E9">
        <v>80</v>
      </c>
      <c r="G9">
        <v>70</v>
      </c>
      <c r="H9">
        <v>30</v>
      </c>
      <c r="I9">
        <v>12</v>
      </c>
      <c r="J9">
        <v>88</v>
      </c>
      <c r="L9">
        <v>61</v>
      </c>
      <c r="M9">
        <v>39</v>
      </c>
      <c r="N9">
        <v>20</v>
      </c>
      <c r="O9">
        <v>80</v>
      </c>
      <c r="Q9">
        <f t="shared" si="0"/>
        <v>16</v>
      </c>
      <c r="R9">
        <f t="shared" si="1"/>
        <v>21</v>
      </c>
      <c r="S9">
        <f t="shared" si="2"/>
        <v>29.5</v>
      </c>
      <c r="T9">
        <f t="shared" si="3"/>
        <v>22.166666666666668</v>
      </c>
      <c r="AC9">
        <f t="shared" si="4"/>
        <v>16</v>
      </c>
      <c r="AD9">
        <f t="shared" si="5"/>
        <v>2.0555555555555558</v>
      </c>
    </row>
    <row r="10" spans="1:32" x14ac:dyDescent="0.3">
      <c r="B10">
        <v>81</v>
      </c>
      <c r="C10">
        <v>19</v>
      </c>
      <c r="D10">
        <v>18</v>
      </c>
      <c r="E10">
        <v>82</v>
      </c>
      <c r="G10">
        <v>75</v>
      </c>
      <c r="H10">
        <v>25</v>
      </c>
      <c r="I10">
        <v>16</v>
      </c>
      <c r="J10">
        <v>84</v>
      </c>
      <c r="L10">
        <v>62</v>
      </c>
      <c r="M10">
        <v>38</v>
      </c>
      <c r="N10">
        <v>23</v>
      </c>
      <c r="O10">
        <v>77</v>
      </c>
      <c r="Q10">
        <f t="shared" si="0"/>
        <v>18.5</v>
      </c>
      <c r="R10">
        <f t="shared" si="1"/>
        <v>20.5</v>
      </c>
      <c r="S10">
        <f t="shared" si="2"/>
        <v>30.5</v>
      </c>
      <c r="T10">
        <f t="shared" si="3"/>
        <v>23.166666666666668</v>
      </c>
      <c r="AC10">
        <f t="shared" si="4"/>
        <v>18.5</v>
      </c>
      <c r="AD10">
        <f t="shared" si="5"/>
        <v>1.5555555555555558</v>
      </c>
    </row>
    <row r="11" spans="1:32" x14ac:dyDescent="0.3">
      <c r="B11">
        <v>86</v>
      </c>
      <c r="C11">
        <v>14</v>
      </c>
      <c r="D11">
        <v>19</v>
      </c>
      <c r="E11">
        <v>81</v>
      </c>
      <c r="G11">
        <v>78</v>
      </c>
      <c r="H11">
        <v>22</v>
      </c>
      <c r="I11">
        <v>20</v>
      </c>
      <c r="J11">
        <v>80</v>
      </c>
      <c r="L11">
        <v>69</v>
      </c>
      <c r="M11">
        <v>31</v>
      </c>
      <c r="N11">
        <v>35</v>
      </c>
      <c r="O11">
        <v>65</v>
      </c>
      <c r="Q11">
        <f t="shared" si="0"/>
        <v>16.5</v>
      </c>
      <c r="R11">
        <f t="shared" si="1"/>
        <v>21</v>
      </c>
      <c r="S11">
        <f t="shared" si="2"/>
        <v>33</v>
      </c>
      <c r="T11">
        <f t="shared" si="3"/>
        <v>23.5</v>
      </c>
      <c r="AC11">
        <f t="shared" si="4"/>
        <v>16.5</v>
      </c>
      <c r="AD11">
        <f t="shared" si="5"/>
        <v>2.333333333333333</v>
      </c>
    </row>
    <row r="12" spans="1:32" x14ac:dyDescent="0.3">
      <c r="B12">
        <v>88</v>
      </c>
      <c r="C12">
        <v>12</v>
      </c>
      <c r="D12">
        <v>15</v>
      </c>
      <c r="E12">
        <v>85</v>
      </c>
      <c r="G12">
        <v>67</v>
      </c>
      <c r="H12">
        <v>33</v>
      </c>
      <c r="I12">
        <v>7</v>
      </c>
      <c r="J12">
        <v>93</v>
      </c>
      <c r="L12">
        <v>50</v>
      </c>
      <c r="M12">
        <v>50</v>
      </c>
      <c r="N12">
        <v>25</v>
      </c>
      <c r="O12">
        <v>75</v>
      </c>
      <c r="Q12">
        <f t="shared" si="0"/>
        <v>13.5</v>
      </c>
      <c r="R12">
        <f t="shared" si="1"/>
        <v>20</v>
      </c>
      <c r="S12">
        <f t="shared" si="2"/>
        <v>37.5</v>
      </c>
      <c r="T12">
        <f t="shared" si="3"/>
        <v>23.666666666666668</v>
      </c>
      <c r="AC12">
        <f t="shared" si="4"/>
        <v>13.5</v>
      </c>
      <c r="AD12">
        <f t="shared" si="5"/>
        <v>3.3888888888888893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workbookViewId="0">
      <selection activeCell="I17" sqref="A1:XFD1048576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81</v>
      </c>
      <c r="C4">
        <v>19</v>
      </c>
      <c r="D4">
        <v>40</v>
      </c>
      <c r="E4">
        <v>60</v>
      </c>
      <c r="G4">
        <v>73</v>
      </c>
      <c r="H4">
        <v>27</v>
      </c>
      <c r="I4">
        <v>19</v>
      </c>
      <c r="J4">
        <v>81</v>
      </c>
      <c r="L4">
        <v>57</v>
      </c>
      <c r="M4">
        <v>43</v>
      </c>
      <c r="N4">
        <v>57</v>
      </c>
      <c r="O4">
        <v>43</v>
      </c>
    </row>
    <row r="6" spans="1:32" x14ac:dyDescent="0.3">
      <c r="A6" t="s">
        <v>27</v>
      </c>
      <c r="F6" t="s">
        <v>28</v>
      </c>
      <c r="K6" t="s">
        <v>29</v>
      </c>
    </row>
    <row r="7" spans="1:32" x14ac:dyDescent="0.3">
      <c r="B7">
        <v>81</v>
      </c>
      <c r="C7">
        <v>19</v>
      </c>
      <c r="D7">
        <v>40</v>
      </c>
      <c r="E7">
        <v>60</v>
      </c>
      <c r="G7">
        <v>73</v>
      </c>
      <c r="H7">
        <v>27</v>
      </c>
      <c r="I7">
        <v>19</v>
      </c>
      <c r="J7">
        <v>81</v>
      </c>
      <c r="L7">
        <v>57</v>
      </c>
      <c r="M7">
        <v>43</v>
      </c>
      <c r="N7">
        <v>57</v>
      </c>
      <c r="O7">
        <v>43</v>
      </c>
      <c r="Q7">
        <f>AVERAGE(C7,D7)</f>
        <v>29.5</v>
      </c>
      <c r="R7">
        <f>AVERAGE(H7,I7)</f>
        <v>23</v>
      </c>
      <c r="S7">
        <f>AVERAGE(M7,N7)</f>
        <v>50</v>
      </c>
      <c r="T7">
        <f>AVERAGE(Q7:S7)</f>
        <v>34.166666666666664</v>
      </c>
      <c r="U7">
        <f>AVERAGE(Q7,Q8)</f>
        <v>24.5</v>
      </c>
      <c r="V7">
        <f>_xlfn.STDEV.S(Q7,Q8)</f>
        <v>7.0710678118654755</v>
      </c>
      <c r="W7">
        <f>AVERAGE(R7:R8)</f>
        <v>20.25</v>
      </c>
      <c r="X7">
        <f>_xlfn.STDEV.S(R7,R8)</f>
        <v>3.8890872965260113</v>
      </c>
      <c r="Y7">
        <f>AVERAGE(S7,S8)</f>
        <v>41</v>
      </c>
      <c r="Z7">
        <f>_xlfn.STDEV.S(S7,S8)</f>
        <v>12.727922061357855</v>
      </c>
      <c r="AA7">
        <f>AVERAGE(T7,T8)</f>
        <v>28.583333333333332</v>
      </c>
      <c r="AB7">
        <f>_xlfn.STDEV.S(T7,T8)</f>
        <v>7.8960257232497773</v>
      </c>
      <c r="AC7">
        <f>MIN(Q7:S7)</f>
        <v>23</v>
      </c>
      <c r="AD7">
        <f>(1/3)*(T7-AC7)</f>
        <v>3.7222222222222214</v>
      </c>
      <c r="AE7">
        <f>AVERAGE(AD7,AD8)</f>
        <v>2.7777777777777772</v>
      </c>
      <c r="AF7">
        <f>_xlfn.STDEV.S(AD7,AD8)</f>
        <v>1.3356461422412567</v>
      </c>
    </row>
    <row r="8" spans="1:32" x14ac:dyDescent="0.3">
      <c r="B8">
        <v>81</v>
      </c>
      <c r="C8">
        <v>19</v>
      </c>
      <c r="D8">
        <v>20</v>
      </c>
      <c r="E8">
        <v>80</v>
      </c>
      <c r="G8">
        <v>78</v>
      </c>
      <c r="H8">
        <v>22</v>
      </c>
      <c r="I8">
        <v>13</v>
      </c>
      <c r="J8">
        <v>87</v>
      </c>
      <c r="L8">
        <v>66</v>
      </c>
      <c r="M8">
        <v>34</v>
      </c>
      <c r="N8">
        <v>30</v>
      </c>
      <c r="O8">
        <v>70</v>
      </c>
      <c r="Q8">
        <f>AVERAGE(C8,D8)</f>
        <v>19.5</v>
      </c>
      <c r="R8">
        <f>AVERAGE(H8,I8)</f>
        <v>17.5</v>
      </c>
      <c r="S8">
        <f>AVERAGE(M8,N8)</f>
        <v>32</v>
      </c>
      <c r="T8">
        <f>AVERAGE(Q8:S8)</f>
        <v>23</v>
      </c>
      <c r="AC8">
        <f>MIN(Q8:S8)</f>
        <v>17.5</v>
      </c>
      <c r="AD8">
        <f>(1/3)*(T8-AC8)</f>
        <v>1.8333333333333333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83</v>
      </c>
      <c r="C4">
        <v>17</v>
      </c>
      <c r="D4">
        <v>14</v>
      </c>
      <c r="E4">
        <v>86</v>
      </c>
      <c r="G4">
        <v>76</v>
      </c>
      <c r="H4">
        <v>24</v>
      </c>
      <c r="I4">
        <v>12</v>
      </c>
      <c r="J4">
        <v>88</v>
      </c>
      <c r="L4">
        <v>69</v>
      </c>
      <c r="M4">
        <v>31</v>
      </c>
      <c r="N4">
        <v>31</v>
      </c>
      <c r="O4">
        <v>69</v>
      </c>
      <c r="Q4">
        <f>AVERAGE(D4,C4)</f>
        <v>15.5</v>
      </c>
      <c r="R4">
        <f>AVERAGE(H4,I4)</f>
        <v>18</v>
      </c>
      <c r="S4">
        <f>AVERAGE(M4,N4)</f>
        <v>31</v>
      </c>
      <c r="T4">
        <f>AVERAGE(Q4:S4)</f>
        <v>21.5</v>
      </c>
      <c r="U4">
        <f>AVERAGE(Q4,Q5)</f>
        <v>17</v>
      </c>
      <c r="V4">
        <f>_xlfn.STDEV.S(Q4,Q5)</f>
        <v>2.1213203435596424</v>
      </c>
      <c r="W4">
        <f>AVERAGE(R4,R5)</f>
        <v>19.5</v>
      </c>
      <c r="X4">
        <f>_xlfn.STDEV.S(R4,R5)</f>
        <v>2.1213203435596424</v>
      </c>
      <c r="Y4">
        <f>AVERAGE(S4,S5)</f>
        <v>32.75</v>
      </c>
      <c r="Z4">
        <f>_xlfn.STDEV.S(S4,S5)</f>
        <v>2.4748737341529163</v>
      </c>
      <c r="AA4">
        <f>AVERAGE(T4,T5)</f>
        <v>23.083333333333336</v>
      </c>
      <c r="AB4">
        <f>_xlfn.STDEV.S(T4,T5)</f>
        <v>2.2391714737574016</v>
      </c>
      <c r="AC4">
        <f>MIN(Q4:S4)</f>
        <v>15.5</v>
      </c>
      <c r="AD4">
        <f>(1/3)*(T4-AC4)</f>
        <v>2</v>
      </c>
      <c r="AE4">
        <f>AVERAGE(AD4,AD5)</f>
        <v>2.0277777777777777</v>
      </c>
      <c r="AF4">
        <f>_xlfn.STDEV.S(AD5,AD4)</f>
        <v>3.9283710065919485E-2</v>
      </c>
    </row>
    <row r="5" spans="1:32" x14ac:dyDescent="0.3">
      <c r="B5">
        <v>81</v>
      </c>
      <c r="C5">
        <v>19</v>
      </c>
      <c r="D5">
        <v>18</v>
      </c>
      <c r="E5">
        <v>82</v>
      </c>
      <c r="G5">
        <v>76</v>
      </c>
      <c r="H5">
        <v>24</v>
      </c>
      <c r="I5">
        <v>18</v>
      </c>
      <c r="J5">
        <v>82</v>
      </c>
      <c r="L5">
        <v>61</v>
      </c>
      <c r="M5">
        <v>39</v>
      </c>
      <c r="N5">
        <v>30</v>
      </c>
      <c r="O5">
        <v>70</v>
      </c>
      <c r="Q5">
        <f t="shared" ref="Q5:Q6" si="0">AVERAGE(D5,C5)</f>
        <v>18.5</v>
      </c>
      <c r="R5">
        <f t="shared" ref="R5:R6" si="1">AVERAGE(H5,I5)</f>
        <v>21</v>
      </c>
      <c r="S5">
        <f t="shared" ref="S5:S6" si="2">AVERAGE(M5,N5)</f>
        <v>34.5</v>
      </c>
      <c r="T5">
        <f t="shared" ref="T5:T6" si="3">AVERAGE(Q5:S5)</f>
        <v>24.666666666666668</v>
      </c>
      <c r="AC5">
        <f t="shared" ref="AC5:AC6" si="4">MIN(Q5:S5)</f>
        <v>18.5</v>
      </c>
      <c r="AD5">
        <f t="shared" ref="AD5:AD6" si="5">(1/3)*(T5-AC5)</f>
        <v>2.0555555555555558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workbookViewId="0">
      <selection activeCell="G13" sqref="A1:XFD1048576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86</v>
      </c>
      <c r="C4">
        <v>14</v>
      </c>
      <c r="D4">
        <v>16</v>
      </c>
      <c r="E4">
        <v>84</v>
      </c>
      <c r="G4">
        <v>88</v>
      </c>
      <c r="H4">
        <v>12</v>
      </c>
      <c r="I4">
        <v>20</v>
      </c>
      <c r="J4">
        <v>80</v>
      </c>
      <c r="L4">
        <v>60</v>
      </c>
      <c r="M4">
        <v>40</v>
      </c>
      <c r="N4">
        <v>26</v>
      </c>
      <c r="O4">
        <v>74</v>
      </c>
      <c r="Q4">
        <f>AVERAGE(C4,D4)</f>
        <v>15</v>
      </c>
      <c r="R4">
        <f>AVERAGE(H4,I4)</f>
        <v>16</v>
      </c>
      <c r="S4">
        <f>AVERAGE(M4,N4)</f>
        <v>33</v>
      </c>
      <c r="T4">
        <f>AVERAGE(Q4:S4)</f>
        <v>21.333333333333332</v>
      </c>
      <c r="U4">
        <f>AVERAGE(Q4)</f>
        <v>15</v>
      </c>
      <c r="W4">
        <f>AVERAGE(R4)</f>
        <v>16</v>
      </c>
      <c r="Y4">
        <f>AVERAGE(S4)</f>
        <v>33</v>
      </c>
      <c r="AA4">
        <f>AVERAGE(U4,W4,Y4)</f>
        <v>21.333333333333332</v>
      </c>
      <c r="AC4">
        <f>MIN(U4,W4,Y4)</f>
        <v>15</v>
      </c>
      <c r="AE4">
        <f>(1/3)*(AA4-AC4)</f>
        <v>2.1111111111111107</v>
      </c>
    </row>
    <row r="6" spans="1:32" x14ac:dyDescent="0.3">
      <c r="A6" t="s">
        <v>27</v>
      </c>
      <c r="F6" t="s">
        <v>28</v>
      </c>
      <c r="K6" t="s">
        <v>29</v>
      </c>
    </row>
    <row r="7" spans="1:32" x14ac:dyDescent="0.3">
      <c r="B7">
        <v>86</v>
      </c>
      <c r="C7">
        <v>14</v>
      </c>
      <c r="D7">
        <v>16</v>
      </c>
      <c r="E7">
        <v>84</v>
      </c>
      <c r="G7">
        <v>88</v>
      </c>
      <c r="H7">
        <v>12</v>
      </c>
      <c r="I7">
        <v>20</v>
      </c>
      <c r="J7">
        <v>80</v>
      </c>
      <c r="L7">
        <v>60</v>
      </c>
      <c r="M7">
        <v>40</v>
      </c>
      <c r="N7">
        <v>26</v>
      </c>
      <c r="O7">
        <v>74</v>
      </c>
      <c r="Q7">
        <f t="shared" ref="Q5:Q10" si="0">AVERAGE(C7,D7)</f>
        <v>15</v>
      </c>
      <c r="R7">
        <f t="shared" ref="R5:R10" si="1">AVERAGE(H7,I7)</f>
        <v>16</v>
      </c>
      <c r="S7">
        <f t="shared" ref="S5:S10" si="2">AVERAGE(M7,N7)</f>
        <v>33</v>
      </c>
      <c r="T7">
        <f t="shared" ref="T5:T10" si="3">AVERAGE(Q7:S7)</f>
        <v>21.333333333333332</v>
      </c>
      <c r="U7">
        <f>AVERAGE(Q7:Q10)</f>
        <v>15</v>
      </c>
      <c r="V7">
        <f>_xlfn.STDEV.S(Q7:Q10)</f>
        <v>0.40824829046386302</v>
      </c>
      <c r="W7">
        <f>AVERAGE(R7:R10)</f>
        <v>19.25</v>
      </c>
      <c r="X7">
        <f>_xlfn.STDEV.S(R7:R10)</f>
        <v>3.8405728739343039</v>
      </c>
      <c r="Y7">
        <f>AVERAGE(S7:S10)</f>
        <v>35.75</v>
      </c>
      <c r="Z7">
        <f>_xlfn.STDEV.S(S7:S10)</f>
        <v>6.3966136874651625</v>
      </c>
      <c r="AA7">
        <f>AVERAGE(T7:T10)</f>
        <v>23.333333333333332</v>
      </c>
      <c r="AB7">
        <f>_xlfn.STDEV.S(T7:T10)</f>
        <v>2.5531389540169025</v>
      </c>
      <c r="AC7">
        <f>MIN(Q7:S7)</f>
        <v>15</v>
      </c>
      <c r="AD7">
        <f>(1/3)*(T7-AC7)</f>
        <v>2.1111111111111107</v>
      </c>
      <c r="AE7">
        <f>AVERAGE(AD7:AD10)</f>
        <v>2.7777777777777772</v>
      </c>
      <c r="AF7">
        <f>_xlfn.STDEV.S(AD7:AD10)</f>
        <v>0.73842229768062817</v>
      </c>
    </row>
    <row r="8" spans="1:32" x14ac:dyDescent="0.3">
      <c r="B8">
        <v>85</v>
      </c>
      <c r="C8">
        <v>15</v>
      </c>
      <c r="D8">
        <v>15</v>
      </c>
      <c r="E8">
        <v>85</v>
      </c>
      <c r="G8">
        <v>89</v>
      </c>
      <c r="H8">
        <v>11</v>
      </c>
      <c r="I8">
        <v>21</v>
      </c>
      <c r="J8">
        <v>79</v>
      </c>
      <c r="L8">
        <v>55</v>
      </c>
      <c r="M8">
        <v>45</v>
      </c>
      <c r="N8">
        <v>37</v>
      </c>
      <c r="O8">
        <v>63</v>
      </c>
      <c r="Q8">
        <f t="shared" si="0"/>
        <v>15</v>
      </c>
      <c r="R8">
        <f t="shared" si="1"/>
        <v>16</v>
      </c>
      <c r="S8">
        <f t="shared" si="2"/>
        <v>41</v>
      </c>
      <c r="T8">
        <f t="shared" si="3"/>
        <v>24</v>
      </c>
      <c r="AC8">
        <f t="shared" ref="AC8:AC10" si="4">MIN(Q8:S8)</f>
        <v>15</v>
      </c>
      <c r="AD8">
        <f t="shared" ref="AD8:AD10" si="5">(1/3)*(T8-AC8)</f>
        <v>3</v>
      </c>
    </row>
    <row r="9" spans="1:32" x14ac:dyDescent="0.3">
      <c r="B9">
        <v>86</v>
      </c>
      <c r="C9">
        <v>14</v>
      </c>
      <c r="D9">
        <v>17</v>
      </c>
      <c r="E9">
        <v>83</v>
      </c>
      <c r="G9">
        <v>80</v>
      </c>
      <c r="H9">
        <v>20</v>
      </c>
      <c r="I9">
        <v>27</v>
      </c>
      <c r="J9">
        <v>73</v>
      </c>
      <c r="L9">
        <v>58</v>
      </c>
      <c r="M9">
        <v>42</v>
      </c>
      <c r="N9">
        <v>40</v>
      </c>
      <c r="O9">
        <v>60</v>
      </c>
      <c r="Q9">
        <f t="shared" si="0"/>
        <v>15.5</v>
      </c>
      <c r="R9">
        <f t="shared" si="1"/>
        <v>23.5</v>
      </c>
      <c r="S9">
        <f t="shared" si="2"/>
        <v>41</v>
      </c>
      <c r="T9">
        <f t="shared" si="3"/>
        <v>26.666666666666668</v>
      </c>
      <c r="AC9">
        <f t="shared" si="4"/>
        <v>15.5</v>
      </c>
      <c r="AD9">
        <f t="shared" si="5"/>
        <v>3.7222222222222223</v>
      </c>
    </row>
    <row r="10" spans="1:32" x14ac:dyDescent="0.3">
      <c r="B10">
        <v>83</v>
      </c>
      <c r="C10">
        <v>17</v>
      </c>
      <c r="D10">
        <v>12</v>
      </c>
      <c r="E10">
        <v>88</v>
      </c>
      <c r="G10">
        <v>84</v>
      </c>
      <c r="H10">
        <v>16</v>
      </c>
      <c r="I10">
        <v>27</v>
      </c>
      <c r="J10">
        <v>73</v>
      </c>
      <c r="L10">
        <v>66</v>
      </c>
      <c r="M10">
        <v>34</v>
      </c>
      <c r="N10">
        <v>22</v>
      </c>
      <c r="O10">
        <v>78</v>
      </c>
      <c r="Q10">
        <f t="shared" si="0"/>
        <v>14.5</v>
      </c>
      <c r="R10">
        <f t="shared" si="1"/>
        <v>21.5</v>
      </c>
      <c r="S10">
        <f t="shared" si="2"/>
        <v>28</v>
      </c>
      <c r="T10">
        <f t="shared" si="3"/>
        <v>21.333333333333332</v>
      </c>
      <c r="AC10">
        <f t="shared" si="4"/>
        <v>14.5</v>
      </c>
      <c r="AD10">
        <f t="shared" si="5"/>
        <v>2.2777777777777772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0"/>
  <sheetViews>
    <sheetView workbookViewId="0">
      <selection activeCell="E18" sqref="A1:XFD1048576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79</v>
      </c>
      <c r="C4">
        <v>21</v>
      </c>
      <c r="D4">
        <v>11</v>
      </c>
      <c r="E4">
        <v>89</v>
      </c>
      <c r="G4">
        <v>76</v>
      </c>
      <c r="H4">
        <v>24</v>
      </c>
      <c r="I4">
        <v>12</v>
      </c>
      <c r="J4">
        <v>88</v>
      </c>
      <c r="L4">
        <v>70</v>
      </c>
      <c r="M4">
        <v>30</v>
      </c>
      <c r="N4">
        <v>21</v>
      </c>
      <c r="O4">
        <v>79</v>
      </c>
      <c r="Q4">
        <f>AVERAGE(C4,D4)</f>
        <v>16</v>
      </c>
      <c r="R4">
        <f>AVERAGE(H4,I4)</f>
        <v>18</v>
      </c>
      <c r="S4">
        <f>AVERAGE(M4,N4)</f>
        <v>25.5</v>
      </c>
      <c r="T4">
        <f>AVERAGE(Q4:S4)</f>
        <v>19.833333333333332</v>
      </c>
      <c r="AC4">
        <f>MIN(Q4:S4)</f>
        <v>16</v>
      </c>
      <c r="AD4">
        <f>(1/3)*(T4-AC4)</f>
        <v>1.2777777777777772</v>
      </c>
    </row>
    <row r="6" spans="1:32" x14ac:dyDescent="0.3">
      <c r="A6" t="s">
        <v>27</v>
      </c>
      <c r="F6" t="s">
        <v>28</v>
      </c>
      <c r="K6" t="s">
        <v>29</v>
      </c>
    </row>
    <row r="7" spans="1:32" x14ac:dyDescent="0.3">
      <c r="B7">
        <v>79</v>
      </c>
      <c r="C7">
        <v>21</v>
      </c>
      <c r="D7">
        <v>11</v>
      </c>
      <c r="E7">
        <v>89</v>
      </c>
      <c r="G7">
        <v>76</v>
      </c>
      <c r="H7">
        <v>24</v>
      </c>
      <c r="I7">
        <v>12</v>
      </c>
      <c r="J7">
        <v>88</v>
      </c>
      <c r="L7">
        <v>70</v>
      </c>
      <c r="M7">
        <v>30</v>
      </c>
      <c r="N7">
        <v>21</v>
      </c>
      <c r="O7">
        <v>79</v>
      </c>
      <c r="Q7">
        <f>AVERAGE(C7,D7)</f>
        <v>16</v>
      </c>
      <c r="R7">
        <f>AVERAGE(H7,I7)</f>
        <v>18</v>
      </c>
      <c r="S7">
        <f>AVERAGE(M7,N7)</f>
        <v>25.5</v>
      </c>
      <c r="T7">
        <f>AVERAGE(Q7:S7)</f>
        <v>19.833333333333332</v>
      </c>
      <c r="U7">
        <f>AVERAGE(Q7:Q10)</f>
        <v>14.75</v>
      </c>
      <c r="V7">
        <f>_xlfn.STDEV.S(Q7:Q10)</f>
        <v>3.2015621187164243</v>
      </c>
      <c r="W7">
        <f>AVERAGE(R7:R10)</f>
        <v>18.625</v>
      </c>
      <c r="X7">
        <f>_xlfn.STDEV.S(R7:R10)</f>
        <v>1.0307764064044151</v>
      </c>
      <c r="Y7">
        <f>AVERAGE(S7:S10)</f>
        <v>29.625</v>
      </c>
      <c r="Z7">
        <f>_xlfn.STDEV.S(S7:S10)</f>
        <v>5.4524459343185301</v>
      </c>
      <c r="AA7">
        <f>AVERAGE(T7:T10)</f>
        <v>21</v>
      </c>
      <c r="AB7">
        <f>_xlfn.STDEV.S(T7:T10)</f>
        <v>1.5335748602046966</v>
      </c>
      <c r="AC7">
        <f>MIN(Q7:S7)</f>
        <v>16</v>
      </c>
      <c r="AD7">
        <f>(1/3)*(T7-AC7)</f>
        <v>1.2777777777777772</v>
      </c>
      <c r="AE7">
        <f>AVERAGE(AD7:AD10)</f>
        <v>2.0833333333333335</v>
      </c>
      <c r="AF7">
        <f>_xlfn.STDEV.S(AD7:AD10)</f>
        <v>1.113423519670919</v>
      </c>
    </row>
    <row r="8" spans="1:32" x14ac:dyDescent="0.3">
      <c r="B8">
        <v>90</v>
      </c>
      <c r="C8">
        <v>10</v>
      </c>
      <c r="D8">
        <v>10</v>
      </c>
      <c r="E8">
        <v>90</v>
      </c>
      <c r="G8">
        <v>75</v>
      </c>
      <c r="H8">
        <v>25</v>
      </c>
      <c r="I8">
        <v>10</v>
      </c>
      <c r="J8">
        <v>90</v>
      </c>
      <c r="L8">
        <v>61</v>
      </c>
      <c r="M8">
        <v>39</v>
      </c>
      <c r="N8">
        <v>32</v>
      </c>
      <c r="O8">
        <v>68</v>
      </c>
      <c r="Q8">
        <f>AVERAGE(C8,D8)</f>
        <v>10</v>
      </c>
      <c r="R8">
        <f>AVERAGE(H8:I8)</f>
        <v>17.5</v>
      </c>
      <c r="S8">
        <f>AVERAGE(M8,N8)</f>
        <v>35.5</v>
      </c>
      <c r="T8">
        <f>AVERAGE(Q8:S8)</f>
        <v>21</v>
      </c>
      <c r="AC8">
        <f>MIN(Q8:S8)</f>
        <v>10</v>
      </c>
      <c r="AD8">
        <f>(1/3)*(T8-AC8)</f>
        <v>3.6666666666666665</v>
      </c>
    </row>
    <row r="9" spans="1:32" x14ac:dyDescent="0.3">
      <c r="B9">
        <v>79</v>
      </c>
      <c r="C9">
        <v>21</v>
      </c>
      <c r="D9">
        <v>13</v>
      </c>
      <c r="E9">
        <v>87</v>
      </c>
      <c r="G9">
        <v>87</v>
      </c>
      <c r="H9">
        <v>13</v>
      </c>
      <c r="I9">
        <v>26</v>
      </c>
      <c r="J9">
        <v>74</v>
      </c>
      <c r="L9">
        <v>64</v>
      </c>
      <c r="M9">
        <v>36</v>
      </c>
      <c r="N9">
        <v>30</v>
      </c>
      <c r="O9">
        <v>70</v>
      </c>
      <c r="Q9">
        <f t="shared" ref="Q9:Q10" si="0">AVERAGE(C9,D9)</f>
        <v>17</v>
      </c>
      <c r="R9">
        <f t="shared" ref="R9:R10" si="1">AVERAGE(H9:I9)</f>
        <v>19.5</v>
      </c>
      <c r="S9">
        <f t="shared" ref="S9:S10" si="2">AVERAGE(M9,N9)</f>
        <v>33</v>
      </c>
      <c r="T9">
        <f t="shared" ref="T9:T10" si="3">AVERAGE(Q9:S9)</f>
        <v>23.166666666666668</v>
      </c>
      <c r="AC9">
        <f t="shared" ref="AC9:AC10" si="4">MIN(Q9:S9)</f>
        <v>17</v>
      </c>
      <c r="AD9">
        <f t="shared" ref="AD9:AD10" si="5">(1/3)*(T9-AC9)</f>
        <v>2.0555555555555558</v>
      </c>
    </row>
    <row r="10" spans="1:32" x14ac:dyDescent="0.3">
      <c r="B10">
        <v>83</v>
      </c>
      <c r="C10">
        <v>17</v>
      </c>
      <c r="D10">
        <v>15</v>
      </c>
      <c r="E10">
        <v>85</v>
      </c>
      <c r="G10">
        <v>77</v>
      </c>
      <c r="H10">
        <v>23</v>
      </c>
      <c r="I10">
        <v>16</v>
      </c>
      <c r="J10">
        <v>84</v>
      </c>
      <c r="L10">
        <v>75</v>
      </c>
      <c r="M10">
        <v>25</v>
      </c>
      <c r="N10">
        <v>24</v>
      </c>
      <c r="O10">
        <v>76</v>
      </c>
      <c r="Q10">
        <f t="shared" si="0"/>
        <v>16</v>
      </c>
      <c r="R10">
        <f t="shared" si="1"/>
        <v>19.5</v>
      </c>
      <c r="S10">
        <f t="shared" si="2"/>
        <v>24.5</v>
      </c>
      <c r="T10">
        <f t="shared" si="3"/>
        <v>20</v>
      </c>
      <c r="AC10">
        <f t="shared" si="4"/>
        <v>16</v>
      </c>
      <c r="AD10">
        <f t="shared" si="5"/>
        <v>1.3333333333333333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7" activeCellId="2" sqref="U7:AB7 AE7 AF7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79</v>
      </c>
      <c r="K3" t="s">
        <v>29</v>
      </c>
    </row>
    <row r="4" spans="1:32" x14ac:dyDescent="0.3">
      <c r="B4">
        <v>80</v>
      </c>
      <c r="C4">
        <v>20</v>
      </c>
      <c r="D4">
        <v>26</v>
      </c>
      <c r="E4">
        <v>74</v>
      </c>
      <c r="G4">
        <v>84</v>
      </c>
      <c r="H4">
        <v>16</v>
      </c>
      <c r="I4">
        <v>10</v>
      </c>
      <c r="J4">
        <v>90</v>
      </c>
      <c r="L4">
        <v>63</v>
      </c>
      <c r="M4">
        <v>37</v>
      </c>
      <c r="N4">
        <v>45</v>
      </c>
      <c r="O4">
        <v>55</v>
      </c>
      <c r="Q4">
        <f>AVERAGE(C4,D4)</f>
        <v>23</v>
      </c>
      <c r="R4">
        <f>AVERAGE(H4,I4)</f>
        <v>13</v>
      </c>
      <c r="S4">
        <f>AVERAGE(M4,N4)</f>
        <v>41</v>
      </c>
      <c r="T4">
        <f>AVERAGE(Q4:S4)</f>
        <v>25.666666666666668</v>
      </c>
      <c r="AC4">
        <f>MIN(Q4:S4)</f>
        <v>13</v>
      </c>
      <c r="AD4">
        <f>(1/3)*(T4-AC4)</f>
        <v>4.2222222222222223</v>
      </c>
    </row>
    <row r="6" spans="1:32" x14ac:dyDescent="0.3">
      <c r="A6" t="s">
        <v>27</v>
      </c>
      <c r="F6" t="s">
        <v>28</v>
      </c>
      <c r="K6" t="s">
        <v>29</v>
      </c>
    </row>
    <row r="7" spans="1:32" x14ac:dyDescent="0.3">
      <c r="B7">
        <v>80</v>
      </c>
      <c r="C7">
        <v>20</v>
      </c>
      <c r="D7">
        <v>26</v>
      </c>
      <c r="E7">
        <v>74</v>
      </c>
      <c r="G7">
        <v>84</v>
      </c>
      <c r="H7">
        <v>16</v>
      </c>
      <c r="I7">
        <v>10</v>
      </c>
      <c r="J7">
        <v>90</v>
      </c>
      <c r="L7">
        <v>63</v>
      </c>
      <c r="M7">
        <v>37</v>
      </c>
      <c r="N7">
        <v>45</v>
      </c>
      <c r="O7">
        <v>55</v>
      </c>
      <c r="Q7">
        <f t="shared" ref="Q5:Q9" si="0">AVERAGE(C7,D7)</f>
        <v>23</v>
      </c>
      <c r="R7">
        <f t="shared" ref="R5:R9" si="1">AVERAGE(H7,I7)</f>
        <v>13</v>
      </c>
      <c r="S7">
        <f t="shared" ref="S5:S9" si="2">AVERAGE(M7,N7)</f>
        <v>41</v>
      </c>
      <c r="T7">
        <f t="shared" ref="T5:T9" si="3">AVERAGE(Q7:S7)</f>
        <v>25.666666666666668</v>
      </c>
      <c r="U7">
        <f>AVERAGE(Q7:Q9)</f>
        <v>17.5</v>
      </c>
      <c r="V7">
        <f>_xlfn.STDEV.S(Q7:Q9)</f>
        <v>4.7696960070847281</v>
      </c>
      <c r="W7">
        <f>AVERAGE(R7:R9)</f>
        <v>17</v>
      </c>
      <c r="X7">
        <f>_xlfn.STDEV.S(R7:R9)</f>
        <v>4.924428900898052</v>
      </c>
      <c r="Y7">
        <f>AVERAGE(S7:S9)</f>
        <v>35.666666666666664</v>
      </c>
      <c r="Z7">
        <f>_xlfn.STDEV.S(S7:S9)</f>
        <v>4.6457866215887762</v>
      </c>
      <c r="AA7">
        <f>AVERAGE(T7:T9)</f>
        <v>23.388888888888889</v>
      </c>
      <c r="AB7">
        <f>_xlfn.STDEV.S(T7:T9)</f>
        <v>2.3353166174426341</v>
      </c>
      <c r="AC7">
        <f>MIN(Q7:S7)</f>
        <v>13</v>
      </c>
      <c r="AD7">
        <f>(1/3)*(T7-AC7)</f>
        <v>4.2222222222222223</v>
      </c>
      <c r="AE7">
        <f>AVERAGE(AD7:AD9)</f>
        <v>3.074074074074074</v>
      </c>
      <c r="AF7">
        <f>_xlfn.STDEV.S(AD7:AD9)</f>
        <v>1.1129614223197588</v>
      </c>
    </row>
    <row r="8" spans="1:32" x14ac:dyDescent="0.3">
      <c r="B8">
        <v>83</v>
      </c>
      <c r="C8">
        <v>17</v>
      </c>
      <c r="D8">
        <v>13</v>
      </c>
      <c r="E8">
        <v>87</v>
      </c>
      <c r="G8">
        <v>78</v>
      </c>
      <c r="H8">
        <v>22</v>
      </c>
      <c r="I8">
        <v>9</v>
      </c>
      <c r="J8">
        <v>91</v>
      </c>
      <c r="L8">
        <v>62</v>
      </c>
      <c r="M8">
        <v>38</v>
      </c>
      <c r="N8">
        <v>27</v>
      </c>
      <c r="O8">
        <v>73</v>
      </c>
      <c r="Q8">
        <f t="shared" si="0"/>
        <v>15</v>
      </c>
      <c r="R8">
        <f t="shared" si="1"/>
        <v>15.5</v>
      </c>
      <c r="S8">
        <f t="shared" si="2"/>
        <v>32.5</v>
      </c>
      <c r="T8">
        <f t="shared" si="3"/>
        <v>21</v>
      </c>
      <c r="AC8">
        <f t="shared" ref="AC8:AC9" si="4">MIN(Q8:S8)</f>
        <v>15</v>
      </c>
      <c r="AD8">
        <f t="shared" ref="AD8:AD9" si="5">(1/3)*(T8-AC8)</f>
        <v>2</v>
      </c>
    </row>
    <row r="9" spans="1:32" x14ac:dyDescent="0.3">
      <c r="B9">
        <v>76</v>
      </c>
      <c r="C9">
        <v>24</v>
      </c>
      <c r="D9">
        <v>5</v>
      </c>
      <c r="E9">
        <v>95</v>
      </c>
      <c r="G9">
        <v>67</v>
      </c>
      <c r="H9">
        <v>33</v>
      </c>
      <c r="I9">
        <v>12</v>
      </c>
      <c r="J9">
        <v>88</v>
      </c>
      <c r="L9">
        <v>58</v>
      </c>
      <c r="M9">
        <v>42</v>
      </c>
      <c r="N9">
        <v>25</v>
      </c>
      <c r="O9">
        <v>75</v>
      </c>
      <c r="Q9">
        <f t="shared" si="0"/>
        <v>14.5</v>
      </c>
      <c r="R9">
        <f t="shared" si="1"/>
        <v>22.5</v>
      </c>
      <c r="S9">
        <f t="shared" si="2"/>
        <v>33.5</v>
      </c>
      <c r="T9">
        <f t="shared" si="3"/>
        <v>23.5</v>
      </c>
      <c r="AC9">
        <f t="shared" si="4"/>
        <v>14.5</v>
      </c>
      <c r="AD9">
        <f t="shared" si="5"/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workbookViewId="0">
      <selection activeCell="W15" sqref="W15:Z15"/>
    </sheetView>
  </sheetViews>
  <sheetFormatPr defaultRowHeight="14.4" x14ac:dyDescent="0.3"/>
  <cols>
    <col min="28" max="28" width="23.21875" customWidth="1"/>
    <col min="32" max="32" width="19.33203125" customWidth="1"/>
  </cols>
  <sheetData>
    <row r="1" spans="1:34" x14ac:dyDescent="0.3">
      <c r="A1" t="s">
        <v>26</v>
      </c>
    </row>
    <row r="2" spans="1:34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2</v>
      </c>
      <c r="X2" t="s">
        <v>21</v>
      </c>
      <c r="Y2" t="s">
        <v>23</v>
      </c>
      <c r="Z2" t="s">
        <v>24</v>
      </c>
      <c r="AB2" t="s">
        <v>42</v>
      </c>
      <c r="AC2" t="s">
        <v>2</v>
      </c>
      <c r="AD2" t="s">
        <v>23</v>
      </c>
      <c r="AF2" t="s">
        <v>45</v>
      </c>
      <c r="AG2" t="s">
        <v>2</v>
      </c>
      <c r="AH2" t="s">
        <v>23</v>
      </c>
    </row>
    <row r="3" spans="1:34" x14ac:dyDescent="0.3">
      <c r="B3">
        <v>91</v>
      </c>
      <c r="C3">
        <v>9</v>
      </c>
      <c r="D3">
        <v>28</v>
      </c>
      <c r="E3">
        <v>72</v>
      </c>
      <c r="G3">
        <v>66</v>
      </c>
      <c r="H3">
        <v>34</v>
      </c>
      <c r="I3">
        <v>9</v>
      </c>
      <c r="J3">
        <v>91</v>
      </c>
      <c r="L3">
        <v>74</v>
      </c>
      <c r="M3">
        <v>26</v>
      </c>
      <c r="N3">
        <v>35</v>
      </c>
      <c r="O3">
        <v>65</v>
      </c>
      <c r="Q3">
        <f>AVERAGE(C3,D3)</f>
        <v>18.5</v>
      </c>
      <c r="R3">
        <f>AVERAGE(H3,I3)</f>
        <v>21.5</v>
      </c>
      <c r="S3">
        <f>AVERAGE(M3,N3)</f>
        <v>30.5</v>
      </c>
      <c r="T3">
        <f>AVERAGE(Q3:S3)</f>
        <v>23.5</v>
      </c>
      <c r="U3">
        <f>MIN(Q3:S3)</f>
        <v>18.5</v>
      </c>
      <c r="V3">
        <f>(1/3)*(T3-U3)</f>
        <v>1.6666666666666665</v>
      </c>
      <c r="W3">
        <f>AVERAGE(T3:T12)</f>
        <v>20.966666666666665</v>
      </c>
      <c r="X3">
        <f>_xlfn.STDEV.S(T3:T12)</f>
        <v>1.9764040172763697</v>
      </c>
      <c r="Y3">
        <f>AVERAGE(V3:V12)</f>
        <v>1.7388888888888889</v>
      </c>
      <c r="Z3">
        <f>_xlfn.STDEV.S(V3:V12)</f>
        <v>0.47071291114520358</v>
      </c>
      <c r="AB3" t="s">
        <v>76</v>
      </c>
      <c r="AF3" t="s">
        <v>77</v>
      </c>
    </row>
    <row r="4" spans="1:34" x14ac:dyDescent="0.3">
      <c r="B4">
        <v>89</v>
      </c>
      <c r="C4">
        <v>11</v>
      </c>
      <c r="D4">
        <v>32</v>
      </c>
      <c r="E4">
        <v>68</v>
      </c>
      <c r="G4">
        <v>74</v>
      </c>
      <c r="H4">
        <v>26</v>
      </c>
      <c r="I4">
        <v>13</v>
      </c>
      <c r="J4">
        <v>87</v>
      </c>
      <c r="L4">
        <v>76</v>
      </c>
      <c r="M4">
        <v>24</v>
      </c>
      <c r="N4">
        <v>33</v>
      </c>
      <c r="O4">
        <v>67</v>
      </c>
      <c r="Q4">
        <f t="shared" ref="Q4:Q67" si="0">AVERAGE(C4,D4)</f>
        <v>21.5</v>
      </c>
      <c r="R4">
        <f t="shared" ref="R4:R67" si="1">AVERAGE(H4,I4)</f>
        <v>19.5</v>
      </c>
      <c r="S4">
        <f t="shared" ref="S4:S67" si="2">AVERAGE(M4,N4)</f>
        <v>28.5</v>
      </c>
      <c r="T4">
        <f t="shared" ref="T4:T67" si="3">AVERAGE(Q4:S4)</f>
        <v>23.166666666666668</v>
      </c>
      <c r="U4">
        <f t="shared" ref="U4:U67" si="4">MIN(Q4:S4)</f>
        <v>19.5</v>
      </c>
      <c r="V4">
        <f t="shared" ref="V4:V67" si="5">(1/3)*(T4-U4)</f>
        <v>1.2222222222222225</v>
      </c>
      <c r="AB4" t="s">
        <v>25</v>
      </c>
      <c r="AC4">
        <v>18.981481481481485</v>
      </c>
      <c r="AD4">
        <v>1.6419753086419753</v>
      </c>
      <c r="AF4" t="s">
        <v>25</v>
      </c>
      <c r="AG4">
        <v>18.981481481481485</v>
      </c>
      <c r="AH4">
        <v>1.6419753086419753</v>
      </c>
    </row>
    <row r="5" spans="1:34" x14ac:dyDescent="0.3">
      <c r="B5">
        <v>81</v>
      </c>
      <c r="C5">
        <v>19</v>
      </c>
      <c r="D5">
        <v>21</v>
      </c>
      <c r="E5">
        <v>79</v>
      </c>
      <c r="G5">
        <v>75</v>
      </c>
      <c r="H5">
        <v>25</v>
      </c>
      <c r="I5">
        <v>5</v>
      </c>
      <c r="J5">
        <v>95</v>
      </c>
      <c r="L5">
        <v>77</v>
      </c>
      <c r="M5">
        <v>23</v>
      </c>
      <c r="N5">
        <v>27</v>
      </c>
      <c r="O5">
        <v>73</v>
      </c>
      <c r="Q5">
        <f t="shared" si="0"/>
        <v>20</v>
      </c>
      <c r="R5">
        <f t="shared" si="1"/>
        <v>15</v>
      </c>
      <c r="S5">
        <f t="shared" si="2"/>
        <v>25</v>
      </c>
      <c r="T5">
        <f t="shared" si="3"/>
        <v>20</v>
      </c>
      <c r="U5">
        <f t="shared" si="4"/>
        <v>15</v>
      </c>
      <c r="V5">
        <f t="shared" si="5"/>
        <v>1.6666666666666665</v>
      </c>
      <c r="AB5" t="s">
        <v>73</v>
      </c>
      <c r="AC5">
        <v>19.333333333333336</v>
      </c>
      <c r="AD5">
        <v>1.7777777777777779</v>
      </c>
      <c r="AF5" t="s">
        <v>73</v>
      </c>
      <c r="AG5">
        <v>19.333333333333336</v>
      </c>
      <c r="AH5">
        <v>1.7777777777777779</v>
      </c>
    </row>
    <row r="6" spans="1:34" x14ac:dyDescent="0.3">
      <c r="B6">
        <v>85</v>
      </c>
      <c r="C6">
        <v>15</v>
      </c>
      <c r="D6">
        <v>24</v>
      </c>
      <c r="E6">
        <v>76</v>
      </c>
      <c r="G6">
        <v>80</v>
      </c>
      <c r="H6">
        <v>20</v>
      </c>
      <c r="I6">
        <v>9</v>
      </c>
      <c r="J6">
        <v>91</v>
      </c>
      <c r="L6">
        <v>77</v>
      </c>
      <c r="M6">
        <v>23</v>
      </c>
      <c r="N6">
        <v>30</v>
      </c>
      <c r="O6">
        <v>70</v>
      </c>
      <c r="Q6">
        <f t="shared" si="0"/>
        <v>19.5</v>
      </c>
      <c r="R6">
        <f t="shared" si="1"/>
        <v>14.5</v>
      </c>
      <c r="S6">
        <f t="shared" si="2"/>
        <v>26.5</v>
      </c>
      <c r="T6">
        <f t="shared" si="3"/>
        <v>20.166666666666668</v>
      </c>
      <c r="U6">
        <f t="shared" si="4"/>
        <v>14.5</v>
      </c>
      <c r="V6">
        <f t="shared" si="5"/>
        <v>1.8888888888888893</v>
      </c>
      <c r="AF6" t="s">
        <v>75</v>
      </c>
      <c r="AG6">
        <v>19.740740740740744</v>
      </c>
      <c r="AH6">
        <v>1.8024691358024691</v>
      </c>
    </row>
    <row r="7" spans="1:34" x14ac:dyDescent="0.3">
      <c r="B7">
        <v>92</v>
      </c>
      <c r="C7">
        <v>8</v>
      </c>
      <c r="D7">
        <v>21</v>
      </c>
      <c r="E7">
        <v>79</v>
      </c>
      <c r="G7">
        <v>73</v>
      </c>
      <c r="H7">
        <v>27</v>
      </c>
      <c r="I7">
        <v>11</v>
      </c>
      <c r="J7">
        <v>89</v>
      </c>
      <c r="L7">
        <v>66</v>
      </c>
      <c r="M7">
        <v>34</v>
      </c>
      <c r="N7">
        <v>31</v>
      </c>
      <c r="O7">
        <v>69</v>
      </c>
      <c r="Q7">
        <f t="shared" si="0"/>
        <v>14.5</v>
      </c>
      <c r="R7">
        <f t="shared" si="1"/>
        <v>19</v>
      </c>
      <c r="S7">
        <f t="shared" si="2"/>
        <v>32.5</v>
      </c>
      <c r="T7">
        <f t="shared" si="3"/>
        <v>22</v>
      </c>
      <c r="U7">
        <f t="shared" si="4"/>
        <v>14.5</v>
      </c>
      <c r="V7">
        <f t="shared" si="5"/>
        <v>2.5</v>
      </c>
    </row>
    <row r="8" spans="1:34" x14ac:dyDescent="0.3">
      <c r="B8">
        <v>86</v>
      </c>
      <c r="C8">
        <v>14</v>
      </c>
      <c r="D8">
        <v>15</v>
      </c>
      <c r="E8">
        <v>85</v>
      </c>
      <c r="G8">
        <v>80</v>
      </c>
      <c r="H8">
        <v>20</v>
      </c>
      <c r="I8">
        <v>15</v>
      </c>
      <c r="J8">
        <v>85</v>
      </c>
      <c r="L8">
        <v>62</v>
      </c>
      <c r="M8">
        <v>38</v>
      </c>
      <c r="N8">
        <v>26</v>
      </c>
      <c r="O8">
        <v>74</v>
      </c>
      <c r="Q8">
        <f t="shared" si="0"/>
        <v>14.5</v>
      </c>
      <c r="R8">
        <f t="shared" si="1"/>
        <v>17.5</v>
      </c>
      <c r="S8">
        <f t="shared" si="2"/>
        <v>32</v>
      </c>
      <c r="T8">
        <f t="shared" si="3"/>
        <v>21.333333333333332</v>
      </c>
      <c r="U8">
        <f t="shared" si="4"/>
        <v>14.5</v>
      </c>
      <c r="V8">
        <f t="shared" si="5"/>
        <v>2.2777777777777772</v>
      </c>
    </row>
    <row r="9" spans="1:34" x14ac:dyDescent="0.3">
      <c r="B9">
        <v>94</v>
      </c>
      <c r="C9">
        <v>6</v>
      </c>
      <c r="D9">
        <v>15</v>
      </c>
      <c r="E9">
        <v>85</v>
      </c>
      <c r="G9">
        <v>74</v>
      </c>
      <c r="H9">
        <v>26</v>
      </c>
      <c r="I9">
        <v>9</v>
      </c>
      <c r="J9">
        <v>91</v>
      </c>
      <c r="L9">
        <v>79</v>
      </c>
      <c r="M9">
        <v>21</v>
      </c>
      <c r="N9">
        <v>22</v>
      </c>
      <c r="O9">
        <v>78</v>
      </c>
      <c r="Q9">
        <f t="shared" si="0"/>
        <v>10.5</v>
      </c>
      <c r="R9">
        <f t="shared" si="1"/>
        <v>17.5</v>
      </c>
      <c r="S9">
        <f t="shared" si="2"/>
        <v>21.5</v>
      </c>
      <c r="T9">
        <f t="shared" si="3"/>
        <v>16.5</v>
      </c>
      <c r="U9">
        <f t="shared" si="4"/>
        <v>10.5</v>
      </c>
      <c r="V9">
        <f t="shared" si="5"/>
        <v>2</v>
      </c>
    </row>
    <row r="10" spans="1:34" x14ac:dyDescent="0.3">
      <c r="B10">
        <v>88</v>
      </c>
      <c r="C10">
        <v>12</v>
      </c>
      <c r="D10">
        <v>20</v>
      </c>
      <c r="E10">
        <v>80</v>
      </c>
      <c r="G10">
        <v>75</v>
      </c>
      <c r="H10">
        <v>25</v>
      </c>
      <c r="I10">
        <v>14</v>
      </c>
      <c r="J10">
        <v>86</v>
      </c>
      <c r="L10">
        <v>65</v>
      </c>
      <c r="M10">
        <v>35</v>
      </c>
      <c r="N10">
        <v>24</v>
      </c>
      <c r="O10">
        <v>76</v>
      </c>
      <c r="Q10">
        <f t="shared" si="0"/>
        <v>16</v>
      </c>
      <c r="R10">
        <f t="shared" si="1"/>
        <v>19.5</v>
      </c>
      <c r="S10">
        <f t="shared" si="2"/>
        <v>29.5</v>
      </c>
      <c r="T10">
        <f t="shared" si="3"/>
        <v>21.666666666666668</v>
      </c>
      <c r="U10">
        <f t="shared" si="4"/>
        <v>16</v>
      </c>
      <c r="V10">
        <f t="shared" si="5"/>
        <v>1.8888888888888893</v>
      </c>
    </row>
    <row r="11" spans="1:34" x14ac:dyDescent="0.3">
      <c r="B11">
        <v>87</v>
      </c>
      <c r="C11">
        <v>13</v>
      </c>
      <c r="D11">
        <v>22</v>
      </c>
      <c r="E11">
        <v>78</v>
      </c>
      <c r="G11">
        <v>74</v>
      </c>
      <c r="H11">
        <v>26</v>
      </c>
      <c r="I11">
        <v>10</v>
      </c>
      <c r="J11">
        <v>90</v>
      </c>
      <c r="L11">
        <v>67</v>
      </c>
      <c r="M11">
        <v>33</v>
      </c>
      <c r="N11">
        <v>23</v>
      </c>
      <c r="O11">
        <v>77</v>
      </c>
      <c r="Q11">
        <f t="shared" si="0"/>
        <v>17.5</v>
      </c>
      <c r="R11">
        <f t="shared" si="1"/>
        <v>18</v>
      </c>
      <c r="S11">
        <f t="shared" si="2"/>
        <v>28</v>
      </c>
      <c r="T11">
        <f t="shared" si="3"/>
        <v>21.166666666666668</v>
      </c>
      <c r="U11">
        <f t="shared" si="4"/>
        <v>17.5</v>
      </c>
      <c r="V11">
        <f t="shared" si="5"/>
        <v>1.2222222222222225</v>
      </c>
    </row>
    <row r="12" spans="1:34" x14ac:dyDescent="0.3">
      <c r="B12">
        <v>91</v>
      </c>
      <c r="C12">
        <v>9</v>
      </c>
      <c r="D12">
        <v>25</v>
      </c>
      <c r="E12">
        <v>75</v>
      </c>
      <c r="G12">
        <v>76</v>
      </c>
      <c r="H12">
        <v>24</v>
      </c>
      <c r="I12">
        <v>10</v>
      </c>
      <c r="J12">
        <v>90</v>
      </c>
      <c r="L12">
        <v>80</v>
      </c>
      <c r="M12">
        <v>20</v>
      </c>
      <c r="N12">
        <v>33</v>
      </c>
      <c r="O12">
        <v>67</v>
      </c>
      <c r="Q12">
        <f t="shared" si="0"/>
        <v>17</v>
      </c>
      <c r="R12">
        <f t="shared" si="1"/>
        <v>17</v>
      </c>
      <c r="S12">
        <f t="shared" si="2"/>
        <v>26.5</v>
      </c>
      <c r="T12">
        <f t="shared" si="3"/>
        <v>20.166666666666668</v>
      </c>
      <c r="U12">
        <f t="shared" si="4"/>
        <v>17</v>
      </c>
      <c r="V12">
        <f t="shared" si="5"/>
        <v>1.0555555555555558</v>
      </c>
    </row>
    <row r="14" spans="1:34" x14ac:dyDescent="0.3">
      <c r="A14" t="s">
        <v>25</v>
      </c>
      <c r="F14" t="s">
        <v>28</v>
      </c>
      <c r="K14" t="s">
        <v>29</v>
      </c>
      <c r="AB14" t="s">
        <v>7</v>
      </c>
      <c r="AC14" t="s">
        <v>8</v>
      </c>
      <c r="AD14" t="s">
        <v>9</v>
      </c>
      <c r="AE14" t="s">
        <v>10</v>
      </c>
      <c r="AF14" t="s">
        <v>11</v>
      </c>
      <c r="AG14" t="s">
        <v>12</v>
      </c>
    </row>
    <row r="15" spans="1:34" x14ac:dyDescent="0.3">
      <c r="B15">
        <v>86</v>
      </c>
      <c r="C15">
        <v>14</v>
      </c>
      <c r="D15">
        <v>13</v>
      </c>
      <c r="E15">
        <v>87</v>
      </c>
      <c r="G15">
        <v>69</v>
      </c>
      <c r="H15">
        <v>31</v>
      </c>
      <c r="I15">
        <v>4</v>
      </c>
      <c r="J15">
        <v>96</v>
      </c>
      <c r="L15">
        <v>63</v>
      </c>
      <c r="M15">
        <v>37</v>
      </c>
      <c r="N15">
        <v>14</v>
      </c>
      <c r="O15">
        <v>86</v>
      </c>
      <c r="Q15">
        <f t="shared" si="0"/>
        <v>13.5</v>
      </c>
      <c r="R15">
        <f t="shared" si="1"/>
        <v>17.5</v>
      </c>
      <c r="S15">
        <f t="shared" si="2"/>
        <v>25.5</v>
      </c>
      <c r="T15">
        <f t="shared" si="3"/>
        <v>18.833333333333332</v>
      </c>
      <c r="U15">
        <f t="shared" si="4"/>
        <v>13.5</v>
      </c>
      <c r="V15">
        <f t="shared" si="5"/>
        <v>1.7777777777777772</v>
      </c>
      <c r="W15">
        <f>AVERAGE(T15:T23)</f>
        <v>18.981481481481485</v>
      </c>
      <c r="X15">
        <f>_xlfn.STDEV.S(T15:T23)</f>
        <v>1.4706490546610054</v>
      </c>
      <c r="Y15">
        <f>AVERAGE(V15:V23)</f>
        <v>1.6419753086419753</v>
      </c>
      <c r="Z15">
        <f>_xlfn.STDEV.S(V15:V23)</f>
        <v>0.9103787330478087</v>
      </c>
      <c r="AB15">
        <f>AVERAGE(Q15:Q23)</f>
        <v>16.333333333333332</v>
      </c>
      <c r="AC15">
        <f>_xlfn.STDEV.S(Q15:Q23)</f>
        <v>3.5266839949164712</v>
      </c>
      <c r="AD15">
        <f>AVERAGE(R15:R23)</f>
        <v>15</v>
      </c>
      <c r="AE15">
        <f>_xlfn.STDEV.S(R15:R23)</f>
        <v>3.2596012026013246</v>
      </c>
      <c r="AF15">
        <f>AVERAGE(S15:S23)</f>
        <v>25.611111111111111</v>
      </c>
      <c r="AG15">
        <f>_xlfn.STDEV.S(S15:S23)</f>
        <v>3.3426951866885926</v>
      </c>
    </row>
    <row r="16" spans="1:34" x14ac:dyDescent="0.3">
      <c r="B16">
        <v>87</v>
      </c>
      <c r="C16">
        <v>13</v>
      </c>
      <c r="D16">
        <v>27</v>
      </c>
      <c r="E16">
        <v>73</v>
      </c>
      <c r="G16">
        <v>72</v>
      </c>
      <c r="H16">
        <v>28</v>
      </c>
      <c r="I16">
        <v>12</v>
      </c>
      <c r="J16">
        <v>88</v>
      </c>
      <c r="L16">
        <v>75</v>
      </c>
      <c r="M16">
        <v>25</v>
      </c>
      <c r="N16">
        <v>14</v>
      </c>
      <c r="O16">
        <v>86</v>
      </c>
      <c r="Q16">
        <f t="shared" si="0"/>
        <v>20</v>
      </c>
      <c r="R16">
        <f t="shared" si="1"/>
        <v>20</v>
      </c>
      <c r="S16">
        <f t="shared" si="2"/>
        <v>19.5</v>
      </c>
      <c r="T16">
        <f t="shared" si="3"/>
        <v>19.833333333333332</v>
      </c>
      <c r="U16">
        <f t="shared" si="4"/>
        <v>19.5</v>
      </c>
      <c r="V16">
        <f t="shared" si="5"/>
        <v>0.11111111111111072</v>
      </c>
    </row>
    <row r="17" spans="1:26" x14ac:dyDescent="0.3">
      <c r="B17">
        <v>84</v>
      </c>
      <c r="C17">
        <v>16</v>
      </c>
      <c r="D17">
        <v>27</v>
      </c>
      <c r="E17">
        <v>73</v>
      </c>
      <c r="G17">
        <v>82</v>
      </c>
      <c r="H17">
        <v>18</v>
      </c>
      <c r="I17">
        <v>3</v>
      </c>
      <c r="J17">
        <v>97</v>
      </c>
      <c r="L17">
        <v>60</v>
      </c>
      <c r="M17">
        <v>40</v>
      </c>
      <c r="N17">
        <v>24</v>
      </c>
      <c r="O17">
        <v>76</v>
      </c>
      <c r="Q17">
        <f t="shared" si="0"/>
        <v>21.5</v>
      </c>
      <c r="R17">
        <f t="shared" si="1"/>
        <v>10.5</v>
      </c>
      <c r="S17">
        <f t="shared" si="2"/>
        <v>32</v>
      </c>
      <c r="T17">
        <f t="shared" si="3"/>
        <v>21.333333333333332</v>
      </c>
      <c r="U17">
        <f t="shared" si="4"/>
        <v>10.5</v>
      </c>
      <c r="V17">
        <f t="shared" si="5"/>
        <v>3.6111111111111107</v>
      </c>
    </row>
    <row r="18" spans="1:26" x14ac:dyDescent="0.3">
      <c r="B18">
        <v>81</v>
      </c>
      <c r="C18">
        <v>19</v>
      </c>
      <c r="D18">
        <v>23</v>
      </c>
      <c r="E18">
        <v>77</v>
      </c>
      <c r="G18">
        <v>76</v>
      </c>
      <c r="H18">
        <v>24</v>
      </c>
      <c r="I18">
        <v>9</v>
      </c>
      <c r="J18">
        <v>91</v>
      </c>
      <c r="L18">
        <v>76</v>
      </c>
      <c r="M18">
        <v>24</v>
      </c>
      <c r="N18">
        <v>22</v>
      </c>
      <c r="O18">
        <v>78</v>
      </c>
      <c r="Q18">
        <f t="shared" si="0"/>
        <v>21</v>
      </c>
      <c r="R18">
        <f t="shared" si="1"/>
        <v>16.5</v>
      </c>
      <c r="S18">
        <f t="shared" si="2"/>
        <v>23</v>
      </c>
      <c r="T18">
        <f t="shared" si="3"/>
        <v>20.166666666666668</v>
      </c>
      <c r="U18">
        <f t="shared" si="4"/>
        <v>16.5</v>
      </c>
      <c r="V18">
        <f t="shared" si="5"/>
        <v>1.2222222222222225</v>
      </c>
    </row>
    <row r="19" spans="1:26" x14ac:dyDescent="0.3">
      <c r="B19">
        <v>91</v>
      </c>
      <c r="C19">
        <v>9</v>
      </c>
      <c r="D19">
        <v>19</v>
      </c>
      <c r="E19">
        <v>81</v>
      </c>
      <c r="G19">
        <v>81</v>
      </c>
      <c r="H19">
        <v>19</v>
      </c>
      <c r="I19">
        <v>4</v>
      </c>
      <c r="J19">
        <v>96</v>
      </c>
      <c r="L19">
        <v>73</v>
      </c>
      <c r="M19">
        <v>27</v>
      </c>
      <c r="N19">
        <v>23</v>
      </c>
      <c r="O19">
        <v>77</v>
      </c>
      <c r="Q19">
        <f t="shared" si="0"/>
        <v>14</v>
      </c>
      <c r="R19">
        <f t="shared" si="1"/>
        <v>11.5</v>
      </c>
      <c r="S19">
        <f t="shared" si="2"/>
        <v>25</v>
      </c>
      <c r="T19">
        <f t="shared" si="3"/>
        <v>16.833333333333332</v>
      </c>
      <c r="U19">
        <f t="shared" si="4"/>
        <v>11.5</v>
      </c>
      <c r="V19">
        <f t="shared" si="5"/>
        <v>1.7777777777777772</v>
      </c>
    </row>
    <row r="20" spans="1:26" x14ac:dyDescent="0.3">
      <c r="B20">
        <v>91</v>
      </c>
      <c r="C20">
        <v>9</v>
      </c>
      <c r="D20">
        <v>17</v>
      </c>
      <c r="E20">
        <v>83</v>
      </c>
      <c r="G20">
        <v>84</v>
      </c>
      <c r="H20">
        <v>16</v>
      </c>
      <c r="I20">
        <v>7</v>
      </c>
      <c r="J20">
        <v>93</v>
      </c>
      <c r="L20">
        <v>80</v>
      </c>
      <c r="M20">
        <v>20</v>
      </c>
      <c r="N20">
        <v>34</v>
      </c>
      <c r="O20">
        <v>66</v>
      </c>
      <c r="Q20">
        <f t="shared" si="0"/>
        <v>13</v>
      </c>
      <c r="R20">
        <f t="shared" si="1"/>
        <v>11.5</v>
      </c>
      <c r="S20">
        <f t="shared" si="2"/>
        <v>27</v>
      </c>
      <c r="T20">
        <f t="shared" si="3"/>
        <v>17.166666666666668</v>
      </c>
      <c r="U20">
        <f t="shared" si="4"/>
        <v>11.5</v>
      </c>
      <c r="V20">
        <f t="shared" si="5"/>
        <v>1.8888888888888893</v>
      </c>
    </row>
    <row r="21" spans="1:26" x14ac:dyDescent="0.3">
      <c r="B21">
        <v>88</v>
      </c>
      <c r="C21">
        <v>12</v>
      </c>
      <c r="D21">
        <v>20</v>
      </c>
      <c r="E21">
        <v>80</v>
      </c>
      <c r="G21">
        <v>81</v>
      </c>
      <c r="H21">
        <v>19</v>
      </c>
      <c r="I21">
        <v>12</v>
      </c>
      <c r="J21">
        <v>88</v>
      </c>
      <c r="L21">
        <v>75</v>
      </c>
      <c r="M21">
        <v>25</v>
      </c>
      <c r="N21">
        <v>29</v>
      </c>
      <c r="O21">
        <v>71</v>
      </c>
      <c r="Q21">
        <f t="shared" si="0"/>
        <v>16</v>
      </c>
      <c r="R21">
        <f t="shared" si="1"/>
        <v>15.5</v>
      </c>
      <c r="S21">
        <f t="shared" si="2"/>
        <v>27</v>
      </c>
      <c r="T21">
        <f t="shared" si="3"/>
        <v>19.5</v>
      </c>
      <c r="U21">
        <f t="shared" si="4"/>
        <v>15.5</v>
      </c>
      <c r="V21">
        <f t="shared" si="5"/>
        <v>1.3333333333333333</v>
      </c>
    </row>
    <row r="22" spans="1:26" x14ac:dyDescent="0.3">
      <c r="B22">
        <v>91</v>
      </c>
      <c r="C22">
        <v>9</v>
      </c>
      <c r="D22">
        <v>17</v>
      </c>
      <c r="E22">
        <v>83</v>
      </c>
      <c r="G22">
        <v>77</v>
      </c>
      <c r="H22">
        <v>23</v>
      </c>
      <c r="I22">
        <v>6</v>
      </c>
      <c r="J22">
        <v>94</v>
      </c>
      <c r="L22">
        <v>68</v>
      </c>
      <c r="M22">
        <v>32</v>
      </c>
      <c r="N22">
        <v>20</v>
      </c>
      <c r="O22">
        <v>80</v>
      </c>
      <c r="Q22">
        <f t="shared" si="0"/>
        <v>13</v>
      </c>
      <c r="R22">
        <f t="shared" si="1"/>
        <v>14.5</v>
      </c>
      <c r="S22">
        <f t="shared" si="2"/>
        <v>26</v>
      </c>
      <c r="T22">
        <f t="shared" si="3"/>
        <v>17.833333333333332</v>
      </c>
      <c r="U22">
        <f t="shared" si="4"/>
        <v>13</v>
      </c>
      <c r="V22">
        <f t="shared" si="5"/>
        <v>1.6111111111111107</v>
      </c>
    </row>
    <row r="23" spans="1:26" x14ac:dyDescent="0.3">
      <c r="B23">
        <v>84</v>
      </c>
      <c r="C23">
        <v>16</v>
      </c>
      <c r="D23">
        <v>14</v>
      </c>
      <c r="E23">
        <v>86</v>
      </c>
      <c r="G23">
        <v>75</v>
      </c>
      <c r="H23">
        <v>25</v>
      </c>
      <c r="I23">
        <v>10</v>
      </c>
      <c r="J23">
        <v>90</v>
      </c>
      <c r="L23">
        <v>70</v>
      </c>
      <c r="M23">
        <v>30</v>
      </c>
      <c r="N23">
        <v>21</v>
      </c>
      <c r="O23">
        <v>79</v>
      </c>
      <c r="Q23">
        <f t="shared" si="0"/>
        <v>15</v>
      </c>
      <c r="R23">
        <f t="shared" si="1"/>
        <v>17.5</v>
      </c>
      <c r="S23">
        <f t="shared" si="2"/>
        <v>25.5</v>
      </c>
      <c r="T23">
        <f t="shared" si="3"/>
        <v>19.333333333333332</v>
      </c>
      <c r="U23">
        <f t="shared" si="4"/>
        <v>15</v>
      </c>
      <c r="V23">
        <f t="shared" si="5"/>
        <v>1.444444444444444</v>
      </c>
    </row>
    <row r="25" spans="1:26" x14ac:dyDescent="0.3">
      <c r="A25" t="s">
        <v>30</v>
      </c>
      <c r="F25" t="s">
        <v>28</v>
      </c>
      <c r="K25" t="s">
        <v>29</v>
      </c>
    </row>
    <row r="26" spans="1:26" x14ac:dyDescent="0.3">
      <c r="B26">
        <v>96</v>
      </c>
      <c r="C26">
        <v>4</v>
      </c>
      <c r="D26">
        <v>19</v>
      </c>
      <c r="E26">
        <v>81</v>
      </c>
      <c r="G26">
        <v>76</v>
      </c>
      <c r="H26">
        <v>24</v>
      </c>
      <c r="I26">
        <v>16</v>
      </c>
      <c r="J26">
        <v>84</v>
      </c>
      <c r="L26">
        <v>69</v>
      </c>
      <c r="M26">
        <v>31</v>
      </c>
      <c r="N26">
        <v>25</v>
      </c>
      <c r="O26">
        <v>75</v>
      </c>
      <c r="Q26">
        <f t="shared" si="0"/>
        <v>11.5</v>
      </c>
      <c r="R26">
        <f t="shared" si="1"/>
        <v>20</v>
      </c>
      <c r="S26">
        <f t="shared" si="2"/>
        <v>28</v>
      </c>
      <c r="T26">
        <f t="shared" si="3"/>
        <v>19.833333333333332</v>
      </c>
      <c r="U26">
        <f t="shared" si="4"/>
        <v>11.5</v>
      </c>
      <c r="V26">
        <f t="shared" si="5"/>
        <v>2.7777777777777772</v>
      </c>
      <c r="W26">
        <f>AVERAGE(T26:T28)</f>
        <v>20.111111111111111</v>
      </c>
      <c r="X26">
        <f>_xlfn.STDEV.S(T26:T28)</f>
        <v>0.94770678384622253</v>
      </c>
      <c r="Y26">
        <f>AVERAGE(V26:V28)</f>
        <v>2.4259259259259256</v>
      </c>
      <c r="Z26">
        <f>_xlfn.STDEV.S(V26:V28)</f>
        <v>0.56199966316642636</v>
      </c>
    </row>
    <row r="27" spans="1:26" x14ac:dyDescent="0.3">
      <c r="B27">
        <v>84</v>
      </c>
      <c r="C27">
        <v>16</v>
      </c>
      <c r="D27">
        <v>12</v>
      </c>
      <c r="E27">
        <v>88</v>
      </c>
      <c r="G27">
        <v>74</v>
      </c>
      <c r="H27">
        <v>26</v>
      </c>
      <c r="I27">
        <v>4</v>
      </c>
      <c r="J27">
        <v>96</v>
      </c>
      <c r="L27">
        <v>64</v>
      </c>
      <c r="M27">
        <v>36</v>
      </c>
      <c r="N27">
        <v>22</v>
      </c>
      <c r="O27">
        <v>78</v>
      </c>
      <c r="Q27">
        <f t="shared" si="0"/>
        <v>14</v>
      </c>
      <c r="R27">
        <f t="shared" si="1"/>
        <v>15</v>
      </c>
      <c r="S27">
        <f t="shared" si="2"/>
        <v>29</v>
      </c>
      <c r="T27">
        <f t="shared" si="3"/>
        <v>19.333333333333332</v>
      </c>
      <c r="U27">
        <f t="shared" si="4"/>
        <v>14</v>
      </c>
      <c r="V27">
        <f t="shared" si="5"/>
        <v>1.7777777777777772</v>
      </c>
    </row>
    <row r="28" spans="1:26" x14ac:dyDescent="0.3">
      <c r="B28">
        <v>87</v>
      </c>
      <c r="C28">
        <v>13</v>
      </c>
      <c r="D28">
        <v>13</v>
      </c>
      <c r="E28">
        <v>87</v>
      </c>
      <c r="G28">
        <v>72</v>
      </c>
      <c r="H28">
        <v>28</v>
      </c>
      <c r="I28">
        <v>7</v>
      </c>
      <c r="J28">
        <v>93</v>
      </c>
      <c r="L28">
        <v>59</v>
      </c>
      <c r="M28">
        <v>41</v>
      </c>
      <c r="N28">
        <v>25</v>
      </c>
      <c r="O28">
        <v>75</v>
      </c>
      <c r="Q28">
        <f t="shared" si="0"/>
        <v>13</v>
      </c>
      <c r="R28">
        <f t="shared" si="1"/>
        <v>17.5</v>
      </c>
      <c r="S28">
        <f t="shared" si="2"/>
        <v>33</v>
      </c>
      <c r="T28">
        <f t="shared" si="3"/>
        <v>21.166666666666668</v>
      </c>
      <c r="U28">
        <f t="shared" si="4"/>
        <v>13</v>
      </c>
      <c r="V28">
        <f t="shared" si="5"/>
        <v>2.7222222222222223</v>
      </c>
    </row>
    <row r="30" spans="1:26" x14ac:dyDescent="0.3">
      <c r="A30" t="s">
        <v>72</v>
      </c>
      <c r="F30" t="s">
        <v>28</v>
      </c>
      <c r="K30" t="s">
        <v>29</v>
      </c>
    </row>
    <row r="31" spans="1:26" x14ac:dyDescent="0.3">
      <c r="B31">
        <v>80</v>
      </c>
      <c r="C31">
        <v>20</v>
      </c>
      <c r="D31">
        <v>19</v>
      </c>
      <c r="E31">
        <v>81</v>
      </c>
      <c r="G31">
        <v>73</v>
      </c>
      <c r="H31">
        <v>27</v>
      </c>
      <c r="I31">
        <v>8</v>
      </c>
      <c r="J31">
        <v>92</v>
      </c>
      <c r="L31">
        <v>68</v>
      </c>
      <c r="M31">
        <v>32</v>
      </c>
      <c r="N31">
        <v>23</v>
      </c>
      <c r="O31">
        <v>77</v>
      </c>
      <c r="Q31">
        <f t="shared" si="0"/>
        <v>19.5</v>
      </c>
      <c r="R31">
        <f t="shared" si="1"/>
        <v>17.5</v>
      </c>
      <c r="S31">
        <f t="shared" si="2"/>
        <v>27.5</v>
      </c>
      <c r="T31">
        <f t="shared" si="3"/>
        <v>21.5</v>
      </c>
      <c r="U31">
        <f t="shared" si="4"/>
        <v>17.5</v>
      </c>
      <c r="V31">
        <f t="shared" si="5"/>
        <v>1.3333333333333333</v>
      </c>
      <c r="W31">
        <f>AVERAGE(T31:T39)</f>
        <v>19.962962962962965</v>
      </c>
      <c r="X31">
        <f>_xlfn.STDEV.S(T31:T39)</f>
        <v>2.2060173040298174</v>
      </c>
      <c r="Y31">
        <f>AVERAGE(V31:V39)</f>
        <v>1.7098765432098761</v>
      </c>
      <c r="Z31">
        <f>_xlfn.STDEV.S(V31:V39)</f>
        <v>0.42833457430445854</v>
      </c>
    </row>
    <row r="32" spans="1:26" x14ac:dyDescent="0.3">
      <c r="B32">
        <v>80</v>
      </c>
      <c r="C32">
        <v>20</v>
      </c>
      <c r="D32">
        <v>17</v>
      </c>
      <c r="E32">
        <v>83</v>
      </c>
      <c r="G32">
        <v>70</v>
      </c>
      <c r="H32">
        <v>30</v>
      </c>
      <c r="I32">
        <v>10</v>
      </c>
      <c r="J32">
        <v>90</v>
      </c>
      <c r="L32">
        <v>63</v>
      </c>
      <c r="M32">
        <v>37</v>
      </c>
      <c r="N32">
        <v>28</v>
      </c>
      <c r="O32">
        <v>72</v>
      </c>
      <c r="Q32">
        <f t="shared" si="0"/>
        <v>18.5</v>
      </c>
      <c r="R32">
        <f t="shared" si="1"/>
        <v>20</v>
      </c>
      <c r="S32">
        <f t="shared" si="2"/>
        <v>32.5</v>
      </c>
      <c r="T32">
        <f t="shared" si="3"/>
        <v>23.666666666666668</v>
      </c>
      <c r="U32">
        <f t="shared" si="4"/>
        <v>18.5</v>
      </c>
      <c r="V32">
        <f t="shared" si="5"/>
        <v>1.7222222222222225</v>
      </c>
    </row>
    <row r="33" spans="1:26" x14ac:dyDescent="0.3">
      <c r="B33">
        <v>88</v>
      </c>
      <c r="C33">
        <v>12</v>
      </c>
      <c r="D33">
        <v>19</v>
      </c>
      <c r="E33">
        <v>81</v>
      </c>
      <c r="G33">
        <v>71</v>
      </c>
      <c r="H33">
        <v>29</v>
      </c>
      <c r="I33">
        <v>5</v>
      </c>
      <c r="J33">
        <v>95</v>
      </c>
      <c r="L33">
        <v>70</v>
      </c>
      <c r="M33">
        <v>30</v>
      </c>
      <c r="N33">
        <v>16</v>
      </c>
      <c r="O33">
        <v>84</v>
      </c>
      <c r="Q33">
        <f t="shared" si="0"/>
        <v>15.5</v>
      </c>
      <c r="R33">
        <f t="shared" si="1"/>
        <v>17</v>
      </c>
      <c r="S33">
        <f t="shared" si="2"/>
        <v>23</v>
      </c>
      <c r="T33">
        <f t="shared" si="3"/>
        <v>18.5</v>
      </c>
      <c r="U33">
        <f t="shared" si="4"/>
        <v>15.5</v>
      </c>
      <c r="V33">
        <f t="shared" si="5"/>
        <v>1</v>
      </c>
    </row>
    <row r="34" spans="1:26" x14ac:dyDescent="0.3">
      <c r="B34">
        <v>88</v>
      </c>
      <c r="C34">
        <v>12</v>
      </c>
      <c r="D34">
        <v>24</v>
      </c>
      <c r="E34">
        <v>76</v>
      </c>
      <c r="G34">
        <v>74</v>
      </c>
      <c r="H34">
        <v>26</v>
      </c>
      <c r="I34">
        <v>7</v>
      </c>
      <c r="J34">
        <v>93</v>
      </c>
      <c r="L34">
        <v>67</v>
      </c>
      <c r="M34">
        <v>33</v>
      </c>
      <c r="N34">
        <v>26</v>
      </c>
      <c r="O34">
        <v>74</v>
      </c>
      <c r="Q34">
        <f t="shared" si="0"/>
        <v>18</v>
      </c>
      <c r="R34">
        <f t="shared" si="1"/>
        <v>16.5</v>
      </c>
      <c r="S34">
        <f t="shared" si="2"/>
        <v>29.5</v>
      </c>
      <c r="T34">
        <f t="shared" si="3"/>
        <v>21.333333333333332</v>
      </c>
      <c r="U34">
        <f t="shared" si="4"/>
        <v>16.5</v>
      </c>
      <c r="V34">
        <f t="shared" si="5"/>
        <v>1.6111111111111107</v>
      </c>
    </row>
    <row r="35" spans="1:26" x14ac:dyDescent="0.3">
      <c r="B35">
        <v>94</v>
      </c>
      <c r="C35">
        <v>6</v>
      </c>
      <c r="D35">
        <v>13</v>
      </c>
      <c r="E35">
        <v>87</v>
      </c>
      <c r="G35">
        <v>77</v>
      </c>
      <c r="H35">
        <v>23</v>
      </c>
      <c r="I35">
        <v>5</v>
      </c>
      <c r="J35">
        <v>95</v>
      </c>
      <c r="L35">
        <v>72</v>
      </c>
      <c r="M35">
        <v>28</v>
      </c>
      <c r="N35">
        <v>24</v>
      </c>
      <c r="O35">
        <v>76</v>
      </c>
      <c r="Q35">
        <f t="shared" si="0"/>
        <v>9.5</v>
      </c>
      <c r="R35">
        <f t="shared" si="1"/>
        <v>14</v>
      </c>
      <c r="S35">
        <f t="shared" si="2"/>
        <v>26</v>
      </c>
      <c r="T35">
        <f t="shared" si="3"/>
        <v>16.5</v>
      </c>
      <c r="U35">
        <f t="shared" si="4"/>
        <v>9.5</v>
      </c>
      <c r="V35">
        <f t="shared" si="5"/>
        <v>2.333333333333333</v>
      </c>
    </row>
    <row r="36" spans="1:26" x14ac:dyDescent="0.3">
      <c r="B36">
        <v>87</v>
      </c>
      <c r="C36">
        <v>13</v>
      </c>
      <c r="D36">
        <v>15</v>
      </c>
      <c r="E36">
        <v>85</v>
      </c>
      <c r="G36">
        <v>76</v>
      </c>
      <c r="H36">
        <v>24</v>
      </c>
      <c r="I36">
        <v>10</v>
      </c>
      <c r="J36">
        <v>90</v>
      </c>
      <c r="L36">
        <v>70</v>
      </c>
      <c r="M36">
        <v>30</v>
      </c>
      <c r="N36">
        <v>25</v>
      </c>
      <c r="O36">
        <v>75</v>
      </c>
      <c r="Q36">
        <f t="shared" si="0"/>
        <v>14</v>
      </c>
      <c r="R36">
        <f t="shared" si="1"/>
        <v>17</v>
      </c>
      <c r="S36">
        <f t="shared" si="2"/>
        <v>27.5</v>
      </c>
      <c r="T36">
        <f t="shared" si="3"/>
        <v>19.5</v>
      </c>
      <c r="U36">
        <f t="shared" si="4"/>
        <v>14</v>
      </c>
      <c r="V36">
        <f t="shared" si="5"/>
        <v>1.8333333333333333</v>
      </c>
    </row>
    <row r="37" spans="1:26" x14ac:dyDescent="0.3">
      <c r="B37">
        <v>92</v>
      </c>
      <c r="C37">
        <v>8</v>
      </c>
      <c r="D37">
        <v>17</v>
      </c>
      <c r="E37">
        <v>83</v>
      </c>
      <c r="G37">
        <v>71</v>
      </c>
      <c r="H37">
        <v>29</v>
      </c>
      <c r="I37">
        <v>5</v>
      </c>
      <c r="J37">
        <v>95</v>
      </c>
      <c r="L37">
        <v>60</v>
      </c>
      <c r="M37">
        <v>40</v>
      </c>
      <c r="N37">
        <v>18</v>
      </c>
      <c r="O37">
        <v>82</v>
      </c>
      <c r="Q37">
        <f t="shared" si="0"/>
        <v>12.5</v>
      </c>
      <c r="R37">
        <f t="shared" si="1"/>
        <v>17</v>
      </c>
      <c r="S37">
        <f t="shared" si="2"/>
        <v>29</v>
      </c>
      <c r="T37">
        <f t="shared" si="3"/>
        <v>19.5</v>
      </c>
      <c r="U37">
        <f t="shared" si="4"/>
        <v>12.5</v>
      </c>
      <c r="V37">
        <f t="shared" si="5"/>
        <v>2.333333333333333</v>
      </c>
    </row>
    <row r="38" spans="1:26" x14ac:dyDescent="0.3">
      <c r="B38">
        <v>91</v>
      </c>
      <c r="C38">
        <v>9</v>
      </c>
      <c r="D38">
        <v>17</v>
      </c>
      <c r="E38">
        <v>83</v>
      </c>
      <c r="G38">
        <v>79</v>
      </c>
      <c r="H38">
        <v>21</v>
      </c>
      <c r="I38">
        <v>11</v>
      </c>
      <c r="J38">
        <v>89</v>
      </c>
      <c r="L38">
        <v>80</v>
      </c>
      <c r="M38">
        <v>20</v>
      </c>
      <c r="N38">
        <v>29</v>
      </c>
      <c r="O38">
        <v>71</v>
      </c>
      <c r="Q38">
        <f t="shared" si="0"/>
        <v>13</v>
      </c>
      <c r="R38">
        <f t="shared" si="1"/>
        <v>16</v>
      </c>
      <c r="S38">
        <f t="shared" si="2"/>
        <v>24.5</v>
      </c>
      <c r="T38">
        <f t="shared" si="3"/>
        <v>17.833333333333332</v>
      </c>
      <c r="U38">
        <f t="shared" si="4"/>
        <v>13</v>
      </c>
      <c r="V38">
        <f t="shared" si="5"/>
        <v>1.6111111111111107</v>
      </c>
    </row>
    <row r="39" spans="1:26" x14ac:dyDescent="0.3">
      <c r="B39">
        <v>89</v>
      </c>
      <c r="C39">
        <v>11</v>
      </c>
      <c r="D39">
        <v>22</v>
      </c>
      <c r="E39">
        <v>78</v>
      </c>
      <c r="G39">
        <v>78</v>
      </c>
      <c r="H39">
        <v>22</v>
      </c>
      <c r="I39">
        <v>12</v>
      </c>
      <c r="J39">
        <v>88</v>
      </c>
      <c r="L39">
        <v>60</v>
      </c>
      <c r="M39">
        <v>40</v>
      </c>
      <c r="N39">
        <v>21</v>
      </c>
      <c r="O39">
        <v>79</v>
      </c>
      <c r="Q39">
        <f t="shared" si="0"/>
        <v>16.5</v>
      </c>
      <c r="R39">
        <f t="shared" si="1"/>
        <v>17</v>
      </c>
      <c r="S39">
        <f t="shared" si="2"/>
        <v>30.5</v>
      </c>
      <c r="T39">
        <f t="shared" si="3"/>
        <v>21.333333333333332</v>
      </c>
      <c r="U39">
        <f t="shared" si="4"/>
        <v>16.5</v>
      </c>
      <c r="V39">
        <f t="shared" si="5"/>
        <v>1.6111111111111107</v>
      </c>
    </row>
    <row r="41" spans="1:26" x14ac:dyDescent="0.3">
      <c r="A41" t="s">
        <v>32</v>
      </c>
      <c r="F41" t="s">
        <v>28</v>
      </c>
      <c r="K41" t="s">
        <v>29</v>
      </c>
    </row>
    <row r="42" spans="1:26" x14ac:dyDescent="0.3">
      <c r="B42">
        <v>87</v>
      </c>
      <c r="C42">
        <v>13</v>
      </c>
      <c r="D42">
        <v>27</v>
      </c>
      <c r="E42">
        <v>73</v>
      </c>
      <c r="G42">
        <v>73</v>
      </c>
      <c r="H42">
        <v>27</v>
      </c>
      <c r="I42">
        <v>8</v>
      </c>
      <c r="J42">
        <v>92</v>
      </c>
      <c r="L42">
        <v>73</v>
      </c>
      <c r="M42">
        <v>27</v>
      </c>
      <c r="N42">
        <v>23</v>
      </c>
      <c r="O42">
        <v>77</v>
      </c>
      <c r="Q42">
        <f t="shared" si="0"/>
        <v>20</v>
      </c>
      <c r="R42">
        <f t="shared" si="1"/>
        <v>17.5</v>
      </c>
      <c r="S42">
        <f t="shared" si="2"/>
        <v>25</v>
      </c>
      <c r="T42">
        <f t="shared" si="3"/>
        <v>20.833333333333332</v>
      </c>
      <c r="U42">
        <f t="shared" si="4"/>
        <v>17.5</v>
      </c>
      <c r="V42">
        <f t="shared" si="5"/>
        <v>1.1111111111111107</v>
      </c>
      <c r="W42">
        <f>AVERAGE(T42:T50)</f>
        <v>20.222222222222221</v>
      </c>
      <c r="X42">
        <f>_xlfn.STDEV.S(T42:T50)</f>
        <v>2.0395397084200693</v>
      </c>
      <c r="Y42">
        <f>AVERAGE(V42:V50)</f>
        <v>1.8703703703703698</v>
      </c>
      <c r="Z42">
        <f>_xlfn.STDEV.S(V42:V50)</f>
        <v>0.60984717778056097</v>
      </c>
    </row>
    <row r="43" spans="1:26" x14ac:dyDescent="0.3">
      <c r="B43">
        <v>91</v>
      </c>
      <c r="C43">
        <v>9</v>
      </c>
      <c r="D43">
        <v>23</v>
      </c>
      <c r="E43">
        <v>77</v>
      </c>
      <c r="G43">
        <v>87</v>
      </c>
      <c r="H43">
        <v>13</v>
      </c>
      <c r="I43">
        <v>17</v>
      </c>
      <c r="J43">
        <v>83</v>
      </c>
      <c r="L43">
        <v>78</v>
      </c>
      <c r="M43">
        <v>22</v>
      </c>
      <c r="N43">
        <v>31</v>
      </c>
      <c r="O43">
        <v>69</v>
      </c>
      <c r="Q43">
        <f t="shared" si="0"/>
        <v>16</v>
      </c>
      <c r="R43">
        <f t="shared" si="1"/>
        <v>15</v>
      </c>
      <c r="S43">
        <f t="shared" si="2"/>
        <v>26.5</v>
      </c>
      <c r="T43">
        <f t="shared" si="3"/>
        <v>19.166666666666668</v>
      </c>
      <c r="U43">
        <f t="shared" si="4"/>
        <v>15</v>
      </c>
      <c r="V43">
        <f t="shared" si="5"/>
        <v>1.3888888888888893</v>
      </c>
    </row>
    <row r="44" spans="1:26" x14ac:dyDescent="0.3">
      <c r="B44">
        <v>88</v>
      </c>
      <c r="C44">
        <v>12</v>
      </c>
      <c r="D44">
        <v>21</v>
      </c>
      <c r="E44">
        <v>79</v>
      </c>
      <c r="G44">
        <v>82</v>
      </c>
      <c r="H44">
        <v>18</v>
      </c>
      <c r="I44">
        <v>11</v>
      </c>
      <c r="J44">
        <v>89</v>
      </c>
      <c r="L44">
        <v>69</v>
      </c>
      <c r="M44">
        <v>31</v>
      </c>
      <c r="N44">
        <v>24</v>
      </c>
      <c r="O44">
        <v>76</v>
      </c>
      <c r="Q44">
        <f t="shared" si="0"/>
        <v>16.5</v>
      </c>
      <c r="R44">
        <f t="shared" si="1"/>
        <v>14.5</v>
      </c>
      <c r="S44">
        <f t="shared" si="2"/>
        <v>27.5</v>
      </c>
      <c r="T44">
        <f t="shared" si="3"/>
        <v>19.5</v>
      </c>
      <c r="U44">
        <f t="shared" si="4"/>
        <v>14.5</v>
      </c>
      <c r="V44">
        <f t="shared" si="5"/>
        <v>1.6666666666666665</v>
      </c>
    </row>
    <row r="45" spans="1:26" x14ac:dyDescent="0.3">
      <c r="B45">
        <v>88</v>
      </c>
      <c r="C45">
        <v>12</v>
      </c>
      <c r="D45">
        <v>29</v>
      </c>
      <c r="E45">
        <v>71</v>
      </c>
      <c r="G45">
        <v>71</v>
      </c>
      <c r="H45">
        <v>29</v>
      </c>
      <c r="I45">
        <v>7</v>
      </c>
      <c r="J45">
        <v>93</v>
      </c>
      <c r="L45">
        <v>69</v>
      </c>
      <c r="M45">
        <v>31</v>
      </c>
      <c r="N45">
        <v>30</v>
      </c>
      <c r="O45">
        <v>70</v>
      </c>
      <c r="Q45">
        <f t="shared" si="0"/>
        <v>20.5</v>
      </c>
      <c r="R45">
        <f t="shared" si="1"/>
        <v>18</v>
      </c>
      <c r="S45">
        <f t="shared" si="2"/>
        <v>30.5</v>
      </c>
      <c r="T45">
        <f t="shared" si="3"/>
        <v>23</v>
      </c>
      <c r="U45">
        <f t="shared" si="4"/>
        <v>18</v>
      </c>
      <c r="V45">
        <f t="shared" si="5"/>
        <v>1.6666666666666665</v>
      </c>
    </row>
    <row r="46" spans="1:26" x14ac:dyDescent="0.3">
      <c r="B46">
        <v>82</v>
      </c>
      <c r="C46">
        <v>18</v>
      </c>
      <c r="D46">
        <v>14</v>
      </c>
      <c r="E46">
        <v>86</v>
      </c>
      <c r="G46">
        <v>63</v>
      </c>
      <c r="H46">
        <v>37</v>
      </c>
      <c r="I46">
        <v>3</v>
      </c>
      <c r="J46">
        <v>97</v>
      </c>
      <c r="L46">
        <v>57</v>
      </c>
      <c r="M46">
        <v>43</v>
      </c>
      <c r="N46">
        <v>25</v>
      </c>
      <c r="O46">
        <v>75</v>
      </c>
      <c r="Q46">
        <f t="shared" si="0"/>
        <v>16</v>
      </c>
      <c r="R46">
        <f t="shared" si="1"/>
        <v>20</v>
      </c>
      <c r="S46">
        <f t="shared" si="2"/>
        <v>34</v>
      </c>
      <c r="T46">
        <f t="shared" si="3"/>
        <v>23.333333333333332</v>
      </c>
      <c r="U46">
        <f t="shared" si="4"/>
        <v>16</v>
      </c>
      <c r="V46">
        <f t="shared" si="5"/>
        <v>2.4444444444444438</v>
      </c>
    </row>
    <row r="47" spans="1:26" x14ac:dyDescent="0.3">
      <c r="B47">
        <v>85</v>
      </c>
      <c r="C47">
        <v>15</v>
      </c>
      <c r="D47">
        <v>15</v>
      </c>
      <c r="E47">
        <v>85</v>
      </c>
      <c r="G47">
        <v>75</v>
      </c>
      <c r="H47">
        <v>25</v>
      </c>
      <c r="I47">
        <v>8</v>
      </c>
      <c r="J47">
        <v>92</v>
      </c>
      <c r="L47">
        <v>55</v>
      </c>
      <c r="M47">
        <v>45</v>
      </c>
      <c r="N47">
        <v>17</v>
      </c>
      <c r="O47">
        <v>83</v>
      </c>
      <c r="Q47">
        <f t="shared" si="0"/>
        <v>15</v>
      </c>
      <c r="R47">
        <f t="shared" si="1"/>
        <v>16.5</v>
      </c>
      <c r="S47">
        <f t="shared" si="2"/>
        <v>31</v>
      </c>
      <c r="T47">
        <f t="shared" si="3"/>
        <v>20.833333333333332</v>
      </c>
      <c r="U47">
        <f t="shared" si="4"/>
        <v>15</v>
      </c>
      <c r="V47">
        <f t="shared" si="5"/>
        <v>1.944444444444444</v>
      </c>
    </row>
    <row r="48" spans="1:26" x14ac:dyDescent="0.3">
      <c r="B48">
        <v>89</v>
      </c>
      <c r="C48">
        <v>11</v>
      </c>
      <c r="D48">
        <v>20</v>
      </c>
      <c r="E48">
        <v>80</v>
      </c>
      <c r="G48">
        <v>85</v>
      </c>
      <c r="H48">
        <v>15</v>
      </c>
      <c r="I48">
        <v>4</v>
      </c>
      <c r="J48">
        <v>96</v>
      </c>
      <c r="L48">
        <v>59</v>
      </c>
      <c r="M48">
        <v>41</v>
      </c>
      <c r="N48">
        <v>23</v>
      </c>
      <c r="O48">
        <v>77</v>
      </c>
      <c r="Q48">
        <f t="shared" si="0"/>
        <v>15.5</v>
      </c>
      <c r="R48">
        <f t="shared" si="1"/>
        <v>9.5</v>
      </c>
      <c r="S48">
        <f t="shared" si="2"/>
        <v>32</v>
      </c>
      <c r="T48">
        <f t="shared" si="3"/>
        <v>19</v>
      </c>
      <c r="U48">
        <f t="shared" si="4"/>
        <v>9.5</v>
      </c>
      <c r="V48">
        <f t="shared" si="5"/>
        <v>3.1666666666666665</v>
      </c>
    </row>
    <row r="49" spans="1:26" x14ac:dyDescent="0.3">
      <c r="B49">
        <v>91</v>
      </c>
      <c r="C49">
        <v>9</v>
      </c>
      <c r="D49">
        <v>15</v>
      </c>
      <c r="E49">
        <v>85</v>
      </c>
      <c r="G49">
        <v>70</v>
      </c>
      <c r="H49">
        <v>30</v>
      </c>
      <c r="I49">
        <v>5</v>
      </c>
      <c r="J49">
        <v>95</v>
      </c>
      <c r="L49">
        <v>76</v>
      </c>
      <c r="M49">
        <v>24</v>
      </c>
      <c r="N49">
        <v>18</v>
      </c>
      <c r="O49">
        <v>82</v>
      </c>
      <c r="Q49">
        <f t="shared" si="0"/>
        <v>12</v>
      </c>
      <c r="R49">
        <f t="shared" si="1"/>
        <v>17.5</v>
      </c>
      <c r="S49">
        <f t="shared" si="2"/>
        <v>21</v>
      </c>
      <c r="T49">
        <f t="shared" si="3"/>
        <v>16.833333333333332</v>
      </c>
      <c r="U49">
        <f t="shared" si="4"/>
        <v>12</v>
      </c>
      <c r="V49">
        <f t="shared" si="5"/>
        <v>1.6111111111111107</v>
      </c>
    </row>
    <row r="50" spans="1:26" x14ac:dyDescent="0.3">
      <c r="B50">
        <v>89</v>
      </c>
      <c r="C50">
        <v>11</v>
      </c>
      <c r="D50">
        <v>17</v>
      </c>
      <c r="E50">
        <v>83</v>
      </c>
      <c r="G50">
        <v>70</v>
      </c>
      <c r="H50">
        <v>30</v>
      </c>
      <c r="I50">
        <v>4</v>
      </c>
      <c r="J50">
        <v>96</v>
      </c>
      <c r="L50">
        <v>63</v>
      </c>
      <c r="M50">
        <v>37</v>
      </c>
      <c r="N50">
        <v>18</v>
      </c>
      <c r="O50">
        <v>82</v>
      </c>
      <c r="Q50">
        <f t="shared" si="0"/>
        <v>14</v>
      </c>
      <c r="R50">
        <f t="shared" si="1"/>
        <v>17</v>
      </c>
      <c r="S50">
        <f t="shared" si="2"/>
        <v>27.5</v>
      </c>
      <c r="T50">
        <f t="shared" si="3"/>
        <v>19.5</v>
      </c>
      <c r="U50">
        <f t="shared" si="4"/>
        <v>14</v>
      </c>
      <c r="V50">
        <f t="shared" si="5"/>
        <v>1.8333333333333333</v>
      </c>
    </row>
    <row r="52" spans="1:26" x14ac:dyDescent="0.3">
      <c r="A52" t="s">
        <v>73</v>
      </c>
      <c r="F52" t="s">
        <v>28</v>
      </c>
      <c r="K52" t="s">
        <v>29</v>
      </c>
    </row>
    <row r="53" spans="1:26" x14ac:dyDescent="0.3">
      <c r="B53">
        <v>83</v>
      </c>
      <c r="C53">
        <v>17</v>
      </c>
      <c r="D53">
        <v>16</v>
      </c>
      <c r="E53">
        <v>84</v>
      </c>
      <c r="G53">
        <v>74</v>
      </c>
      <c r="H53">
        <v>26</v>
      </c>
      <c r="I53">
        <v>4</v>
      </c>
      <c r="J53">
        <v>96</v>
      </c>
      <c r="L53">
        <v>70</v>
      </c>
      <c r="M53">
        <v>30</v>
      </c>
      <c r="N53">
        <v>27</v>
      </c>
      <c r="O53">
        <v>73</v>
      </c>
      <c r="Q53">
        <f t="shared" si="0"/>
        <v>16.5</v>
      </c>
      <c r="R53">
        <f t="shared" si="1"/>
        <v>15</v>
      </c>
      <c r="S53">
        <f t="shared" si="2"/>
        <v>28.5</v>
      </c>
      <c r="T53">
        <f t="shared" si="3"/>
        <v>20</v>
      </c>
      <c r="U53">
        <f t="shared" si="4"/>
        <v>15</v>
      </c>
      <c r="V53">
        <f t="shared" si="5"/>
        <v>1.6666666666666665</v>
      </c>
      <c r="W53">
        <f>AVERAGE(T53:T54)</f>
        <v>19.333333333333336</v>
      </c>
      <c r="X53">
        <f>_xlfn.STDEV.S(T53,T54)</f>
        <v>0.94280904158206247</v>
      </c>
      <c r="Y53">
        <f>AVERAGE(V53:V54)</f>
        <v>1.7777777777777779</v>
      </c>
      <c r="Z53">
        <f>_xlfn.STDEV.S(V53,V54)</f>
        <v>0.15713484026367761</v>
      </c>
    </row>
    <row r="54" spans="1:26" x14ac:dyDescent="0.3">
      <c r="B54">
        <v>85</v>
      </c>
      <c r="C54">
        <v>15</v>
      </c>
      <c r="D54">
        <v>11</v>
      </c>
      <c r="E54">
        <v>89</v>
      </c>
      <c r="G54">
        <v>73</v>
      </c>
      <c r="H54">
        <v>27</v>
      </c>
      <c r="I54">
        <v>2</v>
      </c>
      <c r="J54">
        <v>98</v>
      </c>
      <c r="L54">
        <v>60</v>
      </c>
      <c r="M54">
        <v>40</v>
      </c>
      <c r="N54">
        <v>17</v>
      </c>
      <c r="O54">
        <v>83</v>
      </c>
      <c r="Q54">
        <f t="shared" si="0"/>
        <v>13</v>
      </c>
      <c r="R54">
        <f t="shared" si="1"/>
        <v>14.5</v>
      </c>
      <c r="S54">
        <f t="shared" si="2"/>
        <v>28.5</v>
      </c>
      <c r="T54">
        <f t="shared" si="3"/>
        <v>18.666666666666668</v>
      </c>
      <c r="U54">
        <f t="shared" si="4"/>
        <v>13</v>
      </c>
      <c r="V54">
        <f t="shared" si="5"/>
        <v>1.8888888888888893</v>
      </c>
    </row>
    <row r="56" spans="1:26" x14ac:dyDescent="0.3">
      <c r="A56" t="s">
        <v>74</v>
      </c>
      <c r="F56" t="s">
        <v>28</v>
      </c>
      <c r="K56" t="s">
        <v>29</v>
      </c>
    </row>
    <row r="57" spans="1:26" x14ac:dyDescent="0.3">
      <c r="B57">
        <v>85</v>
      </c>
      <c r="C57">
        <v>15</v>
      </c>
      <c r="D57">
        <v>16</v>
      </c>
      <c r="E57">
        <v>84</v>
      </c>
      <c r="G57">
        <v>66</v>
      </c>
      <c r="H57">
        <v>34</v>
      </c>
      <c r="I57">
        <v>7</v>
      </c>
      <c r="J57">
        <v>93</v>
      </c>
      <c r="L57">
        <v>57</v>
      </c>
      <c r="M57">
        <v>43</v>
      </c>
      <c r="N57">
        <v>15</v>
      </c>
      <c r="O57">
        <v>85</v>
      </c>
      <c r="Q57">
        <f t="shared" si="0"/>
        <v>15.5</v>
      </c>
      <c r="R57">
        <f t="shared" si="1"/>
        <v>20.5</v>
      </c>
      <c r="S57">
        <f t="shared" si="2"/>
        <v>29</v>
      </c>
      <c r="T57">
        <f t="shared" si="3"/>
        <v>21.666666666666668</v>
      </c>
      <c r="U57">
        <f t="shared" si="4"/>
        <v>15.5</v>
      </c>
      <c r="V57">
        <f t="shared" si="5"/>
        <v>2.0555555555555558</v>
      </c>
      <c r="W57">
        <f>AVERAGE(T57:T63)</f>
        <v>21.190476190476193</v>
      </c>
      <c r="X57">
        <f>_xlfn.STDEV.S(T57:T63)</f>
        <v>1.6027423588284766</v>
      </c>
      <c r="Y57">
        <f>AVERAGE(V57:V63)</f>
        <v>1.8015873015873012</v>
      </c>
      <c r="Z57">
        <f>_xlfn.STDEV.S(V57:V63)</f>
        <v>0.43254575016374236</v>
      </c>
    </row>
    <row r="58" spans="1:26" x14ac:dyDescent="0.3">
      <c r="B58">
        <v>76</v>
      </c>
      <c r="C58">
        <v>24</v>
      </c>
      <c r="D58">
        <v>5</v>
      </c>
      <c r="E58">
        <v>95</v>
      </c>
      <c r="G58">
        <v>65</v>
      </c>
      <c r="H58">
        <v>35</v>
      </c>
      <c r="I58">
        <v>4</v>
      </c>
      <c r="J58">
        <v>96</v>
      </c>
      <c r="L58">
        <v>54</v>
      </c>
      <c r="M58">
        <v>46</v>
      </c>
      <c r="N58">
        <v>18</v>
      </c>
      <c r="O58">
        <v>82</v>
      </c>
      <c r="Q58">
        <f t="shared" si="0"/>
        <v>14.5</v>
      </c>
      <c r="R58">
        <f t="shared" si="1"/>
        <v>19.5</v>
      </c>
      <c r="S58">
        <f t="shared" si="2"/>
        <v>32</v>
      </c>
      <c r="T58">
        <f t="shared" si="3"/>
        <v>22</v>
      </c>
      <c r="U58">
        <f t="shared" si="4"/>
        <v>14.5</v>
      </c>
      <c r="V58">
        <f t="shared" si="5"/>
        <v>2.5</v>
      </c>
    </row>
    <row r="59" spans="1:26" x14ac:dyDescent="0.3">
      <c r="B59">
        <v>83</v>
      </c>
      <c r="C59">
        <v>17</v>
      </c>
      <c r="D59">
        <v>16</v>
      </c>
      <c r="E59">
        <v>84</v>
      </c>
      <c r="G59">
        <v>74</v>
      </c>
      <c r="H59">
        <v>26</v>
      </c>
      <c r="I59">
        <v>10</v>
      </c>
      <c r="J59">
        <v>90</v>
      </c>
      <c r="L59">
        <v>77</v>
      </c>
      <c r="M59">
        <v>23</v>
      </c>
      <c r="N59">
        <v>36</v>
      </c>
      <c r="O59">
        <v>64</v>
      </c>
      <c r="Q59">
        <f t="shared" si="0"/>
        <v>16.5</v>
      </c>
      <c r="R59">
        <f t="shared" si="1"/>
        <v>18</v>
      </c>
      <c r="S59">
        <f t="shared" si="2"/>
        <v>29.5</v>
      </c>
      <c r="T59">
        <f t="shared" si="3"/>
        <v>21.333333333333332</v>
      </c>
      <c r="U59">
        <f t="shared" si="4"/>
        <v>16.5</v>
      </c>
      <c r="V59">
        <f t="shared" si="5"/>
        <v>1.6111111111111107</v>
      </c>
    </row>
    <row r="60" spans="1:26" x14ac:dyDescent="0.3">
      <c r="B60">
        <v>82</v>
      </c>
      <c r="C60">
        <v>18</v>
      </c>
      <c r="D60">
        <v>18</v>
      </c>
      <c r="E60">
        <v>82</v>
      </c>
      <c r="G60">
        <v>74</v>
      </c>
      <c r="H60">
        <v>26</v>
      </c>
      <c r="I60">
        <v>14</v>
      </c>
      <c r="J60">
        <v>86</v>
      </c>
      <c r="L60">
        <v>65</v>
      </c>
      <c r="M60">
        <v>35</v>
      </c>
      <c r="N60">
        <v>32</v>
      </c>
      <c r="O60">
        <v>68</v>
      </c>
      <c r="Q60">
        <f t="shared" si="0"/>
        <v>18</v>
      </c>
      <c r="R60">
        <f t="shared" si="1"/>
        <v>20</v>
      </c>
      <c r="S60">
        <f t="shared" si="2"/>
        <v>33.5</v>
      </c>
      <c r="T60">
        <f t="shared" si="3"/>
        <v>23.833333333333332</v>
      </c>
      <c r="U60">
        <f t="shared" si="4"/>
        <v>18</v>
      </c>
      <c r="V60">
        <f t="shared" si="5"/>
        <v>1.944444444444444</v>
      </c>
    </row>
    <row r="61" spans="1:26" x14ac:dyDescent="0.3">
      <c r="B61">
        <v>87</v>
      </c>
      <c r="C61">
        <v>13</v>
      </c>
      <c r="D61">
        <v>19</v>
      </c>
      <c r="E61">
        <v>81</v>
      </c>
      <c r="G61">
        <v>70</v>
      </c>
      <c r="H61">
        <v>30</v>
      </c>
      <c r="I61">
        <v>9</v>
      </c>
      <c r="J61">
        <v>91</v>
      </c>
      <c r="L61">
        <v>73</v>
      </c>
      <c r="M61">
        <v>27</v>
      </c>
      <c r="N61">
        <v>27</v>
      </c>
      <c r="O61">
        <v>73</v>
      </c>
      <c r="Q61">
        <f t="shared" si="0"/>
        <v>16</v>
      </c>
      <c r="R61">
        <f t="shared" si="1"/>
        <v>19.5</v>
      </c>
      <c r="S61">
        <f t="shared" si="2"/>
        <v>27</v>
      </c>
      <c r="T61">
        <f t="shared" si="3"/>
        <v>20.833333333333332</v>
      </c>
      <c r="U61">
        <f t="shared" si="4"/>
        <v>16</v>
      </c>
      <c r="V61">
        <f t="shared" si="5"/>
        <v>1.6111111111111107</v>
      </c>
    </row>
    <row r="62" spans="1:26" x14ac:dyDescent="0.3">
      <c r="B62">
        <v>92</v>
      </c>
      <c r="C62">
        <v>8</v>
      </c>
      <c r="D62">
        <v>19</v>
      </c>
      <c r="E62">
        <v>81</v>
      </c>
      <c r="G62">
        <v>75</v>
      </c>
      <c r="H62">
        <v>25</v>
      </c>
      <c r="I62">
        <v>5</v>
      </c>
      <c r="J62">
        <v>95</v>
      </c>
      <c r="L62">
        <v>68</v>
      </c>
      <c r="M62">
        <v>32</v>
      </c>
      <c r="N62">
        <v>24</v>
      </c>
      <c r="O62">
        <v>76</v>
      </c>
      <c r="Q62">
        <f t="shared" si="0"/>
        <v>13.5</v>
      </c>
      <c r="R62">
        <f t="shared" si="1"/>
        <v>15</v>
      </c>
      <c r="S62">
        <f t="shared" si="2"/>
        <v>28</v>
      </c>
      <c r="T62">
        <f t="shared" si="3"/>
        <v>18.833333333333332</v>
      </c>
      <c r="U62">
        <f t="shared" si="4"/>
        <v>13.5</v>
      </c>
      <c r="V62">
        <f t="shared" si="5"/>
        <v>1.7777777777777772</v>
      </c>
    </row>
    <row r="63" spans="1:26" x14ac:dyDescent="0.3">
      <c r="B63">
        <v>84</v>
      </c>
      <c r="C63">
        <v>16</v>
      </c>
      <c r="D63">
        <v>18</v>
      </c>
      <c r="E63">
        <v>82</v>
      </c>
      <c r="G63">
        <v>77</v>
      </c>
      <c r="H63">
        <v>23</v>
      </c>
      <c r="I63">
        <v>10</v>
      </c>
      <c r="J63">
        <v>90</v>
      </c>
      <c r="L63">
        <v>69</v>
      </c>
      <c r="M63">
        <v>31</v>
      </c>
      <c r="N63">
        <v>21</v>
      </c>
      <c r="O63">
        <v>79</v>
      </c>
      <c r="Q63">
        <f t="shared" si="0"/>
        <v>17</v>
      </c>
      <c r="R63">
        <f t="shared" si="1"/>
        <v>16.5</v>
      </c>
      <c r="S63">
        <f t="shared" si="2"/>
        <v>26</v>
      </c>
      <c r="T63">
        <f t="shared" si="3"/>
        <v>19.833333333333332</v>
      </c>
      <c r="U63">
        <f t="shared" si="4"/>
        <v>16.5</v>
      </c>
      <c r="V63">
        <f t="shared" si="5"/>
        <v>1.1111111111111107</v>
      </c>
    </row>
    <row r="65" spans="1:26" x14ac:dyDescent="0.3">
      <c r="A65" t="s">
        <v>35</v>
      </c>
      <c r="F65" t="s">
        <v>28</v>
      </c>
      <c r="K65" t="s">
        <v>29</v>
      </c>
    </row>
    <row r="66" spans="1:26" x14ac:dyDescent="0.3">
      <c r="B66">
        <v>85</v>
      </c>
      <c r="C66">
        <v>15</v>
      </c>
      <c r="D66">
        <v>15</v>
      </c>
      <c r="E66">
        <v>85</v>
      </c>
      <c r="G66">
        <v>76</v>
      </c>
      <c r="H66">
        <v>24</v>
      </c>
      <c r="I66">
        <v>11</v>
      </c>
      <c r="J66">
        <v>89</v>
      </c>
      <c r="L66">
        <v>65</v>
      </c>
      <c r="M66">
        <v>35</v>
      </c>
      <c r="N66">
        <v>13</v>
      </c>
      <c r="O66">
        <v>87</v>
      </c>
      <c r="Q66">
        <f t="shared" si="0"/>
        <v>15</v>
      </c>
      <c r="R66">
        <f t="shared" si="1"/>
        <v>17.5</v>
      </c>
      <c r="S66">
        <f t="shared" si="2"/>
        <v>24</v>
      </c>
      <c r="T66">
        <f t="shared" si="3"/>
        <v>18.833333333333332</v>
      </c>
      <c r="U66">
        <f t="shared" si="4"/>
        <v>15</v>
      </c>
      <c r="V66">
        <f t="shared" si="5"/>
        <v>1.2777777777777772</v>
      </c>
      <c r="W66">
        <f>AVERAGE(T66:T68)</f>
        <v>20.222222222222221</v>
      </c>
      <c r="X66">
        <f>_xlfn.STDEV.S(T66:T68)</f>
        <v>1.8584142981864142</v>
      </c>
      <c r="Y66">
        <f>AVERAGE(V66:V68)</f>
        <v>1.7962962962962958</v>
      </c>
      <c r="Z66">
        <f>_xlfn.STDEV.S(V66:V68)</f>
        <v>0.52802138627345419</v>
      </c>
    </row>
    <row r="67" spans="1:26" x14ac:dyDescent="0.3">
      <c r="B67">
        <v>90</v>
      </c>
      <c r="C67">
        <v>10</v>
      </c>
      <c r="D67">
        <v>24</v>
      </c>
      <c r="E67">
        <v>76</v>
      </c>
      <c r="G67">
        <v>78</v>
      </c>
      <c r="H67">
        <v>22</v>
      </c>
      <c r="I67">
        <v>12</v>
      </c>
      <c r="J67">
        <v>88</v>
      </c>
      <c r="L67">
        <v>67</v>
      </c>
      <c r="M67">
        <v>33</v>
      </c>
      <c r="N67">
        <v>33</v>
      </c>
      <c r="O67">
        <v>67</v>
      </c>
      <c r="Q67">
        <f t="shared" si="0"/>
        <v>17</v>
      </c>
      <c r="R67">
        <f t="shared" si="1"/>
        <v>17</v>
      </c>
      <c r="S67">
        <f t="shared" si="2"/>
        <v>33</v>
      </c>
      <c r="T67">
        <f t="shared" si="3"/>
        <v>22.333333333333332</v>
      </c>
      <c r="U67">
        <f t="shared" si="4"/>
        <v>17</v>
      </c>
      <c r="V67">
        <f t="shared" si="5"/>
        <v>1.7777777777777772</v>
      </c>
    </row>
    <row r="68" spans="1:26" x14ac:dyDescent="0.3">
      <c r="B68">
        <v>84</v>
      </c>
      <c r="C68">
        <v>16</v>
      </c>
      <c r="D68">
        <v>13</v>
      </c>
      <c r="E68">
        <v>87</v>
      </c>
      <c r="G68">
        <v>78</v>
      </c>
      <c r="H68">
        <v>22</v>
      </c>
      <c r="I68">
        <v>3</v>
      </c>
      <c r="J68">
        <v>97</v>
      </c>
      <c r="L68">
        <v>53</v>
      </c>
      <c r="M68">
        <v>47</v>
      </c>
      <c r="N68">
        <v>16</v>
      </c>
      <c r="O68">
        <v>84</v>
      </c>
      <c r="Q68">
        <f t="shared" ref="Q68:Q99" si="6">AVERAGE(C68,D68)</f>
        <v>14.5</v>
      </c>
      <c r="R68">
        <f t="shared" ref="R68:R99" si="7">AVERAGE(H68,I68)</f>
        <v>12.5</v>
      </c>
      <c r="S68">
        <f t="shared" ref="S68:S99" si="8">AVERAGE(M68,N68)</f>
        <v>31.5</v>
      </c>
      <c r="T68">
        <f t="shared" ref="T68:T99" si="9">AVERAGE(Q68:S68)</f>
        <v>19.5</v>
      </c>
      <c r="U68">
        <f t="shared" ref="U68:U99" si="10">MIN(Q68:S68)</f>
        <v>12.5</v>
      </c>
      <c r="V68">
        <f t="shared" ref="V68:V99" si="11">(1/3)*(T68-U68)</f>
        <v>2.333333333333333</v>
      </c>
    </row>
    <row r="70" spans="1:26" x14ac:dyDescent="0.3">
      <c r="A70" t="s">
        <v>36</v>
      </c>
      <c r="F70" t="s">
        <v>28</v>
      </c>
      <c r="K70" t="s">
        <v>29</v>
      </c>
    </row>
    <row r="71" spans="1:26" x14ac:dyDescent="0.3">
      <c r="B71">
        <v>89</v>
      </c>
      <c r="C71">
        <v>11</v>
      </c>
      <c r="D71">
        <v>26</v>
      </c>
      <c r="E71">
        <v>74</v>
      </c>
      <c r="G71">
        <v>78</v>
      </c>
      <c r="H71">
        <v>22</v>
      </c>
      <c r="I71">
        <v>13</v>
      </c>
      <c r="J71">
        <v>87</v>
      </c>
      <c r="L71">
        <v>76</v>
      </c>
      <c r="M71">
        <v>24</v>
      </c>
      <c r="N71">
        <v>35</v>
      </c>
      <c r="O71">
        <v>65</v>
      </c>
      <c r="Q71">
        <f t="shared" si="6"/>
        <v>18.5</v>
      </c>
      <c r="R71">
        <f t="shared" si="7"/>
        <v>17.5</v>
      </c>
      <c r="S71">
        <f t="shared" si="8"/>
        <v>29.5</v>
      </c>
      <c r="T71">
        <f t="shared" si="9"/>
        <v>21.833333333333332</v>
      </c>
      <c r="U71">
        <f t="shared" si="10"/>
        <v>17.5</v>
      </c>
      <c r="V71">
        <f t="shared" si="11"/>
        <v>1.444444444444444</v>
      </c>
      <c r="W71">
        <f>AVERAGE(T71:T80)</f>
        <v>20.516666666666662</v>
      </c>
      <c r="X71">
        <f>_xlfn.STDEV.S(T71:T80)</f>
        <v>1.0983995090500904</v>
      </c>
      <c r="Y71">
        <f>AVERAGE(V71:V80)</f>
        <v>1.838888888888889</v>
      </c>
      <c r="Z71">
        <f>_xlfn.STDEV.S(V71:V80)</f>
        <v>0.62220568761099626</v>
      </c>
    </row>
    <row r="72" spans="1:26" x14ac:dyDescent="0.3">
      <c r="B72">
        <v>86</v>
      </c>
      <c r="C72">
        <v>14</v>
      </c>
      <c r="D72">
        <v>18</v>
      </c>
      <c r="E72">
        <v>82</v>
      </c>
      <c r="G72">
        <v>69</v>
      </c>
      <c r="H72">
        <v>31</v>
      </c>
      <c r="I72">
        <v>8</v>
      </c>
      <c r="J72">
        <v>92</v>
      </c>
      <c r="L72">
        <v>67</v>
      </c>
      <c r="M72">
        <v>33</v>
      </c>
      <c r="N72">
        <v>27</v>
      </c>
      <c r="O72">
        <v>73</v>
      </c>
      <c r="Q72">
        <f t="shared" si="6"/>
        <v>16</v>
      </c>
      <c r="R72">
        <f t="shared" si="7"/>
        <v>19.5</v>
      </c>
      <c r="S72">
        <f t="shared" si="8"/>
        <v>30</v>
      </c>
      <c r="T72">
        <f t="shared" si="9"/>
        <v>21.833333333333332</v>
      </c>
      <c r="U72">
        <f t="shared" si="10"/>
        <v>16</v>
      </c>
      <c r="V72">
        <f t="shared" si="11"/>
        <v>1.944444444444444</v>
      </c>
    </row>
    <row r="73" spans="1:26" x14ac:dyDescent="0.3">
      <c r="B73">
        <v>88</v>
      </c>
      <c r="C73">
        <v>12</v>
      </c>
      <c r="D73">
        <v>14</v>
      </c>
      <c r="E73">
        <v>86</v>
      </c>
      <c r="G73">
        <v>66</v>
      </c>
      <c r="H73">
        <v>34</v>
      </c>
      <c r="I73">
        <v>4</v>
      </c>
      <c r="J73">
        <v>96</v>
      </c>
      <c r="L73">
        <v>66</v>
      </c>
      <c r="M73">
        <v>34</v>
      </c>
      <c r="N73">
        <v>23</v>
      </c>
      <c r="O73">
        <v>77</v>
      </c>
      <c r="Q73">
        <f t="shared" si="6"/>
        <v>13</v>
      </c>
      <c r="R73">
        <f t="shared" si="7"/>
        <v>19</v>
      </c>
      <c r="S73">
        <f t="shared" si="8"/>
        <v>28.5</v>
      </c>
      <c r="T73">
        <f t="shared" si="9"/>
        <v>20.166666666666668</v>
      </c>
      <c r="U73">
        <f t="shared" si="10"/>
        <v>13</v>
      </c>
      <c r="V73">
        <f t="shared" si="11"/>
        <v>2.3888888888888893</v>
      </c>
    </row>
    <row r="74" spans="1:26" x14ac:dyDescent="0.3">
      <c r="B74">
        <v>82</v>
      </c>
      <c r="C74">
        <v>18</v>
      </c>
      <c r="D74">
        <v>22</v>
      </c>
      <c r="E74">
        <v>78</v>
      </c>
      <c r="G74">
        <v>77</v>
      </c>
      <c r="H74">
        <v>23</v>
      </c>
      <c r="I74">
        <v>3</v>
      </c>
      <c r="J74">
        <v>97</v>
      </c>
      <c r="L74">
        <v>63</v>
      </c>
      <c r="M74">
        <v>37</v>
      </c>
      <c r="N74">
        <v>17</v>
      </c>
      <c r="O74">
        <v>83</v>
      </c>
      <c r="Q74">
        <f t="shared" si="6"/>
        <v>20</v>
      </c>
      <c r="R74">
        <f t="shared" si="7"/>
        <v>13</v>
      </c>
      <c r="S74">
        <f t="shared" si="8"/>
        <v>27</v>
      </c>
      <c r="T74">
        <f t="shared" si="9"/>
        <v>20</v>
      </c>
      <c r="U74">
        <f t="shared" si="10"/>
        <v>13</v>
      </c>
      <c r="V74">
        <f t="shared" si="11"/>
        <v>2.333333333333333</v>
      </c>
    </row>
    <row r="75" spans="1:26" x14ac:dyDescent="0.3">
      <c r="B75">
        <v>90</v>
      </c>
      <c r="C75">
        <v>10</v>
      </c>
      <c r="D75">
        <v>20</v>
      </c>
      <c r="E75">
        <v>80</v>
      </c>
      <c r="G75">
        <v>79</v>
      </c>
      <c r="H75">
        <v>21</v>
      </c>
      <c r="I75">
        <v>17</v>
      </c>
      <c r="J75">
        <v>83</v>
      </c>
      <c r="L75">
        <v>70</v>
      </c>
      <c r="M75">
        <v>30</v>
      </c>
      <c r="N75">
        <v>27</v>
      </c>
      <c r="O75">
        <v>73</v>
      </c>
      <c r="Q75">
        <f t="shared" si="6"/>
        <v>15</v>
      </c>
      <c r="R75">
        <f t="shared" si="7"/>
        <v>19</v>
      </c>
      <c r="S75">
        <f t="shared" si="8"/>
        <v>28.5</v>
      </c>
      <c r="T75">
        <f t="shared" si="9"/>
        <v>20.833333333333332</v>
      </c>
      <c r="U75">
        <f t="shared" si="10"/>
        <v>15</v>
      </c>
      <c r="V75">
        <f t="shared" si="11"/>
        <v>1.944444444444444</v>
      </c>
    </row>
    <row r="76" spans="1:26" x14ac:dyDescent="0.3">
      <c r="B76">
        <v>90</v>
      </c>
      <c r="C76">
        <v>10</v>
      </c>
      <c r="D76">
        <v>17</v>
      </c>
      <c r="E76">
        <v>83</v>
      </c>
      <c r="G76">
        <v>82</v>
      </c>
      <c r="H76">
        <v>18</v>
      </c>
      <c r="I76">
        <v>11</v>
      </c>
      <c r="J76">
        <v>89</v>
      </c>
      <c r="L76">
        <v>76</v>
      </c>
      <c r="M76">
        <v>24</v>
      </c>
      <c r="N76">
        <v>29</v>
      </c>
      <c r="O76">
        <v>71</v>
      </c>
      <c r="Q76">
        <f t="shared" si="6"/>
        <v>13.5</v>
      </c>
      <c r="R76">
        <f t="shared" si="7"/>
        <v>14.5</v>
      </c>
      <c r="S76">
        <f t="shared" si="8"/>
        <v>26.5</v>
      </c>
      <c r="T76">
        <f t="shared" si="9"/>
        <v>18.166666666666668</v>
      </c>
      <c r="U76">
        <f t="shared" si="10"/>
        <v>13.5</v>
      </c>
      <c r="V76">
        <f t="shared" si="11"/>
        <v>1.5555555555555558</v>
      </c>
    </row>
    <row r="77" spans="1:26" x14ac:dyDescent="0.3">
      <c r="B77">
        <v>86</v>
      </c>
      <c r="C77">
        <v>14</v>
      </c>
      <c r="D77">
        <v>17</v>
      </c>
      <c r="E77">
        <v>83</v>
      </c>
      <c r="G77">
        <v>80</v>
      </c>
      <c r="H77">
        <v>20</v>
      </c>
      <c r="I77">
        <v>15</v>
      </c>
      <c r="J77">
        <v>85</v>
      </c>
      <c r="L77">
        <v>70</v>
      </c>
      <c r="M77">
        <v>30</v>
      </c>
      <c r="N77">
        <v>27</v>
      </c>
      <c r="O77">
        <v>73</v>
      </c>
      <c r="Q77">
        <f t="shared" si="6"/>
        <v>15.5</v>
      </c>
      <c r="R77">
        <f t="shared" si="7"/>
        <v>17.5</v>
      </c>
      <c r="S77">
        <f t="shared" si="8"/>
        <v>28.5</v>
      </c>
      <c r="T77">
        <f t="shared" si="9"/>
        <v>20.5</v>
      </c>
      <c r="U77">
        <f t="shared" si="10"/>
        <v>15.5</v>
      </c>
      <c r="V77">
        <f t="shared" si="11"/>
        <v>1.6666666666666665</v>
      </c>
    </row>
    <row r="78" spans="1:26" x14ac:dyDescent="0.3">
      <c r="B78">
        <v>85</v>
      </c>
      <c r="C78">
        <v>15</v>
      </c>
      <c r="D78">
        <v>13</v>
      </c>
      <c r="E78">
        <v>87</v>
      </c>
      <c r="G78">
        <v>70</v>
      </c>
      <c r="H78">
        <v>30</v>
      </c>
      <c r="I78">
        <v>8</v>
      </c>
      <c r="J78">
        <v>92</v>
      </c>
      <c r="L78">
        <v>61</v>
      </c>
      <c r="M78">
        <v>39</v>
      </c>
      <c r="N78">
        <v>21</v>
      </c>
      <c r="O78">
        <v>79</v>
      </c>
      <c r="Q78">
        <f t="shared" si="6"/>
        <v>14</v>
      </c>
      <c r="R78">
        <f t="shared" si="7"/>
        <v>19</v>
      </c>
      <c r="S78">
        <f t="shared" si="8"/>
        <v>30</v>
      </c>
      <c r="T78">
        <f t="shared" si="9"/>
        <v>21</v>
      </c>
      <c r="U78">
        <f t="shared" si="10"/>
        <v>14</v>
      </c>
      <c r="V78">
        <f t="shared" si="11"/>
        <v>2.333333333333333</v>
      </c>
    </row>
    <row r="79" spans="1:26" x14ac:dyDescent="0.3">
      <c r="B79">
        <v>82</v>
      </c>
      <c r="C79">
        <v>18</v>
      </c>
      <c r="D79">
        <v>21</v>
      </c>
      <c r="E79">
        <v>79</v>
      </c>
      <c r="G79">
        <v>72</v>
      </c>
      <c r="H79">
        <v>28</v>
      </c>
      <c r="I79">
        <v>9</v>
      </c>
      <c r="J79">
        <v>91</v>
      </c>
      <c r="L79">
        <v>79</v>
      </c>
      <c r="M79">
        <v>21</v>
      </c>
      <c r="N79">
        <v>21</v>
      </c>
      <c r="O79">
        <v>79</v>
      </c>
      <c r="Q79">
        <f t="shared" si="6"/>
        <v>19.5</v>
      </c>
      <c r="R79">
        <f t="shared" si="7"/>
        <v>18.5</v>
      </c>
      <c r="S79">
        <f t="shared" si="8"/>
        <v>21</v>
      </c>
      <c r="T79">
        <f t="shared" si="9"/>
        <v>19.666666666666668</v>
      </c>
      <c r="U79">
        <f t="shared" si="10"/>
        <v>18.5</v>
      </c>
      <c r="V79">
        <f t="shared" si="11"/>
        <v>0.38888888888888928</v>
      </c>
    </row>
    <row r="80" spans="1:26" x14ac:dyDescent="0.3">
      <c r="B80">
        <v>88</v>
      </c>
      <c r="C80">
        <v>12</v>
      </c>
      <c r="D80">
        <v>16</v>
      </c>
      <c r="E80">
        <v>84</v>
      </c>
      <c r="G80">
        <v>71</v>
      </c>
      <c r="H80">
        <v>29</v>
      </c>
      <c r="I80">
        <v>8</v>
      </c>
      <c r="J80">
        <v>92</v>
      </c>
      <c r="L80">
        <v>73</v>
      </c>
      <c r="M80">
        <v>27</v>
      </c>
      <c r="N80">
        <v>35</v>
      </c>
      <c r="O80">
        <v>65</v>
      </c>
      <c r="Q80">
        <f t="shared" si="6"/>
        <v>14</v>
      </c>
      <c r="R80">
        <f t="shared" si="7"/>
        <v>18.5</v>
      </c>
      <c r="S80">
        <f t="shared" si="8"/>
        <v>31</v>
      </c>
      <c r="T80">
        <f t="shared" si="9"/>
        <v>21.166666666666668</v>
      </c>
      <c r="U80">
        <f t="shared" si="10"/>
        <v>14</v>
      </c>
      <c r="V80">
        <f t="shared" si="11"/>
        <v>2.3888888888888893</v>
      </c>
    </row>
    <row r="82" spans="1:26" x14ac:dyDescent="0.3">
      <c r="A82" t="s">
        <v>37</v>
      </c>
      <c r="F82" t="s">
        <v>28</v>
      </c>
      <c r="K82" t="s">
        <v>29</v>
      </c>
    </row>
    <row r="83" spans="1:26" x14ac:dyDescent="0.3">
      <c r="B83">
        <v>90</v>
      </c>
      <c r="C83">
        <v>10</v>
      </c>
      <c r="D83">
        <v>20</v>
      </c>
      <c r="E83">
        <v>80</v>
      </c>
      <c r="G83">
        <v>76</v>
      </c>
      <c r="H83">
        <v>24</v>
      </c>
      <c r="I83">
        <v>8</v>
      </c>
      <c r="J83">
        <v>92</v>
      </c>
      <c r="L83">
        <v>60</v>
      </c>
      <c r="M83">
        <v>40</v>
      </c>
      <c r="N83">
        <v>18</v>
      </c>
      <c r="O83">
        <v>82</v>
      </c>
      <c r="Q83">
        <f t="shared" si="6"/>
        <v>15</v>
      </c>
      <c r="R83">
        <f t="shared" si="7"/>
        <v>16</v>
      </c>
      <c r="S83">
        <f t="shared" si="8"/>
        <v>29</v>
      </c>
      <c r="T83">
        <f t="shared" si="9"/>
        <v>20</v>
      </c>
      <c r="U83">
        <f t="shared" si="10"/>
        <v>15</v>
      </c>
      <c r="V83">
        <f t="shared" si="11"/>
        <v>1.6666666666666665</v>
      </c>
      <c r="W83">
        <f>AVERAGE(T83:T88)</f>
        <v>21.222222222222221</v>
      </c>
      <c r="X83">
        <f>_xlfn.STDEV.S(T83:T88)</f>
        <v>1.5190152755674997</v>
      </c>
      <c r="Y83">
        <f>AVERAGE(V83:V88)</f>
        <v>1.8240740740740737</v>
      </c>
      <c r="Z83">
        <f>_xlfn.STDEV.S(V83:V88)</f>
        <v>0.58522620578213735</v>
      </c>
    </row>
    <row r="84" spans="1:26" x14ac:dyDescent="0.3">
      <c r="B84">
        <v>83</v>
      </c>
      <c r="C84">
        <v>17</v>
      </c>
      <c r="D84">
        <v>13</v>
      </c>
      <c r="E84">
        <v>87</v>
      </c>
      <c r="G84">
        <v>77</v>
      </c>
      <c r="H84">
        <v>23</v>
      </c>
      <c r="I84">
        <v>9</v>
      </c>
      <c r="J84">
        <v>91</v>
      </c>
      <c r="L84">
        <v>71</v>
      </c>
      <c r="M84">
        <v>29</v>
      </c>
      <c r="N84">
        <v>26</v>
      </c>
      <c r="O84">
        <v>74</v>
      </c>
      <c r="Q84">
        <f t="shared" si="6"/>
        <v>15</v>
      </c>
      <c r="R84">
        <f t="shared" si="7"/>
        <v>16</v>
      </c>
      <c r="S84">
        <f t="shared" si="8"/>
        <v>27.5</v>
      </c>
      <c r="T84">
        <f t="shared" si="9"/>
        <v>19.5</v>
      </c>
      <c r="U84">
        <f t="shared" si="10"/>
        <v>15</v>
      </c>
      <c r="V84">
        <f t="shared" si="11"/>
        <v>1.5</v>
      </c>
    </row>
    <row r="85" spans="1:26" x14ac:dyDescent="0.3">
      <c r="B85">
        <v>89</v>
      </c>
      <c r="C85">
        <v>11</v>
      </c>
      <c r="D85">
        <v>13</v>
      </c>
      <c r="E85">
        <v>87</v>
      </c>
      <c r="G85">
        <v>77</v>
      </c>
      <c r="H85">
        <v>23</v>
      </c>
      <c r="I85">
        <v>7</v>
      </c>
      <c r="J85">
        <v>93</v>
      </c>
      <c r="L85">
        <v>68</v>
      </c>
      <c r="M85">
        <v>32</v>
      </c>
      <c r="N85">
        <v>36</v>
      </c>
      <c r="O85">
        <v>64</v>
      </c>
      <c r="Q85">
        <f t="shared" si="6"/>
        <v>12</v>
      </c>
      <c r="R85">
        <f t="shared" si="7"/>
        <v>15</v>
      </c>
      <c r="S85">
        <f t="shared" si="8"/>
        <v>34</v>
      </c>
      <c r="T85">
        <f t="shared" si="9"/>
        <v>20.333333333333332</v>
      </c>
      <c r="U85">
        <f t="shared" si="10"/>
        <v>12</v>
      </c>
      <c r="V85">
        <f t="shared" si="11"/>
        <v>2.7777777777777772</v>
      </c>
    </row>
    <row r="86" spans="1:26" x14ac:dyDescent="0.3">
      <c r="B86">
        <v>93</v>
      </c>
      <c r="C86">
        <v>7</v>
      </c>
      <c r="D86">
        <v>32</v>
      </c>
      <c r="E86">
        <v>68</v>
      </c>
      <c r="G86">
        <v>77</v>
      </c>
      <c r="H86">
        <v>23</v>
      </c>
      <c r="I86">
        <v>11</v>
      </c>
      <c r="J86">
        <v>89</v>
      </c>
      <c r="L86">
        <v>71</v>
      </c>
      <c r="M86">
        <v>29</v>
      </c>
      <c r="N86">
        <v>38</v>
      </c>
      <c r="O86">
        <v>62</v>
      </c>
      <c r="Q86">
        <f t="shared" si="6"/>
        <v>19.5</v>
      </c>
      <c r="R86">
        <f t="shared" si="7"/>
        <v>17</v>
      </c>
      <c r="S86">
        <f t="shared" si="8"/>
        <v>33.5</v>
      </c>
      <c r="T86">
        <f t="shared" si="9"/>
        <v>23.333333333333332</v>
      </c>
      <c r="U86">
        <f t="shared" si="10"/>
        <v>17</v>
      </c>
      <c r="V86">
        <f t="shared" si="11"/>
        <v>2.1111111111111107</v>
      </c>
    </row>
    <row r="87" spans="1:26" x14ac:dyDescent="0.3">
      <c r="B87">
        <v>85</v>
      </c>
      <c r="C87">
        <v>15</v>
      </c>
      <c r="D87">
        <v>22</v>
      </c>
      <c r="E87">
        <v>78</v>
      </c>
      <c r="G87">
        <v>72</v>
      </c>
      <c r="H87">
        <v>28</v>
      </c>
      <c r="I87">
        <v>15</v>
      </c>
      <c r="J87">
        <v>85</v>
      </c>
      <c r="L87">
        <v>73</v>
      </c>
      <c r="M87">
        <v>27</v>
      </c>
      <c r="N87">
        <v>23</v>
      </c>
      <c r="O87">
        <v>77</v>
      </c>
      <c r="Q87">
        <f t="shared" si="6"/>
        <v>18.5</v>
      </c>
      <c r="R87">
        <f t="shared" si="7"/>
        <v>21.5</v>
      </c>
      <c r="S87">
        <f t="shared" si="8"/>
        <v>25</v>
      </c>
      <c r="T87">
        <f t="shared" si="9"/>
        <v>21.666666666666668</v>
      </c>
      <c r="U87">
        <f t="shared" si="10"/>
        <v>18.5</v>
      </c>
      <c r="V87">
        <f t="shared" si="11"/>
        <v>1.0555555555555558</v>
      </c>
    </row>
    <row r="88" spans="1:26" x14ac:dyDescent="0.3">
      <c r="B88">
        <v>88</v>
      </c>
      <c r="C88">
        <v>12</v>
      </c>
      <c r="D88">
        <v>22</v>
      </c>
      <c r="E88">
        <v>78</v>
      </c>
      <c r="G88">
        <v>69</v>
      </c>
      <c r="H88">
        <v>31</v>
      </c>
      <c r="I88">
        <v>4</v>
      </c>
      <c r="J88">
        <v>96</v>
      </c>
      <c r="L88">
        <v>61</v>
      </c>
      <c r="M88">
        <v>39</v>
      </c>
      <c r="N88">
        <v>27</v>
      </c>
      <c r="O88">
        <v>73</v>
      </c>
      <c r="Q88">
        <f t="shared" si="6"/>
        <v>17</v>
      </c>
      <c r="R88">
        <f t="shared" si="7"/>
        <v>17.5</v>
      </c>
      <c r="S88">
        <f t="shared" si="8"/>
        <v>33</v>
      </c>
      <c r="T88">
        <f t="shared" si="9"/>
        <v>22.5</v>
      </c>
      <c r="U88">
        <f t="shared" si="10"/>
        <v>17</v>
      </c>
      <c r="V88">
        <f t="shared" si="11"/>
        <v>1.8333333333333333</v>
      </c>
    </row>
    <row r="90" spans="1:26" x14ac:dyDescent="0.3">
      <c r="A90" t="s">
        <v>75</v>
      </c>
      <c r="F90" t="s">
        <v>28</v>
      </c>
      <c r="K90" t="s">
        <v>29</v>
      </c>
    </row>
    <row r="91" spans="1:26" x14ac:dyDescent="0.3">
      <c r="B91">
        <v>85</v>
      </c>
      <c r="C91">
        <v>15</v>
      </c>
      <c r="D91">
        <v>18</v>
      </c>
      <c r="E91">
        <v>82</v>
      </c>
      <c r="G91">
        <v>85</v>
      </c>
      <c r="H91">
        <v>15</v>
      </c>
      <c r="I91">
        <v>13</v>
      </c>
      <c r="J91">
        <v>87</v>
      </c>
      <c r="L91">
        <v>63</v>
      </c>
      <c r="M91">
        <v>37</v>
      </c>
      <c r="N91">
        <v>25</v>
      </c>
      <c r="O91">
        <v>75</v>
      </c>
      <c r="Q91">
        <f t="shared" si="6"/>
        <v>16.5</v>
      </c>
      <c r="R91">
        <f t="shared" si="7"/>
        <v>14</v>
      </c>
      <c r="S91">
        <f t="shared" si="8"/>
        <v>31</v>
      </c>
      <c r="T91">
        <f t="shared" si="9"/>
        <v>20.5</v>
      </c>
      <c r="U91">
        <f t="shared" si="10"/>
        <v>14</v>
      </c>
      <c r="V91">
        <f t="shared" si="11"/>
        <v>2.1666666666666665</v>
      </c>
      <c r="W91">
        <f>AVERAGE(T91:T99)</f>
        <v>19.740740740740744</v>
      </c>
      <c r="X91">
        <f>_xlfn.STDEV.S(T91:T99)</f>
        <v>1.7482354419510628</v>
      </c>
      <c r="Y91">
        <f>AVERAGE(V91:V99)</f>
        <v>1.8024691358024691</v>
      </c>
      <c r="Z91">
        <f>_xlfn.STDEV.S(V91:V99)</f>
        <v>0.36441978989174728</v>
      </c>
    </row>
    <row r="92" spans="1:26" x14ac:dyDescent="0.3">
      <c r="B92">
        <v>82</v>
      </c>
      <c r="C92">
        <v>18</v>
      </c>
      <c r="D92">
        <v>22</v>
      </c>
      <c r="E92">
        <v>78</v>
      </c>
      <c r="G92">
        <v>77</v>
      </c>
      <c r="H92">
        <v>23</v>
      </c>
      <c r="I92">
        <v>9</v>
      </c>
      <c r="J92">
        <v>91</v>
      </c>
      <c r="L92">
        <v>68</v>
      </c>
      <c r="M92">
        <v>32</v>
      </c>
      <c r="N92">
        <v>31</v>
      </c>
      <c r="O92">
        <v>69</v>
      </c>
      <c r="Q92">
        <f t="shared" si="6"/>
        <v>20</v>
      </c>
      <c r="R92">
        <f t="shared" si="7"/>
        <v>16</v>
      </c>
      <c r="S92">
        <f t="shared" si="8"/>
        <v>31.5</v>
      </c>
      <c r="T92">
        <f t="shared" si="9"/>
        <v>22.5</v>
      </c>
      <c r="U92">
        <f t="shared" si="10"/>
        <v>16</v>
      </c>
      <c r="V92">
        <f t="shared" si="11"/>
        <v>2.1666666666666665</v>
      </c>
    </row>
    <row r="93" spans="1:26" x14ac:dyDescent="0.3">
      <c r="B93">
        <v>84</v>
      </c>
      <c r="C93">
        <v>16</v>
      </c>
      <c r="D93">
        <v>15</v>
      </c>
      <c r="E93">
        <v>85</v>
      </c>
      <c r="G93">
        <v>73</v>
      </c>
      <c r="H93">
        <v>27</v>
      </c>
      <c r="I93">
        <v>8</v>
      </c>
      <c r="J93">
        <v>92</v>
      </c>
      <c r="L93">
        <v>70</v>
      </c>
      <c r="M93">
        <v>30</v>
      </c>
      <c r="N93">
        <v>23</v>
      </c>
      <c r="O93">
        <v>77</v>
      </c>
      <c r="Q93">
        <f t="shared" si="6"/>
        <v>15.5</v>
      </c>
      <c r="R93">
        <f t="shared" si="7"/>
        <v>17.5</v>
      </c>
      <c r="S93">
        <f t="shared" si="8"/>
        <v>26.5</v>
      </c>
      <c r="T93">
        <f t="shared" si="9"/>
        <v>19.833333333333332</v>
      </c>
      <c r="U93">
        <f t="shared" si="10"/>
        <v>15.5</v>
      </c>
      <c r="V93">
        <f t="shared" si="11"/>
        <v>1.444444444444444</v>
      </c>
    </row>
    <row r="94" spans="1:26" x14ac:dyDescent="0.3">
      <c r="B94">
        <v>93</v>
      </c>
      <c r="C94">
        <v>7</v>
      </c>
      <c r="D94">
        <v>18</v>
      </c>
      <c r="E94">
        <v>82</v>
      </c>
      <c r="G94">
        <v>71</v>
      </c>
      <c r="H94">
        <v>29</v>
      </c>
      <c r="I94">
        <v>6</v>
      </c>
      <c r="J94">
        <v>94</v>
      </c>
      <c r="L94">
        <v>75</v>
      </c>
      <c r="M94">
        <v>25</v>
      </c>
      <c r="N94">
        <v>23</v>
      </c>
      <c r="O94">
        <v>77</v>
      </c>
      <c r="Q94">
        <f t="shared" si="6"/>
        <v>12.5</v>
      </c>
      <c r="R94">
        <f t="shared" si="7"/>
        <v>17.5</v>
      </c>
      <c r="S94">
        <f t="shared" si="8"/>
        <v>24</v>
      </c>
      <c r="T94">
        <f t="shared" si="9"/>
        <v>18</v>
      </c>
      <c r="U94">
        <f t="shared" si="10"/>
        <v>12.5</v>
      </c>
      <c r="V94">
        <f t="shared" si="11"/>
        <v>1.8333333333333333</v>
      </c>
    </row>
    <row r="95" spans="1:26" x14ac:dyDescent="0.3">
      <c r="B95">
        <v>85</v>
      </c>
      <c r="C95">
        <v>15</v>
      </c>
      <c r="D95">
        <v>19</v>
      </c>
      <c r="E95">
        <v>81</v>
      </c>
      <c r="G95">
        <v>79</v>
      </c>
      <c r="H95">
        <v>21</v>
      </c>
      <c r="I95">
        <v>4</v>
      </c>
      <c r="J95">
        <v>96</v>
      </c>
      <c r="L95">
        <v>75</v>
      </c>
      <c r="M95">
        <v>25</v>
      </c>
      <c r="N95">
        <v>20</v>
      </c>
      <c r="O95">
        <v>80</v>
      </c>
      <c r="Q95">
        <f t="shared" si="6"/>
        <v>17</v>
      </c>
      <c r="R95">
        <f t="shared" si="7"/>
        <v>12.5</v>
      </c>
      <c r="S95">
        <f t="shared" si="8"/>
        <v>22.5</v>
      </c>
      <c r="T95">
        <f t="shared" si="9"/>
        <v>17.333333333333332</v>
      </c>
      <c r="U95">
        <f t="shared" si="10"/>
        <v>12.5</v>
      </c>
      <c r="V95">
        <f t="shared" si="11"/>
        <v>1.6111111111111107</v>
      </c>
    </row>
    <row r="96" spans="1:26" x14ac:dyDescent="0.3">
      <c r="B96">
        <v>87</v>
      </c>
      <c r="C96">
        <v>13</v>
      </c>
      <c r="D96">
        <v>16</v>
      </c>
      <c r="E96">
        <v>84</v>
      </c>
      <c r="G96">
        <v>70</v>
      </c>
      <c r="H96">
        <v>30</v>
      </c>
      <c r="I96">
        <v>10</v>
      </c>
      <c r="J96">
        <v>90</v>
      </c>
      <c r="L96">
        <v>64</v>
      </c>
      <c r="M96">
        <v>36</v>
      </c>
      <c r="N96">
        <v>20</v>
      </c>
      <c r="O96">
        <v>80</v>
      </c>
      <c r="Q96">
        <f t="shared" si="6"/>
        <v>14.5</v>
      </c>
      <c r="R96">
        <f t="shared" si="7"/>
        <v>20</v>
      </c>
      <c r="S96">
        <f t="shared" si="8"/>
        <v>28</v>
      </c>
      <c r="T96">
        <f t="shared" si="9"/>
        <v>20.833333333333332</v>
      </c>
      <c r="U96">
        <f t="shared" si="10"/>
        <v>14.5</v>
      </c>
      <c r="V96">
        <f t="shared" si="11"/>
        <v>2.1111111111111107</v>
      </c>
    </row>
    <row r="97" spans="2:22" x14ac:dyDescent="0.3">
      <c r="B97">
        <v>84</v>
      </c>
      <c r="C97">
        <v>16</v>
      </c>
      <c r="D97">
        <v>19</v>
      </c>
      <c r="E97">
        <v>81</v>
      </c>
      <c r="G97">
        <v>74</v>
      </c>
      <c r="H97">
        <v>26</v>
      </c>
      <c r="I97">
        <v>6</v>
      </c>
      <c r="J97">
        <v>94</v>
      </c>
      <c r="L97">
        <v>68</v>
      </c>
      <c r="M97">
        <v>32</v>
      </c>
      <c r="N97">
        <v>18</v>
      </c>
      <c r="O97">
        <v>82</v>
      </c>
      <c r="Q97">
        <f t="shared" si="6"/>
        <v>17.5</v>
      </c>
      <c r="R97">
        <f t="shared" si="7"/>
        <v>16</v>
      </c>
      <c r="S97">
        <f t="shared" si="8"/>
        <v>25</v>
      </c>
      <c r="T97">
        <f t="shared" si="9"/>
        <v>19.5</v>
      </c>
      <c r="U97">
        <f t="shared" si="10"/>
        <v>16</v>
      </c>
      <c r="V97">
        <f t="shared" si="11"/>
        <v>1.1666666666666665</v>
      </c>
    </row>
    <row r="98" spans="2:22" x14ac:dyDescent="0.3">
      <c r="B98">
        <v>89</v>
      </c>
      <c r="C98">
        <v>11</v>
      </c>
      <c r="D98">
        <v>12</v>
      </c>
      <c r="E98">
        <v>88</v>
      </c>
      <c r="G98">
        <v>78</v>
      </c>
      <c r="H98">
        <v>22</v>
      </c>
      <c r="I98">
        <v>6</v>
      </c>
      <c r="J98">
        <v>94</v>
      </c>
      <c r="L98">
        <v>55</v>
      </c>
      <c r="M98">
        <v>45</v>
      </c>
      <c r="N98">
        <v>11</v>
      </c>
      <c r="O98">
        <v>89</v>
      </c>
      <c r="Q98">
        <f t="shared" si="6"/>
        <v>11.5</v>
      </c>
      <c r="R98">
        <f t="shared" si="7"/>
        <v>14</v>
      </c>
      <c r="S98">
        <f t="shared" si="8"/>
        <v>28</v>
      </c>
      <c r="T98">
        <f t="shared" si="9"/>
        <v>17.833333333333332</v>
      </c>
      <c r="U98">
        <f t="shared" si="10"/>
        <v>11.5</v>
      </c>
      <c r="V98">
        <f t="shared" si="11"/>
        <v>2.1111111111111107</v>
      </c>
    </row>
    <row r="99" spans="2:22" x14ac:dyDescent="0.3">
      <c r="B99">
        <v>87</v>
      </c>
      <c r="C99">
        <v>13</v>
      </c>
      <c r="D99">
        <v>20</v>
      </c>
      <c r="E99">
        <v>80</v>
      </c>
      <c r="G99">
        <v>73</v>
      </c>
      <c r="H99">
        <v>27</v>
      </c>
      <c r="I99">
        <v>11</v>
      </c>
      <c r="J99">
        <v>89</v>
      </c>
      <c r="L99">
        <v>75</v>
      </c>
      <c r="M99">
        <v>25</v>
      </c>
      <c r="N99">
        <v>32</v>
      </c>
      <c r="O99">
        <v>68</v>
      </c>
      <c r="Q99">
        <f t="shared" si="6"/>
        <v>16.5</v>
      </c>
      <c r="R99">
        <f t="shared" si="7"/>
        <v>19</v>
      </c>
      <c r="S99">
        <f t="shared" si="8"/>
        <v>28.5</v>
      </c>
      <c r="T99">
        <f t="shared" si="9"/>
        <v>21.333333333333332</v>
      </c>
      <c r="U99">
        <f t="shared" si="10"/>
        <v>16.5</v>
      </c>
      <c r="V99">
        <f t="shared" si="11"/>
        <v>1.6111111111111107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N1" sqref="A1:XFD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27</v>
      </c>
      <c r="F1" t="s">
        <v>28</v>
      </c>
      <c r="K1" t="s">
        <v>29</v>
      </c>
      <c r="R1" t="s">
        <v>16</v>
      </c>
      <c r="S1" t="s">
        <v>17</v>
      </c>
      <c r="T1" t="s">
        <v>18</v>
      </c>
      <c r="U1" t="s">
        <v>20</v>
      </c>
      <c r="V1" t="s">
        <v>68</v>
      </c>
      <c r="W1" t="s">
        <v>58</v>
      </c>
      <c r="X1" t="s">
        <v>69</v>
      </c>
      <c r="Y1" t="s">
        <v>59</v>
      </c>
      <c r="Z1" t="s">
        <v>70</v>
      </c>
      <c r="AA1" t="s">
        <v>60</v>
      </c>
      <c r="AB1" t="s">
        <v>2</v>
      </c>
      <c r="AC1" t="s">
        <v>21</v>
      </c>
      <c r="AD1" t="s">
        <v>22</v>
      </c>
      <c r="AE1" t="s">
        <v>19</v>
      </c>
      <c r="AF1" t="s">
        <v>23</v>
      </c>
      <c r="AG1" t="s">
        <v>24</v>
      </c>
    </row>
    <row r="2" spans="1:33" x14ac:dyDescent="0.3">
      <c r="B2">
        <v>85</v>
      </c>
      <c r="C2">
        <v>15</v>
      </c>
      <c r="D2">
        <v>16</v>
      </c>
      <c r="E2">
        <v>84</v>
      </c>
      <c r="G2">
        <v>73</v>
      </c>
      <c r="H2">
        <v>27</v>
      </c>
      <c r="I2">
        <v>2</v>
      </c>
      <c r="J2">
        <v>98</v>
      </c>
      <c r="L2">
        <v>58</v>
      </c>
      <c r="M2">
        <v>42</v>
      </c>
      <c r="N2">
        <v>35</v>
      </c>
      <c r="O2">
        <v>65</v>
      </c>
      <c r="R2">
        <f>AVERAGE(C2:D2)</f>
        <v>15.5</v>
      </c>
      <c r="S2">
        <f>AVERAGE(H2,I2)</f>
        <v>14.5</v>
      </c>
      <c r="T2">
        <f>AVERAGE(M2:N2)</f>
        <v>38.5</v>
      </c>
      <c r="U2">
        <f>AVERAGE(R2:T2)</f>
        <v>22.833333333333332</v>
      </c>
      <c r="V2">
        <f>AVERAGE(R2:R34)</f>
        <v>15.075757575757576</v>
      </c>
      <c r="W2">
        <f>_xlfn.STDEV.S(R2:R34)</f>
        <v>3.6467477208320758</v>
      </c>
      <c r="X2">
        <f>AVERAGE(S2:S34)</f>
        <v>18.363636363636363</v>
      </c>
      <c r="Y2">
        <f>_xlfn.STDEV.S(S2:S34)</f>
        <v>2.574735202624995</v>
      </c>
      <c r="Z2">
        <f>AVERAGE(T2:T34)</f>
        <v>29.90909090909091</v>
      </c>
      <c r="AA2">
        <f>_xlfn.STDEV.S(T2:T34)</f>
        <v>3.685814329660035</v>
      </c>
      <c r="AB2">
        <f>AVERAGE(U2:U34)</f>
        <v>21.116161616161612</v>
      </c>
      <c r="AC2">
        <f>_xlfn.STDEV.S(U2:U34)</f>
        <v>2.1276473903136339</v>
      </c>
      <c r="AD2">
        <f>MIN(R2:T2)</f>
        <v>14.5</v>
      </c>
      <c r="AE2">
        <f>(1/3)*(U2-AD2)</f>
        <v>2.7777777777777772</v>
      </c>
      <c r="AF2">
        <f>AVERAGE(AE2:AE34)</f>
        <v>2.265993265993266</v>
      </c>
      <c r="AG2">
        <f>_xlfn.STDEV.S(AE2:AE34)</f>
        <v>0.54711603167310885</v>
      </c>
    </row>
    <row r="3" spans="1:33" x14ac:dyDescent="0.3">
      <c r="B3">
        <v>88</v>
      </c>
      <c r="C3">
        <v>12</v>
      </c>
      <c r="D3">
        <v>18</v>
      </c>
      <c r="E3">
        <v>82</v>
      </c>
      <c r="G3">
        <v>67</v>
      </c>
      <c r="H3">
        <v>33</v>
      </c>
      <c r="I3">
        <v>6</v>
      </c>
      <c r="J3">
        <v>94</v>
      </c>
      <c r="L3">
        <v>64</v>
      </c>
      <c r="M3">
        <v>36</v>
      </c>
      <c r="N3">
        <v>20</v>
      </c>
      <c r="O3">
        <v>80</v>
      </c>
      <c r="R3">
        <f t="shared" ref="R3:R34" si="0">AVERAGE(C3:D3)</f>
        <v>15</v>
      </c>
      <c r="S3">
        <f t="shared" ref="S3:S34" si="1">AVERAGE(H3,I3)</f>
        <v>19.5</v>
      </c>
      <c r="T3">
        <f t="shared" ref="T3:T34" si="2">AVERAGE(M3:N3)</f>
        <v>28</v>
      </c>
      <c r="U3">
        <f t="shared" ref="U3:U34" si="3">AVERAGE(R3:T3)</f>
        <v>20.833333333333332</v>
      </c>
      <c r="AD3">
        <f t="shared" ref="AD3:AD34" si="4">MIN(R3:T3)</f>
        <v>15</v>
      </c>
      <c r="AE3">
        <f t="shared" ref="AE3:AE34" si="5">(1/3)*(U3-AD3)</f>
        <v>1.944444444444444</v>
      </c>
    </row>
    <row r="4" spans="1:33" x14ac:dyDescent="0.3">
      <c r="B4">
        <v>92</v>
      </c>
      <c r="C4">
        <v>8</v>
      </c>
      <c r="D4">
        <v>12</v>
      </c>
      <c r="E4">
        <v>88</v>
      </c>
      <c r="G4">
        <v>69</v>
      </c>
      <c r="H4">
        <v>31</v>
      </c>
      <c r="I4">
        <v>12</v>
      </c>
      <c r="J4">
        <v>88</v>
      </c>
      <c r="L4">
        <v>68</v>
      </c>
      <c r="M4">
        <v>32</v>
      </c>
      <c r="N4">
        <v>27</v>
      </c>
      <c r="O4">
        <v>73</v>
      </c>
      <c r="R4">
        <f t="shared" si="0"/>
        <v>10</v>
      </c>
      <c r="S4">
        <f t="shared" si="1"/>
        <v>21.5</v>
      </c>
      <c r="T4">
        <f t="shared" si="2"/>
        <v>29.5</v>
      </c>
      <c r="U4">
        <f t="shared" si="3"/>
        <v>20.333333333333332</v>
      </c>
      <c r="AD4">
        <f t="shared" si="4"/>
        <v>10</v>
      </c>
      <c r="AE4">
        <f t="shared" si="5"/>
        <v>3.4444444444444438</v>
      </c>
    </row>
    <row r="5" spans="1:33" x14ac:dyDescent="0.3">
      <c r="B5">
        <v>88</v>
      </c>
      <c r="C5">
        <v>12</v>
      </c>
      <c r="D5">
        <v>8</v>
      </c>
      <c r="E5">
        <v>92</v>
      </c>
      <c r="G5">
        <v>70</v>
      </c>
      <c r="H5">
        <v>30</v>
      </c>
      <c r="I5">
        <v>3</v>
      </c>
      <c r="J5">
        <v>97</v>
      </c>
      <c r="L5">
        <v>59</v>
      </c>
      <c r="M5">
        <v>41</v>
      </c>
      <c r="N5">
        <v>18</v>
      </c>
      <c r="O5">
        <v>82</v>
      </c>
      <c r="R5">
        <f t="shared" si="0"/>
        <v>10</v>
      </c>
      <c r="S5">
        <f t="shared" si="1"/>
        <v>16.5</v>
      </c>
      <c r="T5">
        <f t="shared" si="2"/>
        <v>29.5</v>
      </c>
      <c r="U5">
        <f t="shared" si="3"/>
        <v>18.666666666666668</v>
      </c>
      <c r="AD5">
        <f t="shared" si="4"/>
        <v>10</v>
      </c>
      <c r="AE5">
        <f t="shared" si="5"/>
        <v>2.8888888888888893</v>
      </c>
    </row>
    <row r="6" spans="1:33" x14ac:dyDescent="0.3">
      <c r="B6">
        <v>91</v>
      </c>
      <c r="C6">
        <v>9</v>
      </c>
      <c r="D6">
        <v>21</v>
      </c>
      <c r="E6">
        <v>79</v>
      </c>
      <c r="G6">
        <v>70</v>
      </c>
      <c r="H6">
        <v>30</v>
      </c>
      <c r="I6">
        <v>5</v>
      </c>
      <c r="J6">
        <v>95</v>
      </c>
      <c r="L6">
        <v>59</v>
      </c>
      <c r="M6">
        <v>41</v>
      </c>
      <c r="N6">
        <v>17</v>
      </c>
      <c r="O6">
        <v>83</v>
      </c>
      <c r="R6">
        <f t="shared" si="0"/>
        <v>15</v>
      </c>
      <c r="S6">
        <f t="shared" si="1"/>
        <v>17.5</v>
      </c>
      <c r="T6">
        <f t="shared" si="2"/>
        <v>29</v>
      </c>
      <c r="U6">
        <f t="shared" si="3"/>
        <v>20.5</v>
      </c>
      <c r="AD6">
        <f t="shared" si="4"/>
        <v>15</v>
      </c>
      <c r="AE6">
        <f t="shared" si="5"/>
        <v>1.8333333333333333</v>
      </c>
    </row>
    <row r="7" spans="1:33" x14ac:dyDescent="0.3">
      <c r="B7">
        <v>90</v>
      </c>
      <c r="C7">
        <v>10</v>
      </c>
      <c r="D7">
        <v>19</v>
      </c>
      <c r="E7">
        <v>81</v>
      </c>
      <c r="G7">
        <v>66</v>
      </c>
      <c r="H7">
        <v>34</v>
      </c>
      <c r="I7">
        <v>2</v>
      </c>
      <c r="J7">
        <v>98</v>
      </c>
      <c r="L7">
        <v>60</v>
      </c>
      <c r="M7">
        <v>40</v>
      </c>
      <c r="N7">
        <v>16</v>
      </c>
      <c r="O7">
        <v>84</v>
      </c>
      <c r="R7">
        <f t="shared" si="0"/>
        <v>14.5</v>
      </c>
      <c r="S7">
        <f t="shared" si="1"/>
        <v>18</v>
      </c>
      <c r="T7">
        <f t="shared" si="2"/>
        <v>28</v>
      </c>
      <c r="U7">
        <f t="shared" si="3"/>
        <v>20.166666666666668</v>
      </c>
      <c r="AD7">
        <f t="shared" si="4"/>
        <v>14.5</v>
      </c>
      <c r="AE7">
        <f t="shared" si="5"/>
        <v>1.8888888888888893</v>
      </c>
    </row>
    <row r="8" spans="1:33" x14ac:dyDescent="0.3">
      <c r="B8">
        <v>79</v>
      </c>
      <c r="C8">
        <v>21</v>
      </c>
      <c r="D8">
        <v>16</v>
      </c>
      <c r="E8">
        <v>84</v>
      </c>
      <c r="G8">
        <v>71</v>
      </c>
      <c r="H8">
        <v>29</v>
      </c>
      <c r="I8">
        <v>6</v>
      </c>
      <c r="J8">
        <v>94</v>
      </c>
      <c r="L8">
        <v>54</v>
      </c>
      <c r="M8">
        <v>46</v>
      </c>
      <c r="N8">
        <v>20</v>
      </c>
      <c r="O8">
        <v>80</v>
      </c>
      <c r="R8">
        <f t="shared" si="0"/>
        <v>18.5</v>
      </c>
      <c r="S8">
        <f t="shared" si="1"/>
        <v>17.5</v>
      </c>
      <c r="T8">
        <f t="shared" si="2"/>
        <v>33</v>
      </c>
      <c r="U8">
        <f t="shared" si="3"/>
        <v>23</v>
      </c>
      <c r="AD8">
        <f t="shared" si="4"/>
        <v>17.5</v>
      </c>
      <c r="AE8">
        <f t="shared" si="5"/>
        <v>1.8333333333333333</v>
      </c>
    </row>
    <row r="9" spans="1:33" x14ac:dyDescent="0.3">
      <c r="B9">
        <v>93</v>
      </c>
      <c r="C9">
        <v>7</v>
      </c>
      <c r="D9">
        <v>20</v>
      </c>
      <c r="E9">
        <v>80</v>
      </c>
      <c r="G9">
        <v>66</v>
      </c>
      <c r="H9">
        <v>34</v>
      </c>
      <c r="I9">
        <v>9</v>
      </c>
      <c r="J9">
        <v>91</v>
      </c>
      <c r="L9">
        <v>67</v>
      </c>
      <c r="M9">
        <v>33</v>
      </c>
      <c r="N9">
        <v>25</v>
      </c>
      <c r="O9">
        <v>75</v>
      </c>
      <c r="R9">
        <f t="shared" si="0"/>
        <v>13.5</v>
      </c>
      <c r="S9">
        <f t="shared" si="1"/>
        <v>21.5</v>
      </c>
      <c r="T9">
        <f t="shared" si="2"/>
        <v>29</v>
      </c>
      <c r="U9">
        <f t="shared" si="3"/>
        <v>21.333333333333332</v>
      </c>
      <c r="AD9">
        <f t="shared" si="4"/>
        <v>13.5</v>
      </c>
      <c r="AE9">
        <f t="shared" si="5"/>
        <v>2.6111111111111107</v>
      </c>
    </row>
    <row r="10" spans="1:33" x14ac:dyDescent="0.3">
      <c r="B10">
        <v>84</v>
      </c>
      <c r="C10">
        <v>16</v>
      </c>
      <c r="D10">
        <v>17</v>
      </c>
      <c r="E10">
        <v>83</v>
      </c>
      <c r="G10">
        <v>62</v>
      </c>
      <c r="H10">
        <v>38</v>
      </c>
      <c r="I10">
        <v>3</v>
      </c>
      <c r="J10">
        <v>97</v>
      </c>
      <c r="L10">
        <v>67</v>
      </c>
      <c r="M10">
        <v>33</v>
      </c>
      <c r="N10">
        <v>25</v>
      </c>
      <c r="O10">
        <v>75</v>
      </c>
      <c r="R10">
        <f t="shared" si="0"/>
        <v>16.5</v>
      </c>
      <c r="S10">
        <f t="shared" si="1"/>
        <v>20.5</v>
      </c>
      <c r="T10">
        <f t="shared" si="2"/>
        <v>29</v>
      </c>
      <c r="U10">
        <f t="shared" si="3"/>
        <v>22</v>
      </c>
      <c r="AD10">
        <f t="shared" si="4"/>
        <v>16.5</v>
      </c>
      <c r="AE10">
        <f t="shared" si="5"/>
        <v>1.8333333333333333</v>
      </c>
    </row>
    <row r="11" spans="1:33" x14ac:dyDescent="0.3">
      <c r="B11">
        <v>85</v>
      </c>
      <c r="C11">
        <v>15</v>
      </c>
      <c r="D11">
        <v>16</v>
      </c>
      <c r="E11">
        <v>84</v>
      </c>
      <c r="G11">
        <v>69</v>
      </c>
      <c r="H11">
        <v>31</v>
      </c>
      <c r="I11">
        <v>10</v>
      </c>
      <c r="J11">
        <v>90</v>
      </c>
      <c r="L11">
        <v>55</v>
      </c>
      <c r="M11">
        <v>45</v>
      </c>
      <c r="N11">
        <v>8</v>
      </c>
      <c r="O11">
        <v>92</v>
      </c>
      <c r="R11">
        <f t="shared" si="0"/>
        <v>15.5</v>
      </c>
      <c r="S11">
        <f t="shared" si="1"/>
        <v>20.5</v>
      </c>
      <c r="T11">
        <f t="shared" si="2"/>
        <v>26.5</v>
      </c>
      <c r="U11">
        <f t="shared" si="3"/>
        <v>20.833333333333332</v>
      </c>
      <c r="AD11">
        <f t="shared" si="4"/>
        <v>15.5</v>
      </c>
      <c r="AE11">
        <f t="shared" si="5"/>
        <v>1.7777777777777772</v>
      </c>
    </row>
    <row r="12" spans="1:33" x14ac:dyDescent="0.3">
      <c r="B12">
        <v>87</v>
      </c>
      <c r="C12">
        <v>13</v>
      </c>
      <c r="D12">
        <v>13</v>
      </c>
      <c r="E12">
        <v>87</v>
      </c>
      <c r="G12">
        <v>80</v>
      </c>
      <c r="H12">
        <v>20</v>
      </c>
      <c r="I12">
        <v>6</v>
      </c>
      <c r="J12">
        <v>94</v>
      </c>
      <c r="L12">
        <v>66</v>
      </c>
      <c r="M12">
        <v>34</v>
      </c>
      <c r="N12">
        <v>20</v>
      </c>
      <c r="O12">
        <v>80</v>
      </c>
      <c r="R12">
        <f t="shared" si="0"/>
        <v>13</v>
      </c>
      <c r="S12">
        <f t="shared" si="1"/>
        <v>13</v>
      </c>
      <c r="T12">
        <f t="shared" si="2"/>
        <v>27</v>
      </c>
      <c r="U12">
        <f t="shared" si="3"/>
        <v>17.666666666666668</v>
      </c>
      <c r="AD12">
        <f t="shared" si="4"/>
        <v>13</v>
      </c>
      <c r="AE12">
        <f t="shared" si="5"/>
        <v>1.5555555555555558</v>
      </c>
    </row>
    <row r="13" spans="1:33" x14ac:dyDescent="0.3">
      <c r="B13">
        <v>92</v>
      </c>
      <c r="C13">
        <v>8</v>
      </c>
      <c r="D13">
        <v>14</v>
      </c>
      <c r="E13">
        <v>86</v>
      </c>
      <c r="G13">
        <v>75</v>
      </c>
      <c r="H13">
        <v>25</v>
      </c>
      <c r="I13">
        <v>9</v>
      </c>
      <c r="J13">
        <v>91</v>
      </c>
      <c r="L13">
        <v>68</v>
      </c>
      <c r="M13">
        <v>32</v>
      </c>
      <c r="N13">
        <v>23</v>
      </c>
      <c r="O13">
        <v>77</v>
      </c>
      <c r="R13">
        <f t="shared" si="0"/>
        <v>11</v>
      </c>
      <c r="S13">
        <f t="shared" si="1"/>
        <v>17</v>
      </c>
      <c r="T13">
        <f t="shared" si="2"/>
        <v>27.5</v>
      </c>
      <c r="U13">
        <f t="shared" si="3"/>
        <v>18.5</v>
      </c>
      <c r="AD13">
        <f t="shared" si="4"/>
        <v>11</v>
      </c>
      <c r="AE13">
        <f t="shared" si="5"/>
        <v>2.5</v>
      </c>
    </row>
    <row r="14" spans="1:33" x14ac:dyDescent="0.3">
      <c r="B14">
        <v>86</v>
      </c>
      <c r="C14">
        <v>14</v>
      </c>
      <c r="D14">
        <v>19</v>
      </c>
      <c r="E14">
        <v>81</v>
      </c>
      <c r="G14">
        <v>63</v>
      </c>
      <c r="H14">
        <v>37</v>
      </c>
      <c r="I14">
        <v>6</v>
      </c>
      <c r="J14">
        <v>94</v>
      </c>
      <c r="L14">
        <v>69</v>
      </c>
      <c r="M14">
        <v>31</v>
      </c>
      <c r="N14">
        <v>29</v>
      </c>
      <c r="O14">
        <v>71</v>
      </c>
      <c r="R14">
        <f t="shared" si="0"/>
        <v>16.5</v>
      </c>
      <c r="S14">
        <f t="shared" si="1"/>
        <v>21.5</v>
      </c>
      <c r="T14">
        <f t="shared" si="2"/>
        <v>30</v>
      </c>
      <c r="U14">
        <f t="shared" si="3"/>
        <v>22.666666666666668</v>
      </c>
      <c r="AD14">
        <f t="shared" si="4"/>
        <v>16.5</v>
      </c>
      <c r="AE14">
        <f t="shared" si="5"/>
        <v>2.0555555555555558</v>
      </c>
    </row>
    <row r="15" spans="1:33" x14ac:dyDescent="0.3">
      <c r="B15">
        <v>89</v>
      </c>
      <c r="C15">
        <v>11</v>
      </c>
      <c r="D15">
        <v>11</v>
      </c>
      <c r="E15">
        <v>89</v>
      </c>
      <c r="G15">
        <v>69</v>
      </c>
      <c r="H15">
        <v>31</v>
      </c>
      <c r="I15">
        <v>7</v>
      </c>
      <c r="J15">
        <v>93</v>
      </c>
      <c r="L15">
        <v>69</v>
      </c>
      <c r="M15">
        <v>31</v>
      </c>
      <c r="N15">
        <v>19</v>
      </c>
      <c r="O15">
        <v>81</v>
      </c>
      <c r="R15">
        <f t="shared" si="0"/>
        <v>11</v>
      </c>
      <c r="S15">
        <f t="shared" si="1"/>
        <v>19</v>
      </c>
      <c r="T15">
        <f t="shared" si="2"/>
        <v>25</v>
      </c>
      <c r="U15">
        <f t="shared" si="3"/>
        <v>18.333333333333332</v>
      </c>
      <c r="AD15">
        <f t="shared" si="4"/>
        <v>11</v>
      </c>
      <c r="AE15">
        <f t="shared" si="5"/>
        <v>2.4444444444444438</v>
      </c>
    </row>
    <row r="16" spans="1:33" x14ac:dyDescent="0.3">
      <c r="B16">
        <v>81</v>
      </c>
      <c r="C16">
        <v>19</v>
      </c>
      <c r="D16">
        <v>14</v>
      </c>
      <c r="E16">
        <v>86</v>
      </c>
      <c r="G16">
        <v>67</v>
      </c>
      <c r="H16">
        <v>33</v>
      </c>
      <c r="I16">
        <v>9</v>
      </c>
      <c r="J16">
        <v>91</v>
      </c>
      <c r="L16">
        <v>58</v>
      </c>
      <c r="M16">
        <v>42</v>
      </c>
      <c r="N16">
        <v>17</v>
      </c>
      <c r="O16">
        <v>83</v>
      </c>
      <c r="R16">
        <f t="shared" si="0"/>
        <v>16.5</v>
      </c>
      <c r="S16">
        <f t="shared" si="1"/>
        <v>21</v>
      </c>
      <c r="T16">
        <f t="shared" si="2"/>
        <v>29.5</v>
      </c>
      <c r="U16">
        <f t="shared" si="3"/>
        <v>22.333333333333332</v>
      </c>
      <c r="AD16">
        <f t="shared" si="4"/>
        <v>16.5</v>
      </c>
      <c r="AE16">
        <f t="shared" si="5"/>
        <v>1.944444444444444</v>
      </c>
    </row>
    <row r="17" spans="2:31" x14ac:dyDescent="0.3">
      <c r="B17">
        <v>91</v>
      </c>
      <c r="C17">
        <v>9</v>
      </c>
      <c r="D17">
        <v>19</v>
      </c>
      <c r="E17">
        <v>81</v>
      </c>
      <c r="G17">
        <v>77</v>
      </c>
      <c r="H17">
        <v>23</v>
      </c>
      <c r="I17">
        <v>10</v>
      </c>
      <c r="J17">
        <v>90</v>
      </c>
      <c r="L17">
        <v>64</v>
      </c>
      <c r="M17">
        <v>36</v>
      </c>
      <c r="N17">
        <v>25</v>
      </c>
      <c r="O17">
        <v>75</v>
      </c>
      <c r="R17">
        <f t="shared" si="0"/>
        <v>14</v>
      </c>
      <c r="S17">
        <f t="shared" si="1"/>
        <v>16.5</v>
      </c>
      <c r="T17">
        <f t="shared" si="2"/>
        <v>30.5</v>
      </c>
      <c r="U17">
        <f t="shared" si="3"/>
        <v>20.333333333333332</v>
      </c>
      <c r="AD17">
        <f t="shared" si="4"/>
        <v>14</v>
      </c>
      <c r="AE17">
        <f t="shared" si="5"/>
        <v>2.1111111111111107</v>
      </c>
    </row>
    <row r="18" spans="2:31" x14ac:dyDescent="0.3">
      <c r="B18">
        <v>84</v>
      </c>
      <c r="C18">
        <v>16</v>
      </c>
      <c r="D18">
        <v>19</v>
      </c>
      <c r="E18">
        <v>81</v>
      </c>
      <c r="G18">
        <v>64</v>
      </c>
      <c r="H18">
        <v>36</v>
      </c>
      <c r="I18">
        <v>10</v>
      </c>
      <c r="J18">
        <v>90</v>
      </c>
      <c r="L18">
        <v>62</v>
      </c>
      <c r="M18">
        <v>38</v>
      </c>
      <c r="N18">
        <v>33</v>
      </c>
      <c r="O18">
        <v>67</v>
      </c>
      <c r="R18">
        <f t="shared" si="0"/>
        <v>17.5</v>
      </c>
      <c r="S18">
        <f t="shared" si="1"/>
        <v>23</v>
      </c>
      <c r="T18">
        <f t="shared" si="2"/>
        <v>35.5</v>
      </c>
      <c r="U18">
        <f t="shared" si="3"/>
        <v>25.333333333333332</v>
      </c>
      <c r="AD18">
        <f t="shared" si="4"/>
        <v>17.5</v>
      </c>
      <c r="AE18">
        <f t="shared" si="5"/>
        <v>2.6111111111111107</v>
      </c>
    </row>
    <row r="19" spans="2:31" x14ac:dyDescent="0.3">
      <c r="B19">
        <v>76</v>
      </c>
      <c r="C19">
        <v>24</v>
      </c>
      <c r="D19">
        <v>24</v>
      </c>
      <c r="E19">
        <v>76</v>
      </c>
      <c r="G19">
        <v>73</v>
      </c>
      <c r="H19">
        <v>27</v>
      </c>
      <c r="I19">
        <v>5</v>
      </c>
      <c r="J19">
        <v>95</v>
      </c>
      <c r="L19">
        <v>54</v>
      </c>
      <c r="M19">
        <v>46</v>
      </c>
      <c r="N19">
        <v>20</v>
      </c>
      <c r="O19">
        <v>80</v>
      </c>
      <c r="R19">
        <f t="shared" si="0"/>
        <v>24</v>
      </c>
      <c r="S19">
        <f t="shared" si="1"/>
        <v>16</v>
      </c>
      <c r="T19">
        <f t="shared" si="2"/>
        <v>33</v>
      </c>
      <c r="U19">
        <f t="shared" si="3"/>
        <v>24.333333333333332</v>
      </c>
      <c r="AD19">
        <f t="shared" si="4"/>
        <v>16</v>
      </c>
      <c r="AE19">
        <f t="shared" si="5"/>
        <v>2.7777777777777772</v>
      </c>
    </row>
    <row r="20" spans="2:31" x14ac:dyDescent="0.3">
      <c r="B20">
        <v>87</v>
      </c>
      <c r="C20">
        <v>13</v>
      </c>
      <c r="D20">
        <v>12</v>
      </c>
      <c r="E20">
        <v>88</v>
      </c>
      <c r="G20">
        <v>62</v>
      </c>
      <c r="H20">
        <v>38</v>
      </c>
      <c r="I20">
        <v>7</v>
      </c>
      <c r="J20">
        <v>93</v>
      </c>
      <c r="L20">
        <v>55</v>
      </c>
      <c r="M20">
        <v>45</v>
      </c>
      <c r="N20">
        <v>14</v>
      </c>
      <c r="O20">
        <v>86</v>
      </c>
      <c r="R20">
        <f t="shared" si="0"/>
        <v>12.5</v>
      </c>
      <c r="S20">
        <f t="shared" si="1"/>
        <v>22.5</v>
      </c>
      <c r="T20">
        <f t="shared" si="2"/>
        <v>29.5</v>
      </c>
      <c r="U20">
        <f t="shared" si="3"/>
        <v>21.5</v>
      </c>
      <c r="AD20">
        <f t="shared" si="4"/>
        <v>12.5</v>
      </c>
      <c r="AE20">
        <f t="shared" si="5"/>
        <v>3</v>
      </c>
    </row>
    <row r="21" spans="2:31" x14ac:dyDescent="0.3">
      <c r="B21">
        <v>76</v>
      </c>
      <c r="C21">
        <v>24</v>
      </c>
      <c r="D21">
        <v>10</v>
      </c>
      <c r="E21">
        <v>90</v>
      </c>
      <c r="G21">
        <v>63</v>
      </c>
      <c r="H21">
        <v>37</v>
      </c>
      <c r="I21">
        <v>3</v>
      </c>
      <c r="J21">
        <v>97</v>
      </c>
      <c r="L21">
        <v>48</v>
      </c>
      <c r="M21">
        <v>52</v>
      </c>
      <c r="N21">
        <v>25</v>
      </c>
      <c r="O21">
        <v>75</v>
      </c>
      <c r="R21">
        <f t="shared" si="0"/>
        <v>17</v>
      </c>
      <c r="S21">
        <f t="shared" si="1"/>
        <v>20</v>
      </c>
      <c r="T21">
        <f t="shared" si="2"/>
        <v>38.5</v>
      </c>
      <c r="U21">
        <f t="shared" si="3"/>
        <v>25.166666666666668</v>
      </c>
      <c r="AD21">
        <f t="shared" si="4"/>
        <v>17</v>
      </c>
      <c r="AE21">
        <f t="shared" si="5"/>
        <v>2.7222222222222223</v>
      </c>
    </row>
    <row r="22" spans="2:31" x14ac:dyDescent="0.3">
      <c r="B22">
        <v>81</v>
      </c>
      <c r="C22">
        <v>19</v>
      </c>
      <c r="D22">
        <v>15</v>
      </c>
      <c r="E22">
        <v>85</v>
      </c>
      <c r="G22">
        <v>66</v>
      </c>
      <c r="H22">
        <v>34</v>
      </c>
      <c r="I22">
        <v>8</v>
      </c>
      <c r="J22">
        <v>92</v>
      </c>
      <c r="L22">
        <v>64</v>
      </c>
      <c r="M22">
        <v>36</v>
      </c>
      <c r="N22">
        <v>20</v>
      </c>
      <c r="O22">
        <v>80</v>
      </c>
      <c r="R22">
        <f t="shared" si="0"/>
        <v>17</v>
      </c>
      <c r="S22">
        <f t="shared" si="1"/>
        <v>21</v>
      </c>
      <c r="T22">
        <f t="shared" si="2"/>
        <v>28</v>
      </c>
      <c r="U22">
        <f t="shared" si="3"/>
        <v>22</v>
      </c>
      <c r="AD22">
        <f t="shared" si="4"/>
        <v>17</v>
      </c>
      <c r="AE22">
        <f t="shared" si="5"/>
        <v>1.6666666666666665</v>
      </c>
    </row>
    <row r="23" spans="2:31" x14ac:dyDescent="0.3">
      <c r="B23">
        <v>87</v>
      </c>
      <c r="C23">
        <v>13</v>
      </c>
      <c r="D23">
        <v>13</v>
      </c>
      <c r="E23">
        <v>87</v>
      </c>
      <c r="G23">
        <v>75</v>
      </c>
      <c r="H23">
        <v>25</v>
      </c>
      <c r="I23">
        <v>10</v>
      </c>
      <c r="J23">
        <v>90</v>
      </c>
      <c r="L23">
        <v>66</v>
      </c>
      <c r="M23">
        <v>34</v>
      </c>
      <c r="N23">
        <v>38</v>
      </c>
      <c r="O23">
        <v>62</v>
      </c>
      <c r="R23">
        <f t="shared" si="0"/>
        <v>13</v>
      </c>
      <c r="S23">
        <f t="shared" si="1"/>
        <v>17.5</v>
      </c>
      <c r="T23">
        <f t="shared" si="2"/>
        <v>36</v>
      </c>
      <c r="U23">
        <f t="shared" si="3"/>
        <v>22.166666666666668</v>
      </c>
      <c r="AD23">
        <f t="shared" si="4"/>
        <v>13</v>
      </c>
      <c r="AE23">
        <f t="shared" si="5"/>
        <v>3.0555555555555558</v>
      </c>
    </row>
    <row r="24" spans="2:31" x14ac:dyDescent="0.3">
      <c r="B24">
        <v>86</v>
      </c>
      <c r="C24">
        <v>14</v>
      </c>
      <c r="D24">
        <v>13</v>
      </c>
      <c r="E24">
        <v>87</v>
      </c>
      <c r="G24">
        <v>67</v>
      </c>
      <c r="H24">
        <v>33</v>
      </c>
      <c r="I24">
        <v>4</v>
      </c>
      <c r="J24">
        <v>96</v>
      </c>
      <c r="L24">
        <v>69</v>
      </c>
      <c r="M24">
        <v>31</v>
      </c>
      <c r="N24">
        <v>14</v>
      </c>
      <c r="O24">
        <v>86</v>
      </c>
      <c r="R24">
        <f t="shared" si="0"/>
        <v>13.5</v>
      </c>
      <c r="S24">
        <f t="shared" si="1"/>
        <v>18.5</v>
      </c>
      <c r="T24">
        <f t="shared" si="2"/>
        <v>22.5</v>
      </c>
      <c r="U24">
        <f t="shared" si="3"/>
        <v>18.166666666666668</v>
      </c>
      <c r="AD24">
        <f t="shared" si="4"/>
        <v>13.5</v>
      </c>
      <c r="AE24">
        <f t="shared" si="5"/>
        <v>1.5555555555555558</v>
      </c>
    </row>
    <row r="25" spans="2:31" x14ac:dyDescent="0.3">
      <c r="B25">
        <v>81</v>
      </c>
      <c r="C25">
        <v>19</v>
      </c>
      <c r="D25">
        <v>19</v>
      </c>
      <c r="E25">
        <v>81</v>
      </c>
      <c r="G25">
        <v>72</v>
      </c>
      <c r="H25">
        <v>28</v>
      </c>
      <c r="I25">
        <v>4</v>
      </c>
      <c r="J25">
        <v>96</v>
      </c>
      <c r="L25">
        <v>64</v>
      </c>
      <c r="M25">
        <v>36</v>
      </c>
      <c r="N25">
        <v>30</v>
      </c>
      <c r="O25">
        <v>70</v>
      </c>
      <c r="R25">
        <f t="shared" si="0"/>
        <v>19</v>
      </c>
      <c r="S25">
        <f t="shared" si="1"/>
        <v>16</v>
      </c>
      <c r="T25">
        <f t="shared" si="2"/>
        <v>33</v>
      </c>
      <c r="U25">
        <f t="shared" si="3"/>
        <v>22.666666666666668</v>
      </c>
      <c r="AD25">
        <f t="shared" si="4"/>
        <v>16</v>
      </c>
      <c r="AE25">
        <f t="shared" si="5"/>
        <v>2.2222222222222223</v>
      </c>
    </row>
    <row r="26" spans="2:31" x14ac:dyDescent="0.3">
      <c r="B26">
        <v>84</v>
      </c>
      <c r="C26">
        <v>16</v>
      </c>
      <c r="D26">
        <v>22</v>
      </c>
      <c r="E26">
        <v>78</v>
      </c>
      <c r="G26">
        <v>67</v>
      </c>
      <c r="H26">
        <v>33</v>
      </c>
      <c r="I26">
        <v>2</v>
      </c>
      <c r="J26">
        <v>98</v>
      </c>
      <c r="L26">
        <v>61</v>
      </c>
      <c r="M26">
        <v>39</v>
      </c>
      <c r="N26">
        <v>19</v>
      </c>
      <c r="O26">
        <v>81</v>
      </c>
      <c r="R26">
        <f t="shared" si="0"/>
        <v>19</v>
      </c>
      <c r="S26">
        <f t="shared" si="1"/>
        <v>17.5</v>
      </c>
      <c r="T26">
        <f t="shared" si="2"/>
        <v>29</v>
      </c>
      <c r="U26">
        <f t="shared" si="3"/>
        <v>21.833333333333332</v>
      </c>
      <c r="AD26">
        <f t="shared" si="4"/>
        <v>17.5</v>
      </c>
      <c r="AE26">
        <f t="shared" si="5"/>
        <v>1.444444444444444</v>
      </c>
    </row>
    <row r="27" spans="2:31" x14ac:dyDescent="0.3">
      <c r="B27">
        <v>91</v>
      </c>
      <c r="C27">
        <v>9</v>
      </c>
      <c r="D27">
        <v>22</v>
      </c>
      <c r="E27">
        <v>78</v>
      </c>
      <c r="G27">
        <v>75</v>
      </c>
      <c r="H27">
        <v>25</v>
      </c>
      <c r="I27">
        <v>8</v>
      </c>
      <c r="J27">
        <v>92</v>
      </c>
      <c r="L27">
        <v>68</v>
      </c>
      <c r="M27">
        <v>32</v>
      </c>
      <c r="N27">
        <v>22</v>
      </c>
      <c r="O27">
        <v>78</v>
      </c>
      <c r="R27">
        <f t="shared" si="0"/>
        <v>15.5</v>
      </c>
      <c r="S27">
        <f t="shared" si="1"/>
        <v>16.5</v>
      </c>
      <c r="T27">
        <f t="shared" si="2"/>
        <v>27</v>
      </c>
      <c r="U27">
        <f t="shared" si="3"/>
        <v>19.666666666666668</v>
      </c>
      <c r="AD27">
        <f t="shared" si="4"/>
        <v>15.5</v>
      </c>
      <c r="AE27">
        <f t="shared" si="5"/>
        <v>1.3888888888888893</v>
      </c>
    </row>
    <row r="28" spans="2:31" x14ac:dyDescent="0.3">
      <c r="B28">
        <v>86</v>
      </c>
      <c r="C28">
        <v>14</v>
      </c>
      <c r="D28">
        <v>16</v>
      </c>
      <c r="E28">
        <v>84</v>
      </c>
      <c r="G28">
        <v>66</v>
      </c>
      <c r="H28">
        <v>34</v>
      </c>
      <c r="I28">
        <v>4</v>
      </c>
      <c r="J28">
        <v>96</v>
      </c>
      <c r="L28">
        <v>71</v>
      </c>
      <c r="M28">
        <v>29</v>
      </c>
      <c r="N28">
        <v>27</v>
      </c>
      <c r="O28">
        <v>73</v>
      </c>
      <c r="R28">
        <f t="shared" si="0"/>
        <v>15</v>
      </c>
      <c r="S28">
        <f t="shared" si="1"/>
        <v>19</v>
      </c>
      <c r="T28">
        <f t="shared" si="2"/>
        <v>28</v>
      </c>
      <c r="U28">
        <f t="shared" si="3"/>
        <v>20.666666666666668</v>
      </c>
      <c r="AD28">
        <f t="shared" si="4"/>
        <v>15</v>
      </c>
      <c r="AE28">
        <f t="shared" si="5"/>
        <v>1.8888888888888893</v>
      </c>
    </row>
    <row r="29" spans="2:31" x14ac:dyDescent="0.3">
      <c r="B29">
        <v>80</v>
      </c>
      <c r="C29">
        <v>20</v>
      </c>
      <c r="D29">
        <v>30</v>
      </c>
      <c r="E29">
        <v>70</v>
      </c>
      <c r="G29">
        <v>69</v>
      </c>
      <c r="H29">
        <v>31</v>
      </c>
      <c r="I29">
        <v>5</v>
      </c>
      <c r="J29">
        <v>95</v>
      </c>
      <c r="L29">
        <v>54</v>
      </c>
      <c r="M29">
        <v>46</v>
      </c>
      <c r="N29">
        <v>13</v>
      </c>
      <c r="O29">
        <v>87</v>
      </c>
      <c r="R29">
        <f t="shared" si="0"/>
        <v>25</v>
      </c>
      <c r="S29">
        <f t="shared" si="1"/>
        <v>18</v>
      </c>
      <c r="T29">
        <f t="shared" si="2"/>
        <v>29.5</v>
      </c>
      <c r="U29">
        <f t="shared" si="3"/>
        <v>24.166666666666668</v>
      </c>
      <c r="AD29">
        <f t="shared" si="4"/>
        <v>18</v>
      </c>
      <c r="AE29">
        <f t="shared" si="5"/>
        <v>2.0555555555555558</v>
      </c>
    </row>
    <row r="30" spans="2:31" x14ac:dyDescent="0.3">
      <c r="B30">
        <v>80</v>
      </c>
      <c r="C30">
        <v>20</v>
      </c>
      <c r="D30">
        <v>5</v>
      </c>
      <c r="E30">
        <v>95</v>
      </c>
      <c r="G30">
        <v>66</v>
      </c>
      <c r="H30">
        <v>34</v>
      </c>
      <c r="I30">
        <v>3</v>
      </c>
      <c r="J30">
        <v>97</v>
      </c>
      <c r="L30">
        <v>57</v>
      </c>
      <c r="M30">
        <v>43</v>
      </c>
      <c r="N30">
        <v>18</v>
      </c>
      <c r="O30">
        <v>82</v>
      </c>
      <c r="R30">
        <f t="shared" si="0"/>
        <v>12.5</v>
      </c>
      <c r="S30">
        <f t="shared" si="1"/>
        <v>18.5</v>
      </c>
      <c r="T30">
        <f t="shared" si="2"/>
        <v>30.5</v>
      </c>
      <c r="U30">
        <f t="shared" si="3"/>
        <v>20.5</v>
      </c>
      <c r="AD30">
        <f t="shared" si="4"/>
        <v>12.5</v>
      </c>
      <c r="AE30">
        <f t="shared" si="5"/>
        <v>2.6666666666666665</v>
      </c>
    </row>
    <row r="31" spans="2:31" x14ac:dyDescent="0.3">
      <c r="B31">
        <v>87</v>
      </c>
      <c r="C31">
        <v>13</v>
      </c>
      <c r="D31">
        <v>21</v>
      </c>
      <c r="E31">
        <v>79</v>
      </c>
      <c r="G31">
        <v>71</v>
      </c>
      <c r="H31">
        <v>29</v>
      </c>
      <c r="I31">
        <v>6</v>
      </c>
      <c r="J31">
        <v>94</v>
      </c>
      <c r="L31">
        <v>63</v>
      </c>
      <c r="M31">
        <v>37</v>
      </c>
      <c r="N31">
        <v>32</v>
      </c>
      <c r="O31">
        <v>68</v>
      </c>
      <c r="R31">
        <f t="shared" si="0"/>
        <v>17</v>
      </c>
      <c r="S31">
        <f t="shared" si="1"/>
        <v>17.5</v>
      </c>
      <c r="T31">
        <f t="shared" si="2"/>
        <v>34.5</v>
      </c>
      <c r="U31">
        <f t="shared" si="3"/>
        <v>23</v>
      </c>
      <c r="AD31">
        <f t="shared" si="4"/>
        <v>17</v>
      </c>
      <c r="AE31">
        <f t="shared" si="5"/>
        <v>2</v>
      </c>
    </row>
    <row r="32" spans="2:31" x14ac:dyDescent="0.3">
      <c r="B32">
        <v>81</v>
      </c>
      <c r="C32">
        <v>19</v>
      </c>
      <c r="D32">
        <v>12</v>
      </c>
      <c r="E32">
        <v>88</v>
      </c>
      <c r="G32">
        <v>80</v>
      </c>
      <c r="H32">
        <v>20</v>
      </c>
      <c r="I32">
        <v>4</v>
      </c>
      <c r="J32">
        <v>96</v>
      </c>
      <c r="L32">
        <v>59</v>
      </c>
      <c r="M32">
        <v>41</v>
      </c>
      <c r="N32">
        <v>21</v>
      </c>
      <c r="O32">
        <v>79</v>
      </c>
      <c r="R32">
        <f t="shared" si="0"/>
        <v>15.5</v>
      </c>
      <c r="S32">
        <f t="shared" si="1"/>
        <v>12</v>
      </c>
      <c r="T32">
        <f t="shared" si="2"/>
        <v>31</v>
      </c>
      <c r="U32">
        <f t="shared" si="3"/>
        <v>19.5</v>
      </c>
      <c r="AD32">
        <f t="shared" si="4"/>
        <v>12</v>
      </c>
      <c r="AE32">
        <f t="shared" si="5"/>
        <v>2.5</v>
      </c>
    </row>
    <row r="33" spans="2:31" x14ac:dyDescent="0.3">
      <c r="B33">
        <v>96</v>
      </c>
      <c r="C33">
        <v>4</v>
      </c>
      <c r="D33">
        <v>14</v>
      </c>
      <c r="E33">
        <v>86</v>
      </c>
      <c r="G33">
        <v>71</v>
      </c>
      <c r="H33">
        <v>29</v>
      </c>
      <c r="I33">
        <v>11</v>
      </c>
      <c r="J33">
        <v>89</v>
      </c>
      <c r="L33">
        <v>81</v>
      </c>
      <c r="M33">
        <v>19</v>
      </c>
      <c r="N33">
        <v>36</v>
      </c>
      <c r="O33">
        <v>64</v>
      </c>
      <c r="R33">
        <f t="shared" si="0"/>
        <v>9</v>
      </c>
      <c r="S33">
        <f t="shared" si="1"/>
        <v>20</v>
      </c>
      <c r="T33">
        <f t="shared" si="2"/>
        <v>27.5</v>
      </c>
      <c r="U33">
        <f t="shared" si="3"/>
        <v>18.833333333333332</v>
      </c>
      <c r="AD33">
        <f t="shared" si="4"/>
        <v>9</v>
      </c>
      <c r="AE33">
        <f t="shared" si="5"/>
        <v>3.2777777777777772</v>
      </c>
    </row>
    <row r="34" spans="2:31" x14ac:dyDescent="0.3">
      <c r="B34">
        <v>94</v>
      </c>
      <c r="C34">
        <v>6</v>
      </c>
      <c r="D34">
        <v>13</v>
      </c>
      <c r="E34">
        <v>87</v>
      </c>
      <c r="G34">
        <v>74</v>
      </c>
      <c r="H34">
        <v>26</v>
      </c>
      <c r="I34">
        <v>8</v>
      </c>
      <c r="J34">
        <v>92</v>
      </c>
      <c r="L34">
        <v>75</v>
      </c>
      <c r="M34">
        <v>25</v>
      </c>
      <c r="N34">
        <v>24</v>
      </c>
      <c r="O34">
        <v>76</v>
      </c>
      <c r="R34">
        <f t="shared" si="0"/>
        <v>9.5</v>
      </c>
      <c r="S34">
        <f t="shared" si="1"/>
        <v>17</v>
      </c>
      <c r="T34">
        <f t="shared" si="2"/>
        <v>24.5</v>
      </c>
      <c r="U34">
        <f t="shared" si="3"/>
        <v>17</v>
      </c>
      <c r="AD34">
        <f t="shared" si="4"/>
        <v>9.5</v>
      </c>
      <c r="AE34">
        <f t="shared" si="5"/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6"/>
  <sheetViews>
    <sheetView workbookViewId="0">
      <selection activeCell="A2" sqref="A2:XFD2"/>
    </sheetView>
  </sheetViews>
  <sheetFormatPr defaultRowHeight="14.4" x14ac:dyDescent="0.3"/>
  <sheetData>
    <row r="2" spans="1:32" x14ac:dyDescent="0.3">
      <c r="A2" t="s">
        <v>65</v>
      </c>
      <c r="Q2" t="s">
        <v>16</v>
      </c>
      <c r="R2" t="s">
        <v>17</v>
      </c>
      <c r="S2" t="s">
        <v>18</v>
      </c>
      <c r="T2" t="s">
        <v>20</v>
      </c>
      <c r="U2" t="s">
        <v>68</v>
      </c>
      <c r="V2" t="s">
        <v>58</v>
      </c>
      <c r="W2" t="s">
        <v>69</v>
      </c>
      <c r="X2" t="s">
        <v>59</v>
      </c>
      <c r="Y2" t="s">
        <v>70</v>
      </c>
      <c r="Z2" t="s">
        <v>60</v>
      </c>
      <c r="AA2" t="s">
        <v>2</v>
      </c>
      <c r="AB2" t="s">
        <v>21</v>
      </c>
      <c r="AC2" t="s">
        <v>22</v>
      </c>
      <c r="AD2" t="s">
        <v>19</v>
      </c>
      <c r="AE2" t="s">
        <v>23</v>
      </c>
      <c r="AF2" t="s">
        <v>24</v>
      </c>
    </row>
    <row r="3" spans="1:32" x14ac:dyDescent="0.3">
      <c r="A3" t="s">
        <v>27</v>
      </c>
      <c r="F3" t="s">
        <v>28</v>
      </c>
      <c r="K3" t="s">
        <v>29</v>
      </c>
    </row>
    <row r="4" spans="1:32" x14ac:dyDescent="0.3">
      <c r="B4">
        <v>95</v>
      </c>
      <c r="C4">
        <v>5</v>
      </c>
      <c r="D4">
        <v>24</v>
      </c>
      <c r="E4">
        <v>76</v>
      </c>
      <c r="G4">
        <v>88</v>
      </c>
      <c r="H4">
        <v>12</v>
      </c>
      <c r="I4">
        <v>12</v>
      </c>
      <c r="J4">
        <v>88</v>
      </c>
      <c r="L4">
        <v>87</v>
      </c>
      <c r="M4">
        <v>13</v>
      </c>
      <c r="N4">
        <v>35</v>
      </c>
      <c r="O4">
        <v>65</v>
      </c>
      <c r="Q4">
        <f>AVERAGE(C4,D4)</f>
        <v>14.5</v>
      </c>
      <c r="R4">
        <f>AVERAGE(H4,I4)</f>
        <v>12</v>
      </c>
      <c r="S4">
        <f>AVERAGE(M4,N4)</f>
        <v>24</v>
      </c>
      <c r="T4">
        <f>AVERAGE(Q4:S4)</f>
        <v>16.833333333333332</v>
      </c>
      <c r="U4">
        <v>14.5</v>
      </c>
      <c r="W4">
        <v>12</v>
      </c>
      <c r="Y4">
        <v>24</v>
      </c>
      <c r="AA4">
        <f>AVERAGE(T4)</f>
        <v>16.833333333333332</v>
      </c>
      <c r="AB4" t="e">
        <f>_xlfn.STDEV.S(T4)</f>
        <v>#DIV/0!</v>
      </c>
      <c r="AC4">
        <f>MIN(Q4:S4)</f>
        <v>12</v>
      </c>
      <c r="AD4">
        <f>(1/3)*(T4-AC4)</f>
        <v>1.6111111111111107</v>
      </c>
      <c r="AE4">
        <f>AVERAGE(AD4)</f>
        <v>1.6111111111111107</v>
      </c>
      <c r="AF4" t="e">
        <f>_xlfn.STDEV.S(AD4)</f>
        <v>#DIV/0!</v>
      </c>
    </row>
    <row r="7" spans="1:32" x14ac:dyDescent="0.3">
      <c r="A7" t="s">
        <v>66</v>
      </c>
    </row>
    <row r="8" spans="1:32" x14ac:dyDescent="0.3">
      <c r="A8" t="s">
        <v>27</v>
      </c>
      <c r="F8" t="s">
        <v>28</v>
      </c>
      <c r="K8" t="s">
        <v>29</v>
      </c>
    </row>
    <row r="9" spans="1:32" x14ac:dyDescent="0.3">
      <c r="B9">
        <v>95</v>
      </c>
      <c r="C9">
        <v>5</v>
      </c>
      <c r="D9">
        <v>24</v>
      </c>
      <c r="E9">
        <v>76</v>
      </c>
      <c r="G9">
        <v>88</v>
      </c>
      <c r="H9">
        <v>12</v>
      </c>
      <c r="I9">
        <v>12</v>
      </c>
      <c r="J9">
        <v>88</v>
      </c>
      <c r="L9">
        <v>87</v>
      </c>
      <c r="M9">
        <v>13</v>
      </c>
      <c r="N9">
        <v>35</v>
      </c>
      <c r="O9">
        <v>65</v>
      </c>
      <c r="Q9">
        <f t="shared" ref="Q9:Q16" si="0">AVERAGE(C9,D9)</f>
        <v>14.5</v>
      </c>
      <c r="R9">
        <f t="shared" ref="R9:R16" si="1">AVERAGE(H9,I9)</f>
        <v>12</v>
      </c>
      <c r="S9">
        <f t="shared" ref="S9:S16" si="2">AVERAGE(M9,N9)</f>
        <v>24</v>
      </c>
      <c r="T9">
        <f>AVERAGE(Q9:S9)</f>
        <v>16.833333333333332</v>
      </c>
      <c r="U9">
        <f>AVERAGE(Q9:Q10)</f>
        <v>14.25</v>
      </c>
      <c r="W9">
        <f>AVERAGE(R9,R10)</f>
        <v>17</v>
      </c>
      <c r="Y9">
        <f>AVERAGE(S9,S10)</f>
        <v>28.5</v>
      </c>
      <c r="AA9">
        <f>AVERAGE(T9:T10)</f>
        <v>19.916666666666664</v>
      </c>
      <c r="AB9">
        <f>_xlfn.STDEV.S(T9:T10)</f>
        <v>4.360491817317059</v>
      </c>
      <c r="AC9">
        <f>MIN(Q9:S9)</f>
        <v>12</v>
      </c>
      <c r="AD9">
        <f>(1/3)*(T9-AC9)</f>
        <v>1.6111111111111107</v>
      </c>
      <c r="AE9">
        <f>AVERAGE(AD9,AD10)</f>
        <v>2.3055555555555554</v>
      </c>
      <c r="AF9">
        <f>_xlfn.STDEV.S(AD9,AD10)</f>
        <v>0.98209275164798271</v>
      </c>
    </row>
    <row r="10" spans="1:32" x14ac:dyDescent="0.3">
      <c r="B10">
        <v>86</v>
      </c>
      <c r="C10">
        <v>14</v>
      </c>
      <c r="D10">
        <v>14</v>
      </c>
      <c r="E10">
        <v>86</v>
      </c>
      <c r="G10">
        <v>60</v>
      </c>
      <c r="H10">
        <v>40</v>
      </c>
      <c r="I10">
        <v>4</v>
      </c>
      <c r="J10">
        <v>96</v>
      </c>
      <c r="L10">
        <v>62</v>
      </c>
      <c r="M10">
        <v>38</v>
      </c>
      <c r="N10">
        <v>28</v>
      </c>
      <c r="O10">
        <v>72</v>
      </c>
      <c r="Q10">
        <f t="shared" si="0"/>
        <v>14</v>
      </c>
      <c r="R10">
        <f t="shared" si="1"/>
        <v>22</v>
      </c>
      <c r="S10">
        <f t="shared" si="2"/>
        <v>33</v>
      </c>
      <c r="T10">
        <f>AVERAGE(Q10:S10)</f>
        <v>23</v>
      </c>
      <c r="AC10">
        <f>MIN(Q10:S10)</f>
        <v>14</v>
      </c>
      <c r="AD10">
        <f>(1/3)*(T10-AC10)</f>
        <v>3</v>
      </c>
    </row>
    <row r="12" spans="1:32" x14ac:dyDescent="0.3">
      <c r="A12" t="s">
        <v>67</v>
      </c>
    </row>
    <row r="13" spans="1:32" x14ac:dyDescent="0.3">
      <c r="A13" t="s">
        <v>27</v>
      </c>
      <c r="F13" t="s">
        <v>28</v>
      </c>
      <c r="K13" t="s">
        <v>29</v>
      </c>
    </row>
    <row r="14" spans="1:32" x14ac:dyDescent="0.3">
      <c r="B14">
        <v>95</v>
      </c>
      <c r="C14">
        <v>5</v>
      </c>
      <c r="D14">
        <v>24</v>
      </c>
      <c r="E14">
        <v>76</v>
      </c>
      <c r="G14">
        <v>88</v>
      </c>
      <c r="H14">
        <v>12</v>
      </c>
      <c r="I14">
        <v>12</v>
      </c>
      <c r="J14">
        <v>88</v>
      </c>
      <c r="L14">
        <v>87</v>
      </c>
      <c r="M14">
        <v>13</v>
      </c>
      <c r="N14">
        <v>35</v>
      </c>
      <c r="O14">
        <v>65</v>
      </c>
      <c r="Q14">
        <f t="shared" si="0"/>
        <v>14.5</v>
      </c>
      <c r="R14">
        <f t="shared" si="1"/>
        <v>12</v>
      </c>
      <c r="S14">
        <f t="shared" si="2"/>
        <v>24</v>
      </c>
      <c r="T14">
        <f>AVERAGE(Q14:S14)</f>
        <v>16.833333333333332</v>
      </c>
      <c r="U14">
        <f>AVERAGE(Q14:Q16)</f>
        <v>13.833333333333334</v>
      </c>
      <c r="V14">
        <f>_xlfn.STDEV.S(Q14:Q16)</f>
        <v>0.76376261582597327</v>
      </c>
      <c r="W14">
        <f>AVERAGE(R14:R16)</f>
        <v>16.666666666666668</v>
      </c>
      <c r="X14">
        <f>_xlfn.STDEV.S(R14:R16)</f>
        <v>5.0332229568471645</v>
      </c>
      <c r="Y14">
        <f>AVERAGE(S14:S16)</f>
        <v>29</v>
      </c>
      <c r="Z14">
        <f>_xlfn.STDEV.S(S14:S16)</f>
        <v>4.5825756949558398</v>
      </c>
      <c r="AA14">
        <f>AVERAGE(T14:T16)</f>
        <v>19.833333333333332</v>
      </c>
      <c r="AB14">
        <f>_xlfn.STDEV.S(T14:T16)</f>
        <v>3.0867098629086973</v>
      </c>
      <c r="AC14">
        <f>MIN(Q14:S14)</f>
        <v>12</v>
      </c>
      <c r="AD14">
        <f>(1/3)*(T14-AC14)</f>
        <v>1.6111111111111107</v>
      </c>
      <c r="AE14">
        <f>AVERAGE(AD14:AD16)</f>
        <v>2.2777777777777777</v>
      </c>
      <c r="AF14">
        <f>_xlfn.STDEV.S(AD14:AD16)</f>
        <v>0.69610911589675883</v>
      </c>
    </row>
    <row r="15" spans="1:32" x14ac:dyDescent="0.3">
      <c r="B15">
        <v>86</v>
      </c>
      <c r="C15">
        <v>14</v>
      </c>
      <c r="D15">
        <v>14</v>
      </c>
      <c r="E15">
        <v>86</v>
      </c>
      <c r="G15">
        <v>60</v>
      </c>
      <c r="H15">
        <v>40</v>
      </c>
      <c r="I15">
        <v>4</v>
      </c>
      <c r="J15">
        <v>96</v>
      </c>
      <c r="L15">
        <v>62</v>
      </c>
      <c r="M15">
        <v>38</v>
      </c>
      <c r="N15">
        <v>28</v>
      </c>
      <c r="O15">
        <v>72</v>
      </c>
      <c r="Q15">
        <f t="shared" si="0"/>
        <v>14</v>
      </c>
      <c r="R15">
        <f t="shared" si="1"/>
        <v>22</v>
      </c>
      <c r="S15">
        <f t="shared" si="2"/>
        <v>33</v>
      </c>
      <c r="T15">
        <f>AVERAGE(Q15:S15)</f>
        <v>23</v>
      </c>
      <c r="AC15">
        <f>MIN(Q15:S15)</f>
        <v>14</v>
      </c>
      <c r="AD15">
        <f>(1/3)*(T15-AC15)</f>
        <v>3</v>
      </c>
    </row>
    <row r="16" spans="1:32" x14ac:dyDescent="0.3">
      <c r="B16">
        <v>80</v>
      </c>
      <c r="C16">
        <v>20</v>
      </c>
      <c r="D16">
        <v>6</v>
      </c>
      <c r="E16">
        <v>94</v>
      </c>
      <c r="G16">
        <v>73</v>
      </c>
      <c r="H16">
        <v>27</v>
      </c>
      <c r="I16">
        <v>5</v>
      </c>
      <c r="J16">
        <v>95</v>
      </c>
      <c r="L16">
        <v>48</v>
      </c>
      <c r="M16">
        <v>52</v>
      </c>
      <c r="N16">
        <v>8</v>
      </c>
      <c r="O16">
        <v>92</v>
      </c>
      <c r="Q16">
        <f t="shared" si="0"/>
        <v>13</v>
      </c>
      <c r="R16">
        <f t="shared" si="1"/>
        <v>16</v>
      </c>
      <c r="S16">
        <f t="shared" si="2"/>
        <v>30</v>
      </c>
      <c r="T16">
        <f>AVERAGE(Q16:S16)</f>
        <v>19.666666666666668</v>
      </c>
      <c r="AC16">
        <f>MIN(Q16:S16)</f>
        <v>13</v>
      </c>
      <c r="AD16">
        <f>(1/3)*(T16-AC16)</f>
        <v>2.2222222222222223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37"/>
  <sheetViews>
    <sheetView topLeftCell="A14" workbookViewId="0">
      <selection activeCell="A30" sqref="A3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49</v>
      </c>
    </row>
    <row r="2" spans="1:40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7</v>
      </c>
      <c r="X2" t="s">
        <v>58</v>
      </c>
      <c r="Y2" t="s">
        <v>9</v>
      </c>
      <c r="Z2" t="s">
        <v>59</v>
      </c>
      <c r="AA2" t="s">
        <v>11</v>
      </c>
      <c r="AB2" t="s">
        <v>60</v>
      </c>
      <c r="AC2" t="s">
        <v>2</v>
      </c>
      <c r="AD2" t="s">
        <v>21</v>
      </c>
      <c r="AE2" t="s">
        <v>23</v>
      </c>
      <c r="AF2" t="s">
        <v>24</v>
      </c>
      <c r="AH2" t="s">
        <v>42</v>
      </c>
      <c r="AI2" t="s">
        <v>2</v>
      </c>
      <c r="AJ2" t="s">
        <v>23</v>
      </c>
      <c r="AL2" t="s">
        <v>45</v>
      </c>
      <c r="AM2" t="s">
        <v>2</v>
      </c>
      <c r="AN2" t="s">
        <v>23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54</v>
      </c>
      <c r="AL3" t="s">
        <v>64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53</v>
      </c>
      <c r="AI4">
        <v>28.666666666666671</v>
      </c>
      <c r="AJ4">
        <v>2.7777777777777772</v>
      </c>
      <c r="AL4" t="s">
        <v>53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50</v>
      </c>
    </row>
    <row r="9" spans="1:40" x14ac:dyDescent="0.3">
      <c r="A9" t="s">
        <v>27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51</v>
      </c>
    </row>
    <row r="16" spans="1:40" x14ac:dyDescent="0.3">
      <c r="A16" t="s">
        <v>27</v>
      </c>
    </row>
    <row r="17" spans="1:32" x14ac:dyDescent="0.3">
      <c r="B17">
        <v>53</v>
      </c>
      <c r="C17">
        <v>47</v>
      </c>
      <c r="D17">
        <v>4</v>
      </c>
      <c r="E17">
        <v>96</v>
      </c>
      <c r="G17">
        <v>49</v>
      </c>
      <c r="H17">
        <v>51</v>
      </c>
      <c r="I17">
        <v>2</v>
      </c>
      <c r="J17">
        <v>98</v>
      </c>
      <c r="L17">
        <v>31</v>
      </c>
      <c r="M17">
        <v>69</v>
      </c>
      <c r="N17">
        <v>4</v>
      </c>
      <c r="O17">
        <v>96</v>
      </c>
      <c r="Q17">
        <f t="shared" si="0"/>
        <v>25.5</v>
      </c>
      <c r="R17">
        <f t="shared" si="1"/>
        <v>26.5</v>
      </c>
      <c r="S17">
        <f t="shared" si="2"/>
        <v>36.5</v>
      </c>
      <c r="T17">
        <f t="shared" si="3"/>
        <v>29.5</v>
      </c>
      <c r="U17">
        <f t="shared" si="4"/>
        <v>25.5</v>
      </c>
      <c r="V17">
        <f t="shared" si="5"/>
        <v>1.3333333333333333</v>
      </c>
      <c r="W17">
        <f>AVERAGE(Q17:Q20)</f>
        <v>22.5</v>
      </c>
      <c r="X17">
        <f>_xlfn.STDEV.S(Q17:Q20)</f>
        <v>2.0412414523193152</v>
      </c>
      <c r="Y17">
        <f>AVERAGE(R17:R20)</f>
        <v>26.625</v>
      </c>
      <c r="Z17">
        <f>_xlfn.STDEV.S(R17:R20)</f>
        <v>1.8427786989579984</v>
      </c>
      <c r="AA17">
        <f>AVERAGE(S17:S20)</f>
        <v>39</v>
      </c>
      <c r="AB17">
        <f>_xlfn.STDEV.S(S17:S20)</f>
        <v>2.5495097567963922</v>
      </c>
      <c r="AC17">
        <f>AVERAGE(T17:T20)</f>
        <v>29.375</v>
      </c>
      <c r="AD17">
        <f>_xlfn.STDEV.S(T17:T20)</f>
        <v>1.3008188304409003</v>
      </c>
      <c r="AE17">
        <f>AVERAGE(V17:V20)</f>
        <v>2.2916666666666665</v>
      </c>
      <c r="AF17">
        <f>_xlfn.STDEV.S(V17:V20)</f>
        <v>0.71775685097346287</v>
      </c>
    </row>
    <row r="18" spans="1:32" x14ac:dyDescent="0.3">
      <c r="B18">
        <v>61</v>
      </c>
      <c r="C18">
        <v>39</v>
      </c>
      <c r="D18">
        <v>3</v>
      </c>
      <c r="E18">
        <v>97</v>
      </c>
      <c r="G18">
        <v>47</v>
      </c>
      <c r="H18">
        <v>53</v>
      </c>
      <c r="I18">
        <v>0</v>
      </c>
      <c r="J18">
        <v>100</v>
      </c>
      <c r="L18">
        <v>26</v>
      </c>
      <c r="M18">
        <v>74</v>
      </c>
      <c r="N18">
        <v>2</v>
      </c>
      <c r="O18">
        <v>98</v>
      </c>
      <c r="Q18">
        <f t="shared" si="0"/>
        <v>21</v>
      </c>
      <c r="R18">
        <f t="shared" si="1"/>
        <v>26.5</v>
      </c>
      <c r="S18">
        <f t="shared" si="2"/>
        <v>38</v>
      </c>
      <c r="T18">
        <f t="shared" si="3"/>
        <v>28.5</v>
      </c>
      <c r="U18">
        <f t="shared" si="4"/>
        <v>21</v>
      </c>
      <c r="V18">
        <f t="shared" si="5"/>
        <v>2.5</v>
      </c>
    </row>
    <row r="19" spans="1:32" x14ac:dyDescent="0.3">
      <c r="B19">
        <v>58</v>
      </c>
      <c r="C19">
        <v>42</v>
      </c>
      <c r="D19">
        <v>2</v>
      </c>
      <c r="E19">
        <v>98</v>
      </c>
      <c r="G19">
        <v>44</v>
      </c>
      <c r="H19">
        <v>56</v>
      </c>
      <c r="I19">
        <v>2</v>
      </c>
      <c r="J19">
        <v>98</v>
      </c>
      <c r="L19">
        <v>22</v>
      </c>
      <c r="M19">
        <v>78</v>
      </c>
      <c r="N19">
        <v>7</v>
      </c>
      <c r="O19">
        <v>93</v>
      </c>
      <c r="Q19">
        <f t="shared" si="0"/>
        <v>22</v>
      </c>
      <c r="R19">
        <f t="shared" si="1"/>
        <v>29</v>
      </c>
      <c r="S19">
        <f t="shared" si="2"/>
        <v>42.5</v>
      </c>
      <c r="T19">
        <f t="shared" si="3"/>
        <v>31.166666666666668</v>
      </c>
      <c r="U19">
        <f t="shared" si="4"/>
        <v>22</v>
      </c>
      <c r="V19">
        <f t="shared" si="5"/>
        <v>3.0555555555555558</v>
      </c>
    </row>
    <row r="20" spans="1:32" x14ac:dyDescent="0.3">
      <c r="B20">
        <v>58</v>
      </c>
      <c r="C20">
        <v>42</v>
      </c>
      <c r="D20">
        <v>1</v>
      </c>
      <c r="E20">
        <v>99</v>
      </c>
      <c r="G20">
        <v>51</v>
      </c>
      <c r="H20">
        <v>49</v>
      </c>
      <c r="I20">
        <v>0</v>
      </c>
      <c r="J20">
        <v>100</v>
      </c>
      <c r="L20">
        <v>23</v>
      </c>
      <c r="M20">
        <v>77</v>
      </c>
      <c r="N20">
        <v>1</v>
      </c>
      <c r="O20">
        <v>99</v>
      </c>
      <c r="Q20">
        <f t="shared" si="0"/>
        <v>21.5</v>
      </c>
      <c r="R20">
        <f t="shared" si="1"/>
        <v>24.5</v>
      </c>
      <c r="S20">
        <f t="shared" si="2"/>
        <v>39</v>
      </c>
      <c r="T20">
        <f t="shared" si="3"/>
        <v>28.333333333333332</v>
      </c>
      <c r="U20">
        <f t="shared" si="4"/>
        <v>21.5</v>
      </c>
      <c r="V20">
        <f t="shared" si="5"/>
        <v>2.2777777777777772</v>
      </c>
    </row>
    <row r="22" spans="1:32" x14ac:dyDescent="0.3">
      <c r="A22" t="s">
        <v>52</v>
      </c>
    </row>
    <row r="23" spans="1:32" x14ac:dyDescent="0.3">
      <c r="A23" t="s">
        <v>27</v>
      </c>
    </row>
    <row r="24" spans="1:32" x14ac:dyDescent="0.3">
      <c r="B24">
        <v>57</v>
      </c>
      <c r="C24">
        <v>43</v>
      </c>
      <c r="D24">
        <v>1</v>
      </c>
      <c r="E24">
        <v>99</v>
      </c>
      <c r="G24">
        <v>53</v>
      </c>
      <c r="H24">
        <v>47</v>
      </c>
      <c r="I24">
        <v>1</v>
      </c>
      <c r="J24">
        <v>99</v>
      </c>
      <c r="L24">
        <v>17</v>
      </c>
      <c r="M24">
        <v>83</v>
      </c>
      <c r="N24">
        <v>2</v>
      </c>
      <c r="O24">
        <v>98</v>
      </c>
      <c r="Q24">
        <f t="shared" si="0"/>
        <v>22</v>
      </c>
      <c r="R24">
        <f t="shared" si="1"/>
        <v>24</v>
      </c>
      <c r="S24">
        <f t="shared" si="2"/>
        <v>42.5</v>
      </c>
      <c r="T24">
        <f t="shared" si="3"/>
        <v>29.5</v>
      </c>
      <c r="U24">
        <f t="shared" si="4"/>
        <v>22</v>
      </c>
      <c r="V24">
        <f t="shared" si="5"/>
        <v>2.5</v>
      </c>
      <c r="W24">
        <f>AVERAGE(Q24:Q27)</f>
        <v>21.625</v>
      </c>
      <c r="X24">
        <f>_xlfn.STDEV.S(Q24:Q27)</f>
        <v>3.3509948771471834</v>
      </c>
      <c r="Y24">
        <f>AVERAGE(R24:R27)</f>
        <v>24.625</v>
      </c>
      <c r="Z24">
        <f>_xlfn.STDEV.S(R24:R27)</f>
        <v>2.3584952830141508</v>
      </c>
      <c r="AA24">
        <f>AVERAGE(S24:S27)</f>
        <v>42.625</v>
      </c>
      <c r="AB24">
        <f>_xlfn.STDEV.S(S24:S27)</f>
        <v>2.0155644370746373</v>
      </c>
      <c r="AC24">
        <f>AVERAGE(T24:T27)</f>
        <v>29.625</v>
      </c>
      <c r="AD24">
        <f>_xlfn.STDEV.S(T24:T27)</f>
        <v>2.3228933107943939</v>
      </c>
      <c r="AE24">
        <f>AVERAGE(V24:V27)</f>
        <v>2.6666666666666661</v>
      </c>
      <c r="AF24">
        <f>_xlfn.STDEV.S(V24:V27)</f>
        <v>0.56108360768678478</v>
      </c>
    </row>
    <row r="25" spans="1:32" x14ac:dyDescent="0.3">
      <c r="B25">
        <v>66</v>
      </c>
      <c r="C25">
        <v>34</v>
      </c>
      <c r="D25">
        <v>0</v>
      </c>
      <c r="E25">
        <v>100</v>
      </c>
      <c r="G25">
        <v>54</v>
      </c>
      <c r="H25">
        <v>46</v>
      </c>
      <c r="I25">
        <v>2</v>
      </c>
      <c r="J25">
        <v>98</v>
      </c>
      <c r="L25">
        <v>19</v>
      </c>
      <c r="M25">
        <v>81</v>
      </c>
      <c r="N25">
        <v>1</v>
      </c>
      <c r="O25">
        <v>99</v>
      </c>
      <c r="Q25">
        <f t="shared" si="0"/>
        <v>17</v>
      </c>
      <c r="R25">
        <f t="shared" si="1"/>
        <v>24</v>
      </c>
      <c r="S25">
        <f t="shared" si="2"/>
        <v>41</v>
      </c>
      <c r="T25">
        <f t="shared" si="3"/>
        <v>27.333333333333332</v>
      </c>
      <c r="U25">
        <f t="shared" si="4"/>
        <v>17</v>
      </c>
      <c r="V25">
        <f t="shared" si="5"/>
        <v>3.4444444444444438</v>
      </c>
    </row>
    <row r="26" spans="1:32" x14ac:dyDescent="0.3">
      <c r="B26">
        <v>61</v>
      </c>
      <c r="C26">
        <v>39</v>
      </c>
      <c r="D26">
        <v>6</v>
      </c>
      <c r="E26">
        <v>94</v>
      </c>
      <c r="G26">
        <v>57</v>
      </c>
      <c r="H26">
        <v>43</v>
      </c>
      <c r="I26">
        <v>2</v>
      </c>
      <c r="J26">
        <v>98</v>
      </c>
      <c r="L26">
        <v>24</v>
      </c>
      <c r="M26">
        <v>76</v>
      </c>
      <c r="N26">
        <v>7</v>
      </c>
      <c r="O26">
        <v>93</v>
      </c>
      <c r="Q26">
        <f t="shared" si="0"/>
        <v>22.5</v>
      </c>
      <c r="R26">
        <f t="shared" si="1"/>
        <v>22.5</v>
      </c>
      <c r="S26">
        <f t="shared" si="2"/>
        <v>41.5</v>
      </c>
      <c r="T26">
        <f t="shared" si="3"/>
        <v>28.833333333333332</v>
      </c>
      <c r="U26">
        <f t="shared" si="4"/>
        <v>22.5</v>
      </c>
      <c r="V26">
        <f t="shared" si="5"/>
        <v>2.1111111111111107</v>
      </c>
    </row>
    <row r="27" spans="1:32" x14ac:dyDescent="0.3">
      <c r="B27">
        <v>50</v>
      </c>
      <c r="C27">
        <v>50</v>
      </c>
      <c r="D27">
        <v>0</v>
      </c>
      <c r="E27">
        <v>100</v>
      </c>
      <c r="G27">
        <v>44</v>
      </c>
      <c r="H27">
        <v>56</v>
      </c>
      <c r="I27">
        <v>0</v>
      </c>
      <c r="J27">
        <v>100</v>
      </c>
      <c r="L27">
        <v>12</v>
      </c>
      <c r="M27">
        <v>88</v>
      </c>
      <c r="N27">
        <v>3</v>
      </c>
      <c r="O27">
        <v>97</v>
      </c>
      <c r="Q27">
        <f t="shared" si="0"/>
        <v>25</v>
      </c>
      <c r="R27">
        <f t="shared" si="1"/>
        <v>28</v>
      </c>
      <c r="S27">
        <f t="shared" si="2"/>
        <v>45.5</v>
      </c>
      <c r="T27">
        <f t="shared" si="3"/>
        <v>32.833333333333336</v>
      </c>
      <c r="U27">
        <f t="shared" si="4"/>
        <v>25</v>
      </c>
      <c r="V27">
        <f t="shared" si="5"/>
        <v>2.6111111111111116</v>
      </c>
    </row>
    <row r="30" spans="1:32" x14ac:dyDescent="0.3">
      <c r="A30" t="s">
        <v>53</v>
      </c>
    </row>
    <row r="31" spans="1:32" x14ac:dyDescent="0.3">
      <c r="A31" t="s">
        <v>27</v>
      </c>
    </row>
    <row r="32" spans="1:32" x14ac:dyDescent="0.3">
      <c r="B32">
        <v>61</v>
      </c>
      <c r="C32">
        <v>39</v>
      </c>
      <c r="D32">
        <v>4</v>
      </c>
      <c r="E32">
        <v>96</v>
      </c>
      <c r="G32">
        <v>52</v>
      </c>
      <c r="H32">
        <v>48</v>
      </c>
      <c r="I32">
        <v>4</v>
      </c>
      <c r="J32">
        <v>96</v>
      </c>
      <c r="L32">
        <v>30</v>
      </c>
      <c r="M32">
        <v>70</v>
      </c>
      <c r="N32">
        <v>11</v>
      </c>
      <c r="O32">
        <v>89</v>
      </c>
      <c r="Q32">
        <f t="shared" si="0"/>
        <v>21.5</v>
      </c>
      <c r="R32">
        <f t="shared" si="1"/>
        <v>26</v>
      </c>
      <c r="S32">
        <f t="shared" si="2"/>
        <v>40.5</v>
      </c>
      <c r="T32">
        <f t="shared" si="3"/>
        <v>29.333333333333332</v>
      </c>
      <c r="U32">
        <f t="shared" si="4"/>
        <v>21.5</v>
      </c>
      <c r="V32">
        <f t="shared" si="5"/>
        <v>2.6111111111111107</v>
      </c>
      <c r="W32">
        <f>AVERAGE(Q32:Q37)</f>
        <v>20.916666666666668</v>
      </c>
      <c r="X32">
        <f>_xlfn.STDEV.S(Q32:Q37)</f>
        <v>3.0564140208202648</v>
      </c>
      <c r="Y32">
        <f>AVERAGE(R32:R37)</f>
        <v>25.25</v>
      </c>
      <c r="Z32">
        <f>_xlfn.STDEV.S(R32:R37)</f>
        <v>7.7636975726775965</v>
      </c>
      <c r="AA32">
        <f>AVERAGE(S32:S37)</f>
        <v>39.833333333333336</v>
      </c>
      <c r="AB32">
        <f>_xlfn.STDEV.S(S32:S37)</f>
        <v>2.9944392908634274</v>
      </c>
      <c r="AC32">
        <f>AVERAGE(T32:T37)</f>
        <v>28.666666666666671</v>
      </c>
      <c r="AD32">
        <f>_xlfn.STDEV.S(T32:T37)</f>
        <v>3.7771241264573558</v>
      </c>
      <c r="AE32">
        <f>AVERAGE(V32:V37)</f>
        <v>2.7777777777777772</v>
      </c>
      <c r="AF32">
        <f>_xlfn.STDEV.S(V32:V37)</f>
        <v>0.86922698736035331</v>
      </c>
    </row>
    <row r="33" spans="2:22" x14ac:dyDescent="0.3">
      <c r="B33">
        <v>67</v>
      </c>
      <c r="C33">
        <v>33</v>
      </c>
      <c r="D33">
        <v>9</v>
      </c>
      <c r="E33">
        <v>91</v>
      </c>
      <c r="G33">
        <v>66</v>
      </c>
      <c r="H33">
        <v>34</v>
      </c>
      <c r="I33">
        <v>1</v>
      </c>
      <c r="J33">
        <v>99</v>
      </c>
      <c r="L33">
        <v>33</v>
      </c>
      <c r="M33">
        <v>67</v>
      </c>
      <c r="N33">
        <v>14</v>
      </c>
      <c r="O33">
        <v>86</v>
      </c>
      <c r="Q33">
        <f t="shared" si="0"/>
        <v>21</v>
      </c>
      <c r="R33">
        <f t="shared" si="1"/>
        <v>17.5</v>
      </c>
      <c r="S33">
        <f t="shared" si="2"/>
        <v>40.5</v>
      </c>
      <c r="T33">
        <f t="shared" si="3"/>
        <v>26.333333333333332</v>
      </c>
      <c r="U33">
        <f t="shared" si="4"/>
        <v>17.5</v>
      </c>
      <c r="V33">
        <f t="shared" si="5"/>
        <v>2.9444444444444438</v>
      </c>
    </row>
    <row r="34" spans="2:22" x14ac:dyDescent="0.3">
      <c r="B34">
        <v>63</v>
      </c>
      <c r="C34">
        <v>37</v>
      </c>
      <c r="D34">
        <v>4</v>
      </c>
      <c r="E34">
        <v>96</v>
      </c>
      <c r="G34">
        <v>59</v>
      </c>
      <c r="H34">
        <v>41</v>
      </c>
      <c r="I34">
        <v>4</v>
      </c>
      <c r="J34">
        <v>96</v>
      </c>
      <c r="L34">
        <v>26</v>
      </c>
      <c r="M34">
        <v>74</v>
      </c>
      <c r="N34">
        <v>4</v>
      </c>
      <c r="O34">
        <v>96</v>
      </c>
      <c r="Q34">
        <f t="shared" si="0"/>
        <v>20.5</v>
      </c>
      <c r="R34">
        <f t="shared" si="1"/>
        <v>22.5</v>
      </c>
      <c r="S34">
        <f t="shared" si="2"/>
        <v>39</v>
      </c>
      <c r="T34">
        <f t="shared" si="3"/>
        <v>27.333333333333332</v>
      </c>
      <c r="U34">
        <f t="shared" si="4"/>
        <v>20.5</v>
      </c>
      <c r="V34">
        <f t="shared" si="5"/>
        <v>2.2777777777777772</v>
      </c>
    </row>
    <row r="35" spans="2:22" x14ac:dyDescent="0.3">
      <c r="B35">
        <v>49</v>
      </c>
      <c r="C35">
        <v>51</v>
      </c>
      <c r="D35">
        <v>1</v>
      </c>
      <c r="E35">
        <v>99</v>
      </c>
      <c r="G35">
        <v>45</v>
      </c>
      <c r="H35">
        <v>55</v>
      </c>
      <c r="I35">
        <v>0</v>
      </c>
      <c r="J35">
        <v>100</v>
      </c>
      <c r="L35">
        <v>16</v>
      </c>
      <c r="M35">
        <v>84</v>
      </c>
      <c r="N35">
        <v>3</v>
      </c>
      <c r="O35">
        <v>97</v>
      </c>
      <c r="Q35">
        <f t="shared" si="0"/>
        <v>26</v>
      </c>
      <c r="R35">
        <f t="shared" si="1"/>
        <v>27.5</v>
      </c>
      <c r="S35">
        <f t="shared" si="2"/>
        <v>43.5</v>
      </c>
      <c r="T35">
        <f t="shared" si="3"/>
        <v>32.333333333333336</v>
      </c>
      <c r="U35">
        <f t="shared" si="4"/>
        <v>26</v>
      </c>
      <c r="V35">
        <f t="shared" si="5"/>
        <v>2.1111111111111116</v>
      </c>
    </row>
    <row r="36" spans="2:22" x14ac:dyDescent="0.3">
      <c r="B36">
        <v>74</v>
      </c>
      <c r="C36">
        <v>26</v>
      </c>
      <c r="D36">
        <v>7</v>
      </c>
      <c r="E36">
        <v>93</v>
      </c>
      <c r="G36">
        <v>67</v>
      </c>
      <c r="H36">
        <v>33</v>
      </c>
      <c r="I36">
        <v>5</v>
      </c>
      <c r="J36">
        <v>95</v>
      </c>
      <c r="L36">
        <v>44</v>
      </c>
      <c r="M36">
        <v>56</v>
      </c>
      <c r="N36">
        <v>13</v>
      </c>
      <c r="O36">
        <v>87</v>
      </c>
      <c r="Q36">
        <f t="shared" si="0"/>
        <v>16.5</v>
      </c>
      <c r="R36">
        <f t="shared" si="1"/>
        <v>19</v>
      </c>
      <c r="S36">
        <f t="shared" si="2"/>
        <v>34.5</v>
      </c>
      <c r="T36">
        <f t="shared" si="3"/>
        <v>23.333333333333332</v>
      </c>
      <c r="U36">
        <f t="shared" si="4"/>
        <v>16.5</v>
      </c>
      <c r="V36">
        <f t="shared" si="5"/>
        <v>2.2777777777777772</v>
      </c>
    </row>
    <row r="37" spans="2:22" x14ac:dyDescent="0.3">
      <c r="B37">
        <v>62</v>
      </c>
      <c r="C37">
        <v>38</v>
      </c>
      <c r="D37">
        <v>2</v>
      </c>
      <c r="E37">
        <v>98</v>
      </c>
      <c r="G37">
        <v>24</v>
      </c>
      <c r="H37">
        <v>76</v>
      </c>
      <c r="I37">
        <v>2</v>
      </c>
      <c r="J37">
        <v>98</v>
      </c>
      <c r="L37">
        <v>23</v>
      </c>
      <c r="M37">
        <v>77</v>
      </c>
      <c r="N37">
        <v>5</v>
      </c>
      <c r="O37">
        <v>95</v>
      </c>
      <c r="Q37">
        <f t="shared" si="0"/>
        <v>20</v>
      </c>
      <c r="R37">
        <f t="shared" si="1"/>
        <v>39</v>
      </c>
      <c r="S37">
        <f t="shared" si="2"/>
        <v>41</v>
      </c>
      <c r="T37">
        <f t="shared" si="3"/>
        <v>33.333333333333336</v>
      </c>
      <c r="U37">
        <f t="shared" si="4"/>
        <v>20</v>
      </c>
      <c r="V37">
        <f t="shared" si="5"/>
        <v>4.4444444444444446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36"/>
  <sheetViews>
    <sheetView topLeftCell="U1" workbookViewId="0">
      <selection activeCell="Q2" sqref="Q2:AH2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49</v>
      </c>
    </row>
    <row r="2" spans="1:38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2</v>
      </c>
      <c r="X2" t="s">
        <v>21</v>
      </c>
      <c r="Y2" t="s">
        <v>23</v>
      </c>
      <c r="Z2" t="s">
        <v>24</v>
      </c>
      <c r="AB2" t="s">
        <v>42</v>
      </c>
      <c r="AC2" t="s">
        <v>2</v>
      </c>
      <c r="AD2" t="s">
        <v>23</v>
      </c>
      <c r="AF2" t="s">
        <v>45</v>
      </c>
      <c r="AG2" t="s">
        <v>2</v>
      </c>
      <c r="AH2" t="s">
        <v>23</v>
      </c>
    </row>
    <row r="3" spans="1:38" x14ac:dyDescent="0.3">
      <c r="B3">
        <v>63</v>
      </c>
      <c r="C3">
        <v>37</v>
      </c>
      <c r="D3">
        <v>2</v>
      </c>
      <c r="E3">
        <v>98</v>
      </c>
      <c r="G3">
        <v>63</v>
      </c>
      <c r="H3">
        <v>37</v>
      </c>
      <c r="I3">
        <v>5</v>
      </c>
      <c r="J3">
        <v>95</v>
      </c>
      <c r="L3">
        <v>20</v>
      </c>
      <c r="M3">
        <v>80</v>
      </c>
      <c r="N3">
        <v>1</v>
      </c>
      <c r="O3">
        <v>99</v>
      </c>
      <c r="Q3">
        <f>AVERAGE(C3,D3)</f>
        <v>19.5</v>
      </c>
      <c r="R3">
        <f>AVERAGE(H3,I3)</f>
        <v>21</v>
      </c>
      <c r="S3">
        <f>AVERAGE(M3,N3)</f>
        <v>40.5</v>
      </c>
      <c r="T3">
        <f>AVERAGE(Q3:S3)</f>
        <v>27</v>
      </c>
      <c r="U3">
        <f>MIN(Q3:S3)</f>
        <v>19.5</v>
      </c>
      <c r="V3">
        <f>(1/3)*(T3-U3)</f>
        <v>2.5</v>
      </c>
      <c r="W3">
        <f>AVERAGE(T3:T6)</f>
        <v>28.166666666666668</v>
      </c>
      <c r="X3">
        <f>_xlfn.STDEV.S(T3:T6)</f>
        <v>1.0801234497346432</v>
      </c>
      <c r="Y3">
        <f>AVERAGE(V3:V6)</f>
        <v>2.5138888888888888</v>
      </c>
      <c r="Z3">
        <f>_xlfn.STDEV.S(V3:V6)</f>
        <v>0.46564040595111783</v>
      </c>
      <c r="AB3" t="s">
        <v>54</v>
      </c>
      <c r="AF3" t="s">
        <v>55</v>
      </c>
    </row>
    <row r="4" spans="1:38" x14ac:dyDescent="0.3">
      <c r="B4">
        <v>64</v>
      </c>
      <c r="C4">
        <v>36</v>
      </c>
      <c r="D4">
        <v>3</v>
      </c>
      <c r="E4">
        <v>97</v>
      </c>
      <c r="G4">
        <v>44</v>
      </c>
      <c r="H4">
        <v>56</v>
      </c>
      <c r="I4">
        <v>1</v>
      </c>
      <c r="J4">
        <v>99</v>
      </c>
      <c r="L4">
        <v>34</v>
      </c>
      <c r="M4">
        <v>66</v>
      </c>
      <c r="N4">
        <v>9</v>
      </c>
      <c r="O4">
        <v>91</v>
      </c>
      <c r="Q4">
        <f t="shared" ref="Q4:Q27" si="0">AVERAGE(C4,D4)</f>
        <v>19.5</v>
      </c>
      <c r="R4">
        <f t="shared" ref="R4:R27" si="1">AVERAGE(H4,I4)</f>
        <v>28.5</v>
      </c>
      <c r="S4">
        <f t="shared" ref="S4:S27" si="2">AVERAGE(M4,N4)</f>
        <v>37.5</v>
      </c>
      <c r="T4">
        <f t="shared" ref="T4:T27" si="3">AVERAGE(Q4:S4)</f>
        <v>28.5</v>
      </c>
      <c r="U4">
        <f t="shared" ref="U4:U27" si="4">MIN(Q4:S4)</f>
        <v>19.5</v>
      </c>
      <c r="V4">
        <f t="shared" ref="V4:V27" si="5">(1/3)*(T4-U4)</f>
        <v>3</v>
      </c>
      <c r="AB4" t="s">
        <v>56</v>
      </c>
      <c r="AC4">
        <v>28.041666666666668</v>
      </c>
      <c r="AD4">
        <v>2.5972222222222219</v>
      </c>
      <c r="AF4" t="s">
        <v>56</v>
      </c>
      <c r="AG4">
        <v>28.041666666666668</v>
      </c>
      <c r="AH4">
        <v>2.5972222222222219</v>
      </c>
    </row>
    <row r="5" spans="1:38" x14ac:dyDescent="0.3">
      <c r="B5">
        <v>62</v>
      </c>
      <c r="C5">
        <v>38</v>
      </c>
      <c r="D5">
        <v>6</v>
      </c>
      <c r="E5">
        <v>94</v>
      </c>
      <c r="G5">
        <v>59</v>
      </c>
      <c r="H5">
        <v>41</v>
      </c>
      <c r="I5">
        <v>5</v>
      </c>
      <c r="J5">
        <v>95</v>
      </c>
      <c r="L5">
        <v>39</v>
      </c>
      <c r="M5">
        <v>61</v>
      </c>
      <c r="N5">
        <v>15</v>
      </c>
      <c r="O5">
        <v>85</v>
      </c>
      <c r="Q5">
        <f t="shared" si="0"/>
        <v>22</v>
      </c>
      <c r="R5">
        <f t="shared" si="1"/>
        <v>23</v>
      </c>
      <c r="S5">
        <f t="shared" si="2"/>
        <v>38</v>
      </c>
      <c r="T5">
        <f t="shared" si="3"/>
        <v>27.666666666666668</v>
      </c>
      <c r="U5">
        <f t="shared" si="4"/>
        <v>22</v>
      </c>
      <c r="V5">
        <f t="shared" si="5"/>
        <v>1.8888888888888893</v>
      </c>
    </row>
    <row r="6" spans="1:38" x14ac:dyDescent="0.3">
      <c r="B6">
        <v>58</v>
      </c>
      <c r="C6">
        <v>42</v>
      </c>
      <c r="D6">
        <v>1</v>
      </c>
      <c r="E6">
        <v>99</v>
      </c>
      <c r="G6">
        <v>53</v>
      </c>
      <c r="H6">
        <v>47</v>
      </c>
      <c r="I6">
        <v>1</v>
      </c>
      <c r="J6">
        <v>99</v>
      </c>
      <c r="L6">
        <v>18</v>
      </c>
      <c r="M6">
        <v>82</v>
      </c>
      <c r="N6">
        <v>4</v>
      </c>
      <c r="O6">
        <v>96</v>
      </c>
      <c r="Q6">
        <f t="shared" si="0"/>
        <v>21.5</v>
      </c>
      <c r="R6">
        <f t="shared" si="1"/>
        <v>24</v>
      </c>
      <c r="S6">
        <f t="shared" si="2"/>
        <v>43</v>
      </c>
      <c r="T6">
        <f t="shared" si="3"/>
        <v>29.5</v>
      </c>
      <c r="U6">
        <f t="shared" si="4"/>
        <v>21.5</v>
      </c>
      <c r="V6">
        <f t="shared" si="5"/>
        <v>2.6666666666666665</v>
      </c>
      <c r="AC6" t="s">
        <v>7</v>
      </c>
      <c r="AD6" t="s">
        <v>58</v>
      </c>
      <c r="AE6" t="s">
        <v>9</v>
      </c>
      <c r="AF6" t="s">
        <v>59</v>
      </c>
      <c r="AG6" t="s">
        <v>11</v>
      </c>
      <c r="AH6" t="s">
        <v>60</v>
      </c>
      <c r="AI6" t="s">
        <v>2</v>
      </c>
      <c r="AJ6" t="s">
        <v>21</v>
      </c>
      <c r="AK6" t="s">
        <v>23</v>
      </c>
      <c r="AL6" t="s">
        <v>24</v>
      </c>
    </row>
    <row r="7" spans="1:38" x14ac:dyDescent="0.3">
      <c r="AB7" t="s">
        <v>56</v>
      </c>
      <c r="AC7">
        <f>AVERAGE(Q17:Q20)</f>
        <v>21.125</v>
      </c>
      <c r="AD7">
        <f>_xlfn.STDEV.S(Q17:Q20)</f>
        <v>1.6520189667999174</v>
      </c>
      <c r="AE7">
        <f>AVERAGE(R17:R20)</f>
        <v>25.125</v>
      </c>
      <c r="AF7">
        <f>_xlfn.STDEV.S(R17:R20)</f>
        <v>5.2181574014844232</v>
      </c>
      <c r="AG7">
        <f>AVERAGE(S17:S20)</f>
        <v>37.875</v>
      </c>
      <c r="AH7">
        <f>_xlfn.STDEV.S(S17:S20)</f>
        <v>3.966001344763598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50</v>
      </c>
    </row>
    <row r="9" spans="1:38" x14ac:dyDescent="0.3">
      <c r="A9" t="s">
        <v>27</v>
      </c>
      <c r="F9" t="s">
        <v>28</v>
      </c>
      <c r="K9" t="s">
        <v>29</v>
      </c>
    </row>
    <row r="10" spans="1:38" x14ac:dyDescent="0.3">
      <c r="B10">
        <v>59</v>
      </c>
      <c r="C10">
        <v>41</v>
      </c>
      <c r="D10">
        <v>4</v>
      </c>
      <c r="E10">
        <v>96</v>
      </c>
      <c r="G10">
        <v>56</v>
      </c>
      <c r="H10">
        <v>44</v>
      </c>
      <c r="I10">
        <v>0</v>
      </c>
      <c r="J10">
        <v>100</v>
      </c>
      <c r="L10">
        <v>14</v>
      </c>
      <c r="M10">
        <v>86</v>
      </c>
      <c r="N10">
        <v>3</v>
      </c>
      <c r="O10">
        <v>97</v>
      </c>
      <c r="Q10">
        <f t="shared" si="0"/>
        <v>22.5</v>
      </c>
      <c r="R10">
        <f t="shared" si="1"/>
        <v>22</v>
      </c>
      <c r="S10">
        <f t="shared" si="2"/>
        <v>44.5</v>
      </c>
      <c r="T10">
        <f t="shared" si="3"/>
        <v>29.666666666666668</v>
      </c>
      <c r="U10">
        <f t="shared" si="4"/>
        <v>22</v>
      </c>
      <c r="V10">
        <f t="shared" si="5"/>
        <v>2.5555555555555558</v>
      </c>
      <c r="W10">
        <f>AVERAGE(T10:T13)</f>
        <v>30.333333333333332</v>
      </c>
      <c r="X10">
        <f>_xlfn.STDEV.S(T10:T13)</f>
        <v>2.16452885986424</v>
      </c>
      <c r="Y10">
        <f>AVERAGE(V10:V13)</f>
        <v>3.1944444444444438</v>
      </c>
      <c r="Z10">
        <f>_xlfn.STDEV.S(V10:V13)</f>
        <v>0.90551579099242052</v>
      </c>
    </row>
    <row r="11" spans="1:38" x14ac:dyDescent="0.3">
      <c r="B11">
        <v>40</v>
      </c>
      <c r="C11">
        <v>60</v>
      </c>
      <c r="D11">
        <v>2</v>
      </c>
      <c r="E11">
        <v>98</v>
      </c>
      <c r="G11">
        <v>49</v>
      </c>
      <c r="H11">
        <v>51</v>
      </c>
      <c r="I11">
        <v>0</v>
      </c>
      <c r="J11">
        <v>100</v>
      </c>
      <c r="L11">
        <v>15</v>
      </c>
      <c r="M11">
        <v>85</v>
      </c>
      <c r="N11">
        <v>0</v>
      </c>
      <c r="O11">
        <v>100</v>
      </c>
      <c r="Q11">
        <f t="shared" si="0"/>
        <v>31</v>
      </c>
      <c r="R11">
        <f t="shared" si="1"/>
        <v>25.5</v>
      </c>
      <c r="S11">
        <f t="shared" si="2"/>
        <v>42.5</v>
      </c>
      <c r="T11">
        <f t="shared" si="3"/>
        <v>33</v>
      </c>
      <c r="U11">
        <f t="shared" si="4"/>
        <v>25.5</v>
      </c>
      <c r="V11">
        <f t="shared" si="5"/>
        <v>2.5</v>
      </c>
    </row>
    <row r="12" spans="1:38" x14ac:dyDescent="0.3">
      <c r="B12">
        <v>67</v>
      </c>
      <c r="C12">
        <v>33</v>
      </c>
      <c r="D12">
        <v>3</v>
      </c>
      <c r="E12">
        <v>97</v>
      </c>
      <c r="G12">
        <v>45</v>
      </c>
      <c r="H12">
        <v>55</v>
      </c>
      <c r="I12">
        <v>0</v>
      </c>
      <c r="J12">
        <v>100</v>
      </c>
      <c r="L12">
        <v>32</v>
      </c>
      <c r="M12">
        <v>68</v>
      </c>
      <c r="N12">
        <v>8</v>
      </c>
      <c r="O12">
        <v>92</v>
      </c>
      <c r="Q12">
        <f t="shared" si="0"/>
        <v>18</v>
      </c>
      <c r="R12">
        <f t="shared" si="1"/>
        <v>27.5</v>
      </c>
      <c r="S12">
        <f t="shared" si="2"/>
        <v>38</v>
      </c>
      <c r="T12">
        <f t="shared" si="3"/>
        <v>27.833333333333332</v>
      </c>
      <c r="U12">
        <f t="shared" si="4"/>
        <v>18</v>
      </c>
      <c r="V12">
        <f t="shared" si="5"/>
        <v>3.2777777777777772</v>
      </c>
    </row>
    <row r="13" spans="1:38" x14ac:dyDescent="0.3">
      <c r="B13">
        <v>72</v>
      </c>
      <c r="C13">
        <v>28</v>
      </c>
      <c r="D13">
        <v>7</v>
      </c>
      <c r="E13">
        <v>93</v>
      </c>
      <c r="G13">
        <v>33</v>
      </c>
      <c r="H13">
        <v>67</v>
      </c>
      <c r="I13">
        <v>0</v>
      </c>
      <c r="J13">
        <v>100</v>
      </c>
      <c r="L13">
        <v>27</v>
      </c>
      <c r="M13">
        <v>73</v>
      </c>
      <c r="N13">
        <v>10</v>
      </c>
      <c r="O13">
        <v>90</v>
      </c>
      <c r="Q13">
        <f t="shared" si="0"/>
        <v>17.5</v>
      </c>
      <c r="R13">
        <f t="shared" si="1"/>
        <v>33.5</v>
      </c>
      <c r="S13">
        <f t="shared" si="2"/>
        <v>41.5</v>
      </c>
      <c r="T13">
        <f t="shared" si="3"/>
        <v>30.833333333333332</v>
      </c>
      <c r="U13">
        <f t="shared" si="4"/>
        <v>17.5</v>
      </c>
      <c r="V13">
        <f t="shared" si="5"/>
        <v>4.4444444444444438</v>
      </c>
    </row>
    <row r="15" spans="1:38" x14ac:dyDescent="0.3">
      <c r="A15" t="s">
        <v>51</v>
      </c>
    </row>
    <row r="16" spans="1:38" x14ac:dyDescent="0.3">
      <c r="A16" t="s">
        <v>27</v>
      </c>
      <c r="F16" t="s">
        <v>28</v>
      </c>
      <c r="K16" t="s">
        <v>29</v>
      </c>
    </row>
    <row r="17" spans="1:26" x14ac:dyDescent="0.3">
      <c r="B17">
        <v>62</v>
      </c>
      <c r="C17">
        <v>38</v>
      </c>
      <c r="D17">
        <v>4</v>
      </c>
      <c r="E17">
        <v>96</v>
      </c>
      <c r="G17">
        <v>44</v>
      </c>
      <c r="H17">
        <v>56</v>
      </c>
      <c r="I17">
        <v>1</v>
      </c>
      <c r="J17">
        <v>99</v>
      </c>
      <c r="L17">
        <v>25</v>
      </c>
      <c r="M17">
        <v>75</v>
      </c>
      <c r="N17">
        <v>5</v>
      </c>
      <c r="O17">
        <v>95</v>
      </c>
      <c r="Q17">
        <f t="shared" si="0"/>
        <v>21</v>
      </c>
      <c r="R17">
        <f t="shared" si="1"/>
        <v>28.5</v>
      </c>
      <c r="S17">
        <f t="shared" si="2"/>
        <v>40</v>
      </c>
      <c r="T17">
        <f t="shared" si="3"/>
        <v>29.833333333333332</v>
      </c>
      <c r="U17">
        <f t="shared" si="4"/>
        <v>21</v>
      </c>
      <c r="V17">
        <f t="shared" si="5"/>
        <v>2.9444444444444438</v>
      </c>
      <c r="W17">
        <f>AVERAGE(T17:T20)</f>
        <v>28.041666666666668</v>
      </c>
      <c r="X17">
        <f>_xlfn.STDEV.S(T17:T20)</f>
        <v>3.0103986446980731</v>
      </c>
      <c r="Y17">
        <f>AVERAGE(V17:V20)</f>
        <v>2.5972222222222219</v>
      </c>
      <c r="Z17">
        <f>_xlfn.STDEV.S(V17:V20)</f>
        <v>0.62915286960589489</v>
      </c>
    </row>
    <row r="18" spans="1:26" x14ac:dyDescent="0.3">
      <c r="B18">
        <v>67</v>
      </c>
      <c r="C18">
        <v>33</v>
      </c>
      <c r="D18">
        <v>5</v>
      </c>
      <c r="E18">
        <v>95</v>
      </c>
      <c r="G18">
        <v>63</v>
      </c>
      <c r="H18">
        <v>37</v>
      </c>
      <c r="I18">
        <v>7</v>
      </c>
      <c r="J18">
        <v>93</v>
      </c>
      <c r="L18">
        <v>39</v>
      </c>
      <c r="M18">
        <v>61</v>
      </c>
      <c r="N18">
        <v>12</v>
      </c>
      <c r="O18">
        <v>88</v>
      </c>
      <c r="Q18">
        <f t="shared" si="0"/>
        <v>19</v>
      </c>
      <c r="R18">
        <f t="shared" si="1"/>
        <v>22</v>
      </c>
      <c r="S18">
        <f t="shared" si="2"/>
        <v>36.5</v>
      </c>
      <c r="T18">
        <f t="shared" si="3"/>
        <v>25.833333333333332</v>
      </c>
      <c r="U18">
        <f t="shared" si="4"/>
        <v>19</v>
      </c>
      <c r="V18">
        <f t="shared" si="5"/>
        <v>2.2777777777777772</v>
      </c>
    </row>
    <row r="19" spans="1:26" x14ac:dyDescent="0.3">
      <c r="B19">
        <v>58</v>
      </c>
      <c r="C19">
        <v>42</v>
      </c>
      <c r="D19">
        <v>1</v>
      </c>
      <c r="E19">
        <v>99</v>
      </c>
      <c r="G19">
        <v>39</v>
      </c>
      <c r="H19">
        <v>61</v>
      </c>
      <c r="I19">
        <v>0</v>
      </c>
      <c r="J19">
        <v>100</v>
      </c>
      <c r="L19">
        <v>22</v>
      </c>
      <c r="M19">
        <v>78</v>
      </c>
      <c r="N19">
        <v>6</v>
      </c>
      <c r="O19">
        <v>94</v>
      </c>
      <c r="Q19">
        <f t="shared" si="0"/>
        <v>21.5</v>
      </c>
      <c r="R19">
        <f t="shared" si="1"/>
        <v>30.5</v>
      </c>
      <c r="S19">
        <f t="shared" si="2"/>
        <v>42</v>
      </c>
      <c r="T19">
        <f t="shared" si="3"/>
        <v>31.333333333333332</v>
      </c>
      <c r="U19">
        <f t="shared" si="4"/>
        <v>21.5</v>
      </c>
      <c r="V19">
        <f t="shared" si="5"/>
        <v>3.2777777777777772</v>
      </c>
    </row>
    <row r="20" spans="1:26" x14ac:dyDescent="0.3">
      <c r="B20">
        <v>59</v>
      </c>
      <c r="C20">
        <v>41</v>
      </c>
      <c r="D20">
        <v>5</v>
      </c>
      <c r="E20">
        <v>95</v>
      </c>
      <c r="G20">
        <v>69</v>
      </c>
      <c r="H20">
        <v>31</v>
      </c>
      <c r="I20">
        <v>8</v>
      </c>
      <c r="J20">
        <v>92</v>
      </c>
      <c r="L20">
        <v>37</v>
      </c>
      <c r="M20">
        <v>63</v>
      </c>
      <c r="N20">
        <v>3</v>
      </c>
      <c r="O20">
        <v>97</v>
      </c>
      <c r="Q20">
        <f t="shared" si="0"/>
        <v>23</v>
      </c>
      <c r="R20">
        <f t="shared" si="1"/>
        <v>19.5</v>
      </c>
      <c r="S20">
        <f t="shared" si="2"/>
        <v>33</v>
      </c>
      <c r="T20">
        <f t="shared" si="3"/>
        <v>25.166666666666668</v>
      </c>
      <c r="U20">
        <f t="shared" si="4"/>
        <v>19.5</v>
      </c>
      <c r="V20">
        <f t="shared" si="5"/>
        <v>1.8888888888888893</v>
      </c>
    </row>
    <row r="22" spans="1:26" x14ac:dyDescent="0.3">
      <c r="A22" t="s">
        <v>52</v>
      </c>
    </row>
    <row r="23" spans="1:26" x14ac:dyDescent="0.3">
      <c r="A23" t="s">
        <v>27</v>
      </c>
      <c r="F23" t="s">
        <v>28</v>
      </c>
      <c r="K23" t="s">
        <v>29</v>
      </c>
    </row>
    <row r="24" spans="1:26" x14ac:dyDescent="0.3">
      <c r="B24">
        <v>53</v>
      </c>
      <c r="C24">
        <v>47</v>
      </c>
      <c r="D24">
        <v>3</v>
      </c>
      <c r="E24">
        <v>97</v>
      </c>
      <c r="G24">
        <v>51</v>
      </c>
      <c r="H24">
        <v>49</v>
      </c>
      <c r="I24">
        <v>0</v>
      </c>
      <c r="J24">
        <v>100</v>
      </c>
      <c r="L24">
        <v>13</v>
      </c>
      <c r="M24">
        <v>87</v>
      </c>
      <c r="N24">
        <v>1</v>
      </c>
      <c r="O24">
        <v>99</v>
      </c>
      <c r="Q24">
        <f t="shared" si="0"/>
        <v>25</v>
      </c>
      <c r="R24">
        <f t="shared" si="1"/>
        <v>24.5</v>
      </c>
      <c r="S24">
        <f t="shared" si="2"/>
        <v>44</v>
      </c>
      <c r="T24">
        <f t="shared" si="3"/>
        <v>31.166666666666668</v>
      </c>
      <c r="U24">
        <f t="shared" si="4"/>
        <v>24.5</v>
      </c>
      <c r="V24">
        <f t="shared" si="5"/>
        <v>2.2222222222222223</v>
      </c>
      <c r="W24">
        <f>AVERAGE(T24:T27)</f>
        <v>31.416666666666664</v>
      </c>
      <c r="X24">
        <f>_xlfn.STDEV.S(T24:T27)</f>
        <v>1.5782080790379769</v>
      </c>
      <c r="Y24">
        <f>AVERAGE(V24:V27)</f>
        <v>2.3888888888888884</v>
      </c>
      <c r="Z24">
        <f>_xlfn.STDEV.S(V24:V27)</f>
        <v>0.27591971158798756</v>
      </c>
    </row>
    <row r="25" spans="1:26" x14ac:dyDescent="0.3">
      <c r="B25">
        <v>48</v>
      </c>
      <c r="C25">
        <v>52</v>
      </c>
      <c r="D25">
        <v>4</v>
      </c>
      <c r="E25">
        <v>96</v>
      </c>
      <c r="G25">
        <v>54</v>
      </c>
      <c r="H25">
        <v>46</v>
      </c>
      <c r="I25">
        <v>2</v>
      </c>
      <c r="J25">
        <v>98</v>
      </c>
      <c r="L25">
        <v>13</v>
      </c>
      <c r="M25">
        <v>87</v>
      </c>
      <c r="N25">
        <v>2</v>
      </c>
      <c r="O25">
        <v>98</v>
      </c>
      <c r="Q25">
        <f t="shared" si="0"/>
        <v>28</v>
      </c>
      <c r="R25">
        <f t="shared" si="1"/>
        <v>24</v>
      </c>
      <c r="S25">
        <f t="shared" si="2"/>
        <v>44.5</v>
      </c>
      <c r="T25">
        <f t="shared" si="3"/>
        <v>32.166666666666664</v>
      </c>
      <c r="U25">
        <f t="shared" si="4"/>
        <v>24</v>
      </c>
      <c r="V25">
        <f t="shared" si="5"/>
        <v>2.7222222222222214</v>
      </c>
    </row>
    <row r="26" spans="1:26" x14ac:dyDescent="0.3">
      <c r="B26">
        <v>50</v>
      </c>
      <c r="C26">
        <v>50</v>
      </c>
      <c r="D26">
        <v>9</v>
      </c>
      <c r="E26">
        <v>91</v>
      </c>
      <c r="G26">
        <v>56</v>
      </c>
      <c r="H26">
        <v>44</v>
      </c>
      <c r="I26">
        <v>7</v>
      </c>
      <c r="J26">
        <v>93</v>
      </c>
      <c r="L26">
        <v>18</v>
      </c>
      <c r="M26">
        <v>82</v>
      </c>
      <c r="N26">
        <v>6</v>
      </c>
      <c r="O26">
        <v>94</v>
      </c>
      <c r="Q26">
        <f t="shared" si="0"/>
        <v>29.5</v>
      </c>
      <c r="R26">
        <f t="shared" si="1"/>
        <v>25.5</v>
      </c>
      <c r="S26">
        <f t="shared" si="2"/>
        <v>44</v>
      </c>
      <c r="T26">
        <f t="shared" si="3"/>
        <v>33</v>
      </c>
      <c r="U26">
        <f t="shared" si="4"/>
        <v>25.5</v>
      </c>
      <c r="V26">
        <f t="shared" si="5"/>
        <v>2.5</v>
      </c>
    </row>
    <row r="27" spans="1:26" x14ac:dyDescent="0.3">
      <c r="B27">
        <v>63</v>
      </c>
      <c r="C27">
        <v>37</v>
      </c>
      <c r="D27">
        <v>9</v>
      </c>
      <c r="E27">
        <v>91</v>
      </c>
      <c r="G27">
        <v>52</v>
      </c>
      <c r="H27">
        <v>48</v>
      </c>
      <c r="I27">
        <v>6</v>
      </c>
      <c r="J27">
        <v>94</v>
      </c>
      <c r="L27">
        <v>33</v>
      </c>
      <c r="M27">
        <v>67</v>
      </c>
      <c r="N27">
        <v>9</v>
      </c>
      <c r="O27">
        <v>91</v>
      </c>
      <c r="Q27">
        <f t="shared" si="0"/>
        <v>23</v>
      </c>
      <c r="R27">
        <f t="shared" si="1"/>
        <v>27</v>
      </c>
      <c r="S27">
        <f t="shared" si="2"/>
        <v>38</v>
      </c>
      <c r="T27">
        <f t="shared" si="3"/>
        <v>29.333333333333332</v>
      </c>
      <c r="U27">
        <f t="shared" si="4"/>
        <v>23</v>
      </c>
      <c r="V27">
        <f t="shared" si="5"/>
        <v>2.1111111111111107</v>
      </c>
    </row>
    <row r="30" spans="1:26" x14ac:dyDescent="0.3">
      <c r="A30" t="s">
        <v>53</v>
      </c>
      <c r="F30" t="s">
        <v>28</v>
      </c>
      <c r="K30" t="s">
        <v>29</v>
      </c>
    </row>
    <row r="31" spans="1:26" x14ac:dyDescent="0.3">
      <c r="B31">
        <v>54</v>
      </c>
      <c r="C31">
        <v>46</v>
      </c>
      <c r="D31">
        <v>1</v>
      </c>
      <c r="E31">
        <v>99</v>
      </c>
      <c r="G31">
        <v>43</v>
      </c>
      <c r="H31">
        <v>57</v>
      </c>
      <c r="I31">
        <v>0</v>
      </c>
      <c r="J31">
        <v>100</v>
      </c>
      <c r="L31">
        <v>7</v>
      </c>
      <c r="M31">
        <v>93</v>
      </c>
      <c r="N31">
        <v>0</v>
      </c>
      <c r="O31">
        <v>100</v>
      </c>
      <c r="Q31">
        <f t="shared" ref="Q31:Q36" si="6">AVERAGE(C31,D31)</f>
        <v>23.5</v>
      </c>
      <c r="R31">
        <f t="shared" ref="R31:R36" si="7">AVERAGE(H31,I31)</f>
        <v>28.5</v>
      </c>
      <c r="S31">
        <f t="shared" ref="S31:S36" si="8">AVERAGE(M31,N31)</f>
        <v>46.5</v>
      </c>
      <c r="T31">
        <f t="shared" ref="T31:T36" si="9">AVERAGE(Q31:S31)</f>
        <v>32.833333333333336</v>
      </c>
      <c r="U31">
        <f t="shared" ref="U31:U36" si="10">MIN(Q31:S31)</f>
        <v>23.5</v>
      </c>
      <c r="V31">
        <f t="shared" ref="V31:V36" si="11">(1/3)*(T31-U31)</f>
        <v>3.1111111111111116</v>
      </c>
      <c r="W31">
        <f>AVERAGE(T31:T36)</f>
        <v>28.5</v>
      </c>
      <c r="X31">
        <f>_xlfn.STDEV.S(T31:T36)</f>
        <v>3.2574700476153473</v>
      </c>
      <c r="Y31">
        <f>AVERAGE(V31:V36)</f>
        <v>2.5555555555555554</v>
      </c>
      <c r="Z31">
        <f>_xlfn.STDEV.S(V31:V36)</f>
        <v>0.71319140159472139</v>
      </c>
    </row>
    <row r="32" spans="1:26" x14ac:dyDescent="0.3">
      <c r="B32">
        <v>52</v>
      </c>
      <c r="C32">
        <v>48</v>
      </c>
      <c r="D32">
        <v>1</v>
      </c>
      <c r="E32">
        <v>99</v>
      </c>
      <c r="G32">
        <v>45</v>
      </c>
      <c r="H32">
        <v>55</v>
      </c>
      <c r="I32">
        <v>3</v>
      </c>
      <c r="J32">
        <v>97</v>
      </c>
      <c r="L32">
        <v>24</v>
      </c>
      <c r="M32">
        <v>76</v>
      </c>
      <c r="N32">
        <v>2</v>
      </c>
      <c r="O32">
        <v>98</v>
      </c>
      <c r="Q32">
        <f t="shared" si="6"/>
        <v>24.5</v>
      </c>
      <c r="R32">
        <f t="shared" si="7"/>
        <v>29</v>
      </c>
      <c r="S32">
        <f t="shared" si="8"/>
        <v>39</v>
      </c>
      <c r="T32">
        <f t="shared" si="9"/>
        <v>30.833333333333332</v>
      </c>
      <c r="U32">
        <f t="shared" si="10"/>
        <v>24.5</v>
      </c>
      <c r="V32">
        <f t="shared" si="11"/>
        <v>2.1111111111111107</v>
      </c>
    </row>
    <row r="33" spans="2:22" x14ac:dyDescent="0.3">
      <c r="B33">
        <v>65</v>
      </c>
      <c r="C33">
        <v>35</v>
      </c>
      <c r="D33">
        <v>5</v>
      </c>
      <c r="E33">
        <v>95</v>
      </c>
      <c r="G33">
        <v>65</v>
      </c>
      <c r="H33">
        <v>35</v>
      </c>
      <c r="I33">
        <v>6</v>
      </c>
      <c r="J33">
        <v>94</v>
      </c>
      <c r="L33">
        <v>35</v>
      </c>
      <c r="M33">
        <v>65</v>
      </c>
      <c r="N33">
        <v>12</v>
      </c>
      <c r="O33">
        <v>88</v>
      </c>
      <c r="Q33">
        <f t="shared" si="6"/>
        <v>20</v>
      </c>
      <c r="R33">
        <f t="shared" si="7"/>
        <v>20.5</v>
      </c>
      <c r="S33">
        <f t="shared" si="8"/>
        <v>38.5</v>
      </c>
      <c r="T33">
        <f t="shared" si="9"/>
        <v>26.333333333333332</v>
      </c>
      <c r="U33">
        <f t="shared" si="10"/>
        <v>20</v>
      </c>
      <c r="V33">
        <f t="shared" si="11"/>
        <v>2.1111111111111107</v>
      </c>
    </row>
    <row r="34" spans="2:22" x14ac:dyDescent="0.3">
      <c r="B34">
        <v>72</v>
      </c>
      <c r="C34">
        <v>28</v>
      </c>
      <c r="D34">
        <v>3</v>
      </c>
      <c r="E34">
        <v>97</v>
      </c>
      <c r="G34">
        <v>52</v>
      </c>
      <c r="H34">
        <v>48</v>
      </c>
      <c r="I34">
        <v>1</v>
      </c>
      <c r="J34">
        <v>99</v>
      </c>
      <c r="L34">
        <v>28</v>
      </c>
      <c r="M34">
        <v>72</v>
      </c>
      <c r="N34">
        <v>7</v>
      </c>
      <c r="O34">
        <v>93</v>
      </c>
      <c r="Q34">
        <f t="shared" si="6"/>
        <v>15.5</v>
      </c>
      <c r="R34">
        <f t="shared" si="7"/>
        <v>24.5</v>
      </c>
      <c r="S34">
        <f t="shared" si="8"/>
        <v>39.5</v>
      </c>
      <c r="T34">
        <f t="shared" si="9"/>
        <v>26.5</v>
      </c>
      <c r="U34">
        <f t="shared" si="10"/>
        <v>15.5</v>
      </c>
      <c r="V34">
        <f t="shared" si="11"/>
        <v>3.6666666666666665</v>
      </c>
    </row>
    <row r="35" spans="2:22" x14ac:dyDescent="0.3">
      <c r="B35">
        <v>60</v>
      </c>
      <c r="C35">
        <v>40</v>
      </c>
      <c r="D35">
        <v>5</v>
      </c>
      <c r="E35">
        <v>95</v>
      </c>
      <c r="G35">
        <v>46</v>
      </c>
      <c r="H35">
        <v>54</v>
      </c>
      <c r="I35">
        <v>2</v>
      </c>
      <c r="J35">
        <v>98</v>
      </c>
      <c r="L35">
        <v>24</v>
      </c>
      <c r="M35">
        <v>76</v>
      </c>
      <c r="N35">
        <v>4</v>
      </c>
      <c r="O35">
        <v>96</v>
      </c>
      <c r="Q35">
        <f t="shared" si="6"/>
        <v>22.5</v>
      </c>
      <c r="R35">
        <f t="shared" si="7"/>
        <v>28</v>
      </c>
      <c r="S35">
        <f t="shared" si="8"/>
        <v>40</v>
      </c>
      <c r="T35">
        <f t="shared" si="9"/>
        <v>30.166666666666668</v>
      </c>
      <c r="U35">
        <f t="shared" si="10"/>
        <v>22.5</v>
      </c>
      <c r="V35">
        <f t="shared" si="11"/>
        <v>2.5555555555555558</v>
      </c>
    </row>
    <row r="36" spans="2:22" x14ac:dyDescent="0.3">
      <c r="B36">
        <v>67</v>
      </c>
      <c r="C36">
        <v>33</v>
      </c>
      <c r="D36">
        <v>6</v>
      </c>
      <c r="E36">
        <v>94</v>
      </c>
      <c r="G36">
        <v>67</v>
      </c>
      <c r="H36">
        <v>33</v>
      </c>
      <c r="I36">
        <v>5</v>
      </c>
      <c r="J36">
        <v>95</v>
      </c>
      <c r="L36">
        <v>43</v>
      </c>
      <c r="M36">
        <v>57</v>
      </c>
      <c r="N36">
        <v>12</v>
      </c>
      <c r="O36">
        <v>88</v>
      </c>
      <c r="Q36">
        <f t="shared" si="6"/>
        <v>19.5</v>
      </c>
      <c r="R36">
        <f t="shared" si="7"/>
        <v>19</v>
      </c>
      <c r="S36">
        <f t="shared" si="8"/>
        <v>34.5</v>
      </c>
      <c r="T36">
        <f t="shared" si="9"/>
        <v>24.333333333333332</v>
      </c>
      <c r="U36">
        <f t="shared" si="10"/>
        <v>19</v>
      </c>
      <c r="V36">
        <f t="shared" si="11"/>
        <v>1.7777777777777772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U106"/>
  <sheetViews>
    <sheetView topLeftCell="E2" workbookViewId="0">
      <selection activeCell="L2" sqref="L2:U2"/>
    </sheetView>
  </sheetViews>
  <sheetFormatPr defaultRowHeight="14.4" x14ac:dyDescent="0.3"/>
  <cols>
    <col min="18" max="18" width="13.109375" customWidth="1"/>
  </cols>
  <sheetData>
    <row r="1" spans="1:21" x14ac:dyDescent="0.3">
      <c r="A1" t="s">
        <v>0</v>
      </c>
      <c r="G1" t="s">
        <v>1</v>
      </c>
      <c r="I1" t="s">
        <v>2</v>
      </c>
      <c r="J1" t="s">
        <v>3</v>
      </c>
      <c r="L1" t="s">
        <v>15</v>
      </c>
    </row>
    <row r="2" spans="1:21" x14ac:dyDescent="0.3">
      <c r="A2" t="s">
        <v>6</v>
      </c>
      <c r="L2" t="s">
        <v>16</v>
      </c>
      <c r="M2" t="s">
        <v>17</v>
      </c>
      <c r="N2" t="s">
        <v>18</v>
      </c>
      <c r="O2" t="s">
        <v>20</v>
      </c>
      <c r="P2" t="s">
        <v>2</v>
      </c>
      <c r="Q2" t="s">
        <v>21</v>
      </c>
      <c r="R2" t="s">
        <v>22</v>
      </c>
      <c r="S2" t="s">
        <v>19</v>
      </c>
      <c r="T2" t="s">
        <v>23</v>
      </c>
      <c r="U2" t="s">
        <v>24</v>
      </c>
    </row>
    <row r="3" spans="1:21" x14ac:dyDescent="0.3">
      <c r="A3">
        <v>84</v>
      </c>
      <c r="B3">
        <v>16</v>
      </c>
      <c r="C3">
        <v>10</v>
      </c>
      <c r="D3">
        <v>90</v>
      </c>
      <c r="G3">
        <f>AVERAGE(B3,C3)</f>
        <v>13</v>
      </c>
      <c r="I3">
        <f>AVERAGE(G3:G35)</f>
        <v>15.545454545454545</v>
      </c>
      <c r="J3">
        <f>_xlfn.STDEV.S(G3:G35)</f>
        <v>2.977424527705415</v>
      </c>
      <c r="L3">
        <v>13</v>
      </c>
      <c r="M3">
        <v>18.5</v>
      </c>
      <c r="N3">
        <v>26.5</v>
      </c>
      <c r="O3">
        <f>AVERAGE(L3,M3,N3)</f>
        <v>19.333333333333332</v>
      </c>
      <c r="P3">
        <f>AVERAGE(O3:O35)</f>
        <v>21.479797979797979</v>
      </c>
      <c r="Q3">
        <f>_xlfn.STDEV.S(O3:O35)</f>
        <v>1.7066849647851146</v>
      </c>
      <c r="R3">
        <f>MIN(L3,M3,N3)</f>
        <v>13</v>
      </c>
      <c r="S3">
        <f>(1/3)*(O3-R3)</f>
        <v>2.1111111111111107</v>
      </c>
      <c r="T3">
        <f>AVERAGE(S3:S35)</f>
        <v>2.0690235690235692</v>
      </c>
      <c r="U3">
        <f>_xlfn.STDEV.S(S3:S35)</f>
        <v>0.69652885828960742</v>
      </c>
    </row>
    <row r="4" spans="1:21" x14ac:dyDescent="0.3">
      <c r="A4">
        <v>84</v>
      </c>
      <c r="B4">
        <v>9</v>
      </c>
      <c r="C4">
        <v>10</v>
      </c>
      <c r="D4">
        <v>90</v>
      </c>
      <c r="G4">
        <f t="shared" ref="G4:G35" si="0">AVERAGE(B4,C4)</f>
        <v>9.5</v>
      </c>
      <c r="L4">
        <v>9.5</v>
      </c>
      <c r="M4">
        <v>24.5</v>
      </c>
      <c r="N4">
        <v>24.5</v>
      </c>
      <c r="O4">
        <f t="shared" ref="O4:O35" si="1">AVERAGE(L4,M4,N4)</f>
        <v>19.5</v>
      </c>
      <c r="R4">
        <f t="shared" ref="R4:R35" si="2">MIN(L4,M4,N4)</f>
        <v>9.5</v>
      </c>
      <c r="S4">
        <f t="shared" ref="S4:S35" si="3">(1/3)*(O4-R4)</f>
        <v>3.333333333333333</v>
      </c>
    </row>
    <row r="5" spans="1:21" x14ac:dyDescent="0.3">
      <c r="A5">
        <v>84</v>
      </c>
      <c r="B5">
        <v>12</v>
      </c>
      <c r="C5">
        <v>9</v>
      </c>
      <c r="D5">
        <v>91</v>
      </c>
      <c r="G5">
        <f t="shared" si="0"/>
        <v>10.5</v>
      </c>
      <c r="L5">
        <v>10.5</v>
      </c>
      <c r="M5">
        <v>23</v>
      </c>
      <c r="N5">
        <v>32.5</v>
      </c>
      <c r="O5">
        <f t="shared" si="1"/>
        <v>22</v>
      </c>
      <c r="R5">
        <f t="shared" si="2"/>
        <v>10.5</v>
      </c>
      <c r="S5">
        <f t="shared" si="3"/>
        <v>3.833333333333333</v>
      </c>
    </row>
    <row r="6" spans="1:21" x14ac:dyDescent="0.3">
      <c r="A6">
        <v>84</v>
      </c>
      <c r="B6">
        <v>17</v>
      </c>
      <c r="C6">
        <v>14</v>
      </c>
      <c r="D6">
        <v>86</v>
      </c>
      <c r="G6">
        <f t="shared" si="0"/>
        <v>15.5</v>
      </c>
      <c r="L6">
        <v>15.5</v>
      </c>
      <c r="M6">
        <v>23</v>
      </c>
      <c r="N6">
        <v>20</v>
      </c>
      <c r="O6">
        <f t="shared" si="1"/>
        <v>19.5</v>
      </c>
      <c r="R6">
        <f t="shared" si="2"/>
        <v>15.5</v>
      </c>
      <c r="S6">
        <f t="shared" si="3"/>
        <v>1.3333333333333333</v>
      </c>
    </row>
    <row r="7" spans="1:21" x14ac:dyDescent="0.3">
      <c r="A7">
        <v>84</v>
      </c>
      <c r="B7">
        <v>18</v>
      </c>
      <c r="C7">
        <v>20</v>
      </c>
      <c r="D7">
        <v>80</v>
      </c>
      <c r="G7">
        <f t="shared" si="0"/>
        <v>19</v>
      </c>
      <c r="L7">
        <v>19</v>
      </c>
      <c r="M7">
        <v>20</v>
      </c>
      <c r="N7">
        <v>28.5</v>
      </c>
      <c r="O7">
        <f t="shared" si="1"/>
        <v>22.5</v>
      </c>
      <c r="R7">
        <f t="shared" si="2"/>
        <v>19</v>
      </c>
      <c r="S7">
        <f t="shared" si="3"/>
        <v>1.1666666666666665</v>
      </c>
    </row>
    <row r="8" spans="1:21" x14ac:dyDescent="0.3">
      <c r="A8">
        <v>84</v>
      </c>
      <c r="B8">
        <v>14</v>
      </c>
      <c r="C8">
        <v>7</v>
      </c>
      <c r="D8">
        <v>93</v>
      </c>
      <c r="G8">
        <f t="shared" si="0"/>
        <v>10.5</v>
      </c>
      <c r="L8">
        <v>10.5</v>
      </c>
      <c r="M8">
        <v>20</v>
      </c>
      <c r="N8">
        <v>24.5</v>
      </c>
      <c r="O8">
        <f t="shared" si="1"/>
        <v>18.333333333333332</v>
      </c>
      <c r="R8">
        <f t="shared" si="2"/>
        <v>10.5</v>
      </c>
      <c r="S8">
        <f t="shared" si="3"/>
        <v>2.6111111111111107</v>
      </c>
    </row>
    <row r="9" spans="1:21" x14ac:dyDescent="0.3">
      <c r="A9">
        <v>84</v>
      </c>
      <c r="B9">
        <v>18</v>
      </c>
      <c r="C9">
        <v>20</v>
      </c>
      <c r="D9">
        <v>80</v>
      </c>
      <c r="G9">
        <f t="shared" si="0"/>
        <v>19</v>
      </c>
      <c r="L9">
        <v>19</v>
      </c>
      <c r="M9">
        <v>23</v>
      </c>
      <c r="N9">
        <v>31</v>
      </c>
      <c r="O9">
        <f t="shared" si="1"/>
        <v>24.333333333333332</v>
      </c>
      <c r="R9">
        <f t="shared" si="2"/>
        <v>19</v>
      </c>
      <c r="S9">
        <f t="shared" si="3"/>
        <v>1.7777777777777772</v>
      </c>
    </row>
    <row r="10" spans="1:21" x14ac:dyDescent="0.3">
      <c r="A10">
        <v>84</v>
      </c>
      <c r="B10">
        <v>21</v>
      </c>
      <c r="C10">
        <v>17</v>
      </c>
      <c r="D10">
        <v>83</v>
      </c>
      <c r="G10">
        <f t="shared" si="0"/>
        <v>19</v>
      </c>
      <c r="L10">
        <v>19</v>
      </c>
      <c r="M10">
        <v>14.5</v>
      </c>
      <c r="N10">
        <v>28</v>
      </c>
      <c r="O10">
        <f t="shared" si="1"/>
        <v>20.5</v>
      </c>
      <c r="R10">
        <f t="shared" si="2"/>
        <v>14.5</v>
      </c>
      <c r="S10">
        <f t="shared" si="3"/>
        <v>2</v>
      </c>
    </row>
    <row r="11" spans="1:21" x14ac:dyDescent="0.3">
      <c r="A11">
        <v>84</v>
      </c>
      <c r="B11">
        <v>16</v>
      </c>
      <c r="C11">
        <v>14</v>
      </c>
      <c r="D11">
        <v>86</v>
      </c>
      <c r="G11">
        <f t="shared" si="0"/>
        <v>15</v>
      </c>
      <c r="L11">
        <v>15</v>
      </c>
      <c r="M11">
        <v>17</v>
      </c>
      <c r="N11">
        <v>31.5</v>
      </c>
      <c r="O11">
        <f t="shared" si="1"/>
        <v>21.166666666666668</v>
      </c>
      <c r="R11">
        <f t="shared" si="2"/>
        <v>15</v>
      </c>
      <c r="S11">
        <f t="shared" si="3"/>
        <v>2.0555555555555558</v>
      </c>
    </row>
    <row r="12" spans="1:21" x14ac:dyDescent="0.3">
      <c r="A12">
        <v>84</v>
      </c>
      <c r="B12">
        <v>16</v>
      </c>
      <c r="C12">
        <v>18</v>
      </c>
      <c r="D12">
        <v>82</v>
      </c>
      <c r="G12">
        <f t="shared" si="0"/>
        <v>17</v>
      </c>
      <c r="L12">
        <v>17</v>
      </c>
      <c r="M12">
        <v>15.5</v>
      </c>
      <c r="N12">
        <v>27.5</v>
      </c>
      <c r="O12">
        <f t="shared" si="1"/>
        <v>20</v>
      </c>
      <c r="R12">
        <f t="shared" si="2"/>
        <v>15.5</v>
      </c>
      <c r="S12">
        <f t="shared" si="3"/>
        <v>1.5</v>
      </c>
    </row>
    <row r="13" spans="1:21" x14ac:dyDescent="0.3">
      <c r="A13">
        <v>84</v>
      </c>
      <c r="B13">
        <v>16</v>
      </c>
      <c r="C13">
        <v>8</v>
      </c>
      <c r="D13">
        <v>92</v>
      </c>
      <c r="G13">
        <f t="shared" si="0"/>
        <v>12</v>
      </c>
      <c r="L13">
        <v>12</v>
      </c>
      <c r="M13">
        <v>20.5</v>
      </c>
      <c r="N13">
        <v>28</v>
      </c>
      <c r="O13">
        <f t="shared" si="1"/>
        <v>20.166666666666668</v>
      </c>
      <c r="R13">
        <f t="shared" si="2"/>
        <v>12</v>
      </c>
      <c r="S13">
        <f t="shared" si="3"/>
        <v>2.7222222222222223</v>
      </c>
    </row>
    <row r="14" spans="1:21" x14ac:dyDescent="0.3">
      <c r="A14">
        <v>84</v>
      </c>
      <c r="B14">
        <v>15</v>
      </c>
      <c r="C14">
        <v>15</v>
      </c>
      <c r="D14">
        <v>85</v>
      </c>
      <c r="G14">
        <f t="shared" si="0"/>
        <v>15</v>
      </c>
      <c r="L14">
        <v>15</v>
      </c>
      <c r="M14">
        <v>16</v>
      </c>
      <c r="N14">
        <v>31.5</v>
      </c>
      <c r="O14">
        <f t="shared" si="1"/>
        <v>20.833333333333332</v>
      </c>
      <c r="R14">
        <f t="shared" si="2"/>
        <v>15</v>
      </c>
      <c r="S14">
        <f t="shared" si="3"/>
        <v>1.944444444444444</v>
      </c>
    </row>
    <row r="15" spans="1:21" x14ac:dyDescent="0.3">
      <c r="A15">
        <v>84</v>
      </c>
      <c r="B15">
        <v>23</v>
      </c>
      <c r="C15">
        <v>7</v>
      </c>
      <c r="D15">
        <v>93</v>
      </c>
      <c r="G15">
        <f t="shared" si="0"/>
        <v>15</v>
      </c>
      <c r="L15">
        <v>15</v>
      </c>
      <c r="M15">
        <v>24</v>
      </c>
      <c r="N15">
        <v>31.5</v>
      </c>
      <c r="O15">
        <f t="shared" si="1"/>
        <v>23.5</v>
      </c>
      <c r="R15">
        <f t="shared" si="2"/>
        <v>15</v>
      </c>
      <c r="S15">
        <f t="shared" si="3"/>
        <v>2.833333333333333</v>
      </c>
    </row>
    <row r="16" spans="1:21" x14ac:dyDescent="0.3">
      <c r="A16">
        <v>84</v>
      </c>
      <c r="B16">
        <v>17</v>
      </c>
      <c r="C16">
        <v>14</v>
      </c>
      <c r="D16">
        <v>86</v>
      </c>
      <c r="G16">
        <f t="shared" si="0"/>
        <v>15.5</v>
      </c>
      <c r="L16">
        <v>15.5</v>
      </c>
      <c r="M16">
        <v>21</v>
      </c>
      <c r="N16">
        <v>29</v>
      </c>
      <c r="O16">
        <f t="shared" si="1"/>
        <v>21.833333333333332</v>
      </c>
      <c r="R16">
        <f t="shared" si="2"/>
        <v>15.5</v>
      </c>
      <c r="S16">
        <f t="shared" si="3"/>
        <v>2.1111111111111107</v>
      </c>
    </row>
    <row r="17" spans="1:19" x14ac:dyDescent="0.3">
      <c r="A17">
        <v>84</v>
      </c>
      <c r="B17">
        <v>15</v>
      </c>
      <c r="C17">
        <v>18</v>
      </c>
      <c r="D17">
        <v>82</v>
      </c>
      <c r="G17">
        <f t="shared" si="0"/>
        <v>16.5</v>
      </c>
      <c r="L17">
        <v>16.5</v>
      </c>
      <c r="M17">
        <v>17</v>
      </c>
      <c r="N17">
        <v>26.5</v>
      </c>
      <c r="O17">
        <f t="shared" si="1"/>
        <v>20</v>
      </c>
      <c r="R17">
        <f t="shared" si="2"/>
        <v>16.5</v>
      </c>
      <c r="S17">
        <f t="shared" si="3"/>
        <v>1.1666666666666665</v>
      </c>
    </row>
    <row r="18" spans="1:19" x14ac:dyDescent="0.3">
      <c r="A18">
        <v>84</v>
      </c>
      <c r="B18">
        <v>12</v>
      </c>
      <c r="C18">
        <v>19</v>
      </c>
      <c r="D18">
        <v>81</v>
      </c>
      <c r="G18">
        <f t="shared" si="0"/>
        <v>15.5</v>
      </c>
      <c r="L18">
        <v>15.5</v>
      </c>
      <c r="M18">
        <v>18.5</v>
      </c>
      <c r="N18">
        <v>25</v>
      </c>
      <c r="O18">
        <f t="shared" si="1"/>
        <v>19.666666666666668</v>
      </c>
      <c r="R18">
        <f t="shared" si="2"/>
        <v>15.5</v>
      </c>
      <c r="S18">
        <f t="shared" si="3"/>
        <v>1.3888888888888893</v>
      </c>
    </row>
    <row r="19" spans="1:19" x14ac:dyDescent="0.3">
      <c r="A19">
        <v>84</v>
      </c>
      <c r="B19">
        <v>12</v>
      </c>
      <c r="C19">
        <v>12</v>
      </c>
      <c r="D19">
        <v>88</v>
      </c>
      <c r="G19">
        <f t="shared" si="0"/>
        <v>12</v>
      </c>
      <c r="L19">
        <v>12</v>
      </c>
      <c r="M19">
        <v>18.5</v>
      </c>
      <c r="N19">
        <v>28.5</v>
      </c>
      <c r="O19">
        <f t="shared" si="1"/>
        <v>19.666666666666668</v>
      </c>
      <c r="R19">
        <f t="shared" si="2"/>
        <v>12</v>
      </c>
      <c r="S19">
        <f t="shared" si="3"/>
        <v>2.5555555555555558</v>
      </c>
    </row>
    <row r="20" spans="1:19" x14ac:dyDescent="0.3">
      <c r="A20">
        <v>84</v>
      </c>
      <c r="B20">
        <v>7</v>
      </c>
      <c r="C20">
        <v>19</v>
      </c>
      <c r="D20">
        <v>81</v>
      </c>
      <c r="G20">
        <f t="shared" si="0"/>
        <v>13</v>
      </c>
      <c r="L20">
        <v>13</v>
      </c>
      <c r="M20">
        <v>18</v>
      </c>
      <c r="N20">
        <v>28.5</v>
      </c>
      <c r="O20">
        <f t="shared" si="1"/>
        <v>19.833333333333332</v>
      </c>
      <c r="R20">
        <f t="shared" si="2"/>
        <v>13</v>
      </c>
      <c r="S20">
        <f t="shared" si="3"/>
        <v>2.2777777777777772</v>
      </c>
    </row>
    <row r="21" spans="1:19" x14ac:dyDescent="0.3">
      <c r="A21">
        <v>84</v>
      </c>
      <c r="B21">
        <v>21</v>
      </c>
      <c r="C21">
        <v>10</v>
      </c>
      <c r="D21">
        <v>90</v>
      </c>
      <c r="G21">
        <f t="shared" si="0"/>
        <v>15.5</v>
      </c>
      <c r="L21">
        <v>15.5</v>
      </c>
      <c r="M21">
        <v>23.5</v>
      </c>
      <c r="N21">
        <v>27.5</v>
      </c>
      <c r="O21">
        <f t="shared" si="1"/>
        <v>22.166666666666668</v>
      </c>
      <c r="R21">
        <f t="shared" si="2"/>
        <v>15.5</v>
      </c>
      <c r="S21">
        <f t="shared" si="3"/>
        <v>2.2222222222222223</v>
      </c>
    </row>
    <row r="22" spans="1:19" x14ac:dyDescent="0.3">
      <c r="A22">
        <v>84</v>
      </c>
      <c r="B22">
        <v>15</v>
      </c>
      <c r="C22">
        <v>17</v>
      </c>
      <c r="D22">
        <v>83</v>
      </c>
      <c r="G22">
        <f t="shared" si="0"/>
        <v>16</v>
      </c>
      <c r="L22">
        <v>16</v>
      </c>
      <c r="M22">
        <v>23.5</v>
      </c>
      <c r="N22">
        <v>29</v>
      </c>
      <c r="O22">
        <f t="shared" si="1"/>
        <v>22.833333333333332</v>
      </c>
      <c r="R22">
        <f t="shared" si="2"/>
        <v>16</v>
      </c>
      <c r="S22">
        <f t="shared" si="3"/>
        <v>2.2777777777777772</v>
      </c>
    </row>
    <row r="23" spans="1:19" x14ac:dyDescent="0.3">
      <c r="A23">
        <v>84</v>
      </c>
      <c r="B23">
        <v>12</v>
      </c>
      <c r="C23">
        <v>25</v>
      </c>
      <c r="D23">
        <v>75</v>
      </c>
      <c r="G23">
        <f t="shared" si="0"/>
        <v>18.5</v>
      </c>
      <c r="L23">
        <v>18.5</v>
      </c>
      <c r="M23">
        <v>21</v>
      </c>
      <c r="N23">
        <v>27</v>
      </c>
      <c r="O23">
        <f t="shared" si="1"/>
        <v>22.166666666666668</v>
      </c>
      <c r="R23">
        <f t="shared" si="2"/>
        <v>18.5</v>
      </c>
      <c r="S23">
        <f t="shared" si="3"/>
        <v>1.2222222222222225</v>
      </c>
    </row>
    <row r="24" spans="1:19" x14ac:dyDescent="0.3">
      <c r="A24">
        <v>84</v>
      </c>
      <c r="B24">
        <v>22</v>
      </c>
      <c r="C24">
        <v>13</v>
      </c>
      <c r="D24">
        <v>87</v>
      </c>
      <c r="G24">
        <f t="shared" si="0"/>
        <v>17.5</v>
      </c>
      <c r="L24">
        <v>17.5</v>
      </c>
      <c r="M24">
        <v>22.5</v>
      </c>
      <c r="N24">
        <v>24</v>
      </c>
      <c r="O24">
        <f t="shared" si="1"/>
        <v>21.333333333333332</v>
      </c>
      <c r="R24">
        <f t="shared" si="2"/>
        <v>17.5</v>
      </c>
      <c r="S24">
        <f t="shared" si="3"/>
        <v>1.2777777777777772</v>
      </c>
    </row>
    <row r="25" spans="1:19" x14ac:dyDescent="0.3">
      <c r="A25">
        <v>84</v>
      </c>
      <c r="B25">
        <v>13</v>
      </c>
      <c r="C25">
        <v>26</v>
      </c>
      <c r="D25">
        <v>74</v>
      </c>
      <c r="G25">
        <f t="shared" si="0"/>
        <v>19.5</v>
      </c>
      <c r="L25">
        <v>19.5</v>
      </c>
      <c r="M25">
        <v>22</v>
      </c>
      <c r="N25">
        <v>25.5</v>
      </c>
      <c r="O25">
        <f t="shared" si="1"/>
        <v>22.333333333333332</v>
      </c>
      <c r="R25">
        <f t="shared" si="2"/>
        <v>19.5</v>
      </c>
      <c r="S25">
        <f t="shared" si="3"/>
        <v>0.94444444444444398</v>
      </c>
    </row>
    <row r="26" spans="1:19" x14ac:dyDescent="0.3">
      <c r="A26">
        <v>84</v>
      </c>
      <c r="B26">
        <v>20</v>
      </c>
      <c r="C26">
        <v>17</v>
      </c>
      <c r="D26">
        <v>83</v>
      </c>
      <c r="G26">
        <f t="shared" si="0"/>
        <v>18.5</v>
      </c>
      <c r="L26">
        <v>18.5</v>
      </c>
      <c r="M26">
        <v>22</v>
      </c>
      <c r="N26">
        <v>37</v>
      </c>
      <c r="O26">
        <f t="shared" si="1"/>
        <v>25.833333333333332</v>
      </c>
      <c r="R26">
        <f t="shared" si="2"/>
        <v>18.5</v>
      </c>
      <c r="S26">
        <f t="shared" si="3"/>
        <v>2.4444444444444438</v>
      </c>
    </row>
    <row r="27" spans="1:19" x14ac:dyDescent="0.3">
      <c r="A27">
        <v>84</v>
      </c>
      <c r="B27">
        <v>16</v>
      </c>
      <c r="C27">
        <v>12</v>
      </c>
      <c r="D27">
        <v>88</v>
      </c>
      <c r="G27">
        <f t="shared" si="0"/>
        <v>14</v>
      </c>
      <c r="L27">
        <v>14</v>
      </c>
      <c r="M27">
        <v>25.5</v>
      </c>
      <c r="N27">
        <v>29.5</v>
      </c>
      <c r="O27">
        <f t="shared" si="1"/>
        <v>23</v>
      </c>
      <c r="R27">
        <f t="shared" si="2"/>
        <v>14</v>
      </c>
      <c r="S27">
        <f t="shared" si="3"/>
        <v>3</v>
      </c>
    </row>
    <row r="28" spans="1:19" x14ac:dyDescent="0.3">
      <c r="A28">
        <v>79</v>
      </c>
      <c r="B28">
        <v>21</v>
      </c>
      <c r="C28">
        <v>9</v>
      </c>
      <c r="D28">
        <v>91</v>
      </c>
      <c r="G28">
        <f t="shared" si="0"/>
        <v>15</v>
      </c>
      <c r="L28">
        <v>15</v>
      </c>
      <c r="M28">
        <v>22</v>
      </c>
      <c r="N28">
        <v>31</v>
      </c>
      <c r="O28">
        <f t="shared" si="1"/>
        <v>22.666666666666668</v>
      </c>
      <c r="R28">
        <f t="shared" si="2"/>
        <v>15</v>
      </c>
      <c r="S28">
        <f t="shared" si="3"/>
        <v>2.5555555555555558</v>
      </c>
    </row>
    <row r="29" spans="1:19" x14ac:dyDescent="0.3">
      <c r="A29">
        <v>73</v>
      </c>
      <c r="B29">
        <v>27</v>
      </c>
      <c r="C29">
        <v>8</v>
      </c>
      <c r="D29">
        <v>92</v>
      </c>
      <c r="G29">
        <f t="shared" si="0"/>
        <v>17.5</v>
      </c>
      <c r="L29">
        <v>17.5</v>
      </c>
      <c r="M29">
        <v>21.5</v>
      </c>
      <c r="N29">
        <v>30.5</v>
      </c>
      <c r="O29">
        <f t="shared" si="1"/>
        <v>23.166666666666668</v>
      </c>
      <c r="R29">
        <f t="shared" si="2"/>
        <v>17.5</v>
      </c>
      <c r="S29">
        <f t="shared" si="3"/>
        <v>1.8888888888888893</v>
      </c>
    </row>
    <row r="30" spans="1:19" x14ac:dyDescent="0.3">
      <c r="A30">
        <v>87</v>
      </c>
      <c r="B30">
        <v>13</v>
      </c>
      <c r="C30">
        <v>10</v>
      </c>
      <c r="D30">
        <v>90</v>
      </c>
      <c r="G30">
        <f t="shared" si="0"/>
        <v>11.5</v>
      </c>
      <c r="L30">
        <v>11.5</v>
      </c>
      <c r="M30">
        <v>17.5</v>
      </c>
      <c r="N30">
        <v>32</v>
      </c>
      <c r="O30">
        <f t="shared" si="1"/>
        <v>20.333333333333332</v>
      </c>
      <c r="R30">
        <f t="shared" si="2"/>
        <v>11.5</v>
      </c>
      <c r="S30">
        <f t="shared" si="3"/>
        <v>2.9444444444444438</v>
      </c>
    </row>
    <row r="31" spans="1:19" x14ac:dyDescent="0.3">
      <c r="A31">
        <v>79</v>
      </c>
      <c r="B31">
        <v>21</v>
      </c>
      <c r="C31">
        <v>18</v>
      </c>
      <c r="D31">
        <v>82</v>
      </c>
      <c r="G31">
        <f t="shared" si="0"/>
        <v>19.5</v>
      </c>
      <c r="L31">
        <v>19.5</v>
      </c>
      <c r="M31">
        <v>22</v>
      </c>
      <c r="N31">
        <v>31.5</v>
      </c>
      <c r="O31">
        <f t="shared" si="1"/>
        <v>24.333333333333332</v>
      </c>
      <c r="R31">
        <f t="shared" si="2"/>
        <v>19.5</v>
      </c>
      <c r="S31">
        <f t="shared" si="3"/>
        <v>1.6111111111111107</v>
      </c>
    </row>
    <row r="32" spans="1:19" x14ac:dyDescent="0.3">
      <c r="A32">
        <v>82</v>
      </c>
      <c r="B32">
        <v>18</v>
      </c>
      <c r="C32">
        <v>13</v>
      </c>
      <c r="D32">
        <v>87</v>
      </c>
      <c r="G32">
        <f t="shared" si="0"/>
        <v>15.5</v>
      </c>
      <c r="L32">
        <v>15.5</v>
      </c>
      <c r="M32">
        <v>17</v>
      </c>
      <c r="N32">
        <v>29</v>
      </c>
      <c r="O32">
        <f t="shared" si="1"/>
        <v>20.5</v>
      </c>
      <c r="R32">
        <f t="shared" si="2"/>
        <v>15.5</v>
      </c>
      <c r="S32">
        <f t="shared" si="3"/>
        <v>1.6666666666666665</v>
      </c>
    </row>
    <row r="33" spans="1:19" x14ac:dyDescent="0.3">
      <c r="A33">
        <v>92</v>
      </c>
      <c r="B33">
        <v>8</v>
      </c>
      <c r="C33">
        <v>21</v>
      </c>
      <c r="D33">
        <v>79</v>
      </c>
      <c r="G33">
        <f t="shared" si="0"/>
        <v>14.5</v>
      </c>
      <c r="L33">
        <v>14.5</v>
      </c>
      <c r="M33">
        <v>21.5</v>
      </c>
      <c r="N33">
        <v>29.5</v>
      </c>
      <c r="O33">
        <f t="shared" si="1"/>
        <v>21.833333333333332</v>
      </c>
      <c r="R33">
        <f t="shared" si="2"/>
        <v>14.5</v>
      </c>
      <c r="S33">
        <f t="shared" si="3"/>
        <v>2.4444444444444438</v>
      </c>
    </row>
    <row r="34" spans="1:19" x14ac:dyDescent="0.3">
      <c r="A34">
        <v>84</v>
      </c>
      <c r="B34">
        <v>16</v>
      </c>
      <c r="C34">
        <v>15</v>
      </c>
      <c r="D34">
        <v>85</v>
      </c>
      <c r="G34">
        <f t="shared" si="0"/>
        <v>15.5</v>
      </c>
      <c r="L34">
        <v>15.5</v>
      </c>
      <c r="M34">
        <v>21</v>
      </c>
      <c r="N34">
        <v>27.5</v>
      </c>
      <c r="O34">
        <f t="shared" si="1"/>
        <v>21.333333333333332</v>
      </c>
      <c r="R34">
        <f t="shared" si="2"/>
        <v>15.5</v>
      </c>
      <c r="S34">
        <f t="shared" si="3"/>
        <v>1.944444444444444</v>
      </c>
    </row>
    <row r="35" spans="1:19" x14ac:dyDescent="0.3">
      <c r="A35">
        <v>76</v>
      </c>
      <c r="B35">
        <v>24</v>
      </c>
      <c r="C35">
        <v>20</v>
      </c>
      <c r="D35">
        <v>80</v>
      </c>
      <c r="G35">
        <f t="shared" si="0"/>
        <v>22</v>
      </c>
      <c r="L35">
        <v>22</v>
      </c>
      <c r="M35">
        <v>19</v>
      </c>
      <c r="N35">
        <v>26</v>
      </c>
      <c r="O35">
        <f t="shared" si="1"/>
        <v>22.333333333333332</v>
      </c>
      <c r="R35">
        <f t="shared" si="2"/>
        <v>19</v>
      </c>
      <c r="S35">
        <f t="shared" si="3"/>
        <v>1.1111111111111107</v>
      </c>
    </row>
    <row r="38" spans="1:19" x14ac:dyDescent="0.3">
      <c r="A38" t="s">
        <v>13</v>
      </c>
    </row>
    <row r="39" spans="1:19" x14ac:dyDescent="0.3">
      <c r="A39">
        <v>68</v>
      </c>
      <c r="B39">
        <v>32</v>
      </c>
      <c r="C39">
        <v>5</v>
      </c>
      <c r="D39">
        <v>95</v>
      </c>
      <c r="F39">
        <f t="shared" ref="F39:F71" si="4">AVERAGE(B39,C39)</f>
        <v>18.5</v>
      </c>
      <c r="H39">
        <f>AVERAGE(F39:F71)</f>
        <v>20.424242424242426</v>
      </c>
      <c r="I39">
        <f>_xlfn.STDEV.S(F39:F71)</f>
        <v>2.8149189933982002</v>
      </c>
    </row>
    <row r="40" spans="1:19" x14ac:dyDescent="0.3">
      <c r="A40">
        <v>61</v>
      </c>
      <c r="B40">
        <v>39</v>
      </c>
      <c r="C40">
        <v>10</v>
      </c>
      <c r="D40">
        <v>90</v>
      </c>
      <c r="F40">
        <f t="shared" si="4"/>
        <v>24.5</v>
      </c>
    </row>
    <row r="41" spans="1:19" x14ac:dyDescent="0.3">
      <c r="A41">
        <v>59</v>
      </c>
      <c r="B41">
        <v>41</v>
      </c>
      <c r="C41">
        <v>5</v>
      </c>
      <c r="D41">
        <v>95</v>
      </c>
      <c r="F41">
        <f t="shared" si="4"/>
        <v>23</v>
      </c>
    </row>
    <row r="42" spans="1:19" x14ac:dyDescent="0.3">
      <c r="A42">
        <v>60</v>
      </c>
      <c r="B42">
        <v>40</v>
      </c>
      <c r="C42">
        <v>6</v>
      </c>
      <c r="D42">
        <v>94</v>
      </c>
      <c r="F42">
        <f t="shared" si="4"/>
        <v>23</v>
      </c>
    </row>
    <row r="43" spans="1:19" x14ac:dyDescent="0.3">
      <c r="A43">
        <v>63</v>
      </c>
      <c r="B43">
        <v>37</v>
      </c>
      <c r="C43">
        <v>3</v>
      </c>
      <c r="D43">
        <v>97</v>
      </c>
      <c r="F43">
        <f t="shared" si="4"/>
        <v>20</v>
      </c>
    </row>
    <row r="44" spans="1:19" x14ac:dyDescent="0.3">
      <c r="A44">
        <v>71</v>
      </c>
      <c r="B44">
        <v>29</v>
      </c>
      <c r="C44">
        <v>11</v>
      </c>
      <c r="D44">
        <v>89</v>
      </c>
      <c r="F44">
        <f t="shared" si="4"/>
        <v>20</v>
      </c>
    </row>
    <row r="45" spans="1:19" x14ac:dyDescent="0.3">
      <c r="A45">
        <v>62</v>
      </c>
      <c r="B45">
        <v>38</v>
      </c>
      <c r="C45">
        <v>8</v>
      </c>
      <c r="D45">
        <v>92</v>
      </c>
      <c r="F45">
        <f t="shared" si="4"/>
        <v>23</v>
      </c>
    </row>
    <row r="46" spans="1:19" x14ac:dyDescent="0.3">
      <c r="A46">
        <v>77</v>
      </c>
      <c r="B46">
        <v>23</v>
      </c>
      <c r="C46">
        <v>6</v>
      </c>
      <c r="D46">
        <v>94</v>
      </c>
      <c r="F46">
        <f t="shared" si="4"/>
        <v>14.5</v>
      </c>
    </row>
    <row r="47" spans="1:19" x14ac:dyDescent="0.3">
      <c r="A47">
        <v>69</v>
      </c>
      <c r="B47">
        <v>31</v>
      </c>
      <c r="C47">
        <v>3</v>
      </c>
      <c r="D47">
        <v>97</v>
      </c>
      <c r="F47">
        <f t="shared" si="4"/>
        <v>17</v>
      </c>
    </row>
    <row r="48" spans="1:19" x14ac:dyDescent="0.3">
      <c r="A48">
        <v>73</v>
      </c>
      <c r="B48">
        <v>27</v>
      </c>
      <c r="C48">
        <v>4</v>
      </c>
      <c r="D48">
        <v>96</v>
      </c>
      <c r="F48">
        <f t="shared" si="4"/>
        <v>15.5</v>
      </c>
    </row>
    <row r="49" spans="1:6" x14ac:dyDescent="0.3">
      <c r="A49">
        <v>61</v>
      </c>
      <c r="B49">
        <v>39</v>
      </c>
      <c r="C49">
        <v>2</v>
      </c>
      <c r="D49">
        <v>98</v>
      </c>
      <c r="F49">
        <f t="shared" si="4"/>
        <v>20.5</v>
      </c>
    </row>
    <row r="50" spans="1:6" x14ac:dyDescent="0.3">
      <c r="A50">
        <v>73</v>
      </c>
      <c r="B50">
        <v>27</v>
      </c>
      <c r="C50">
        <v>5</v>
      </c>
      <c r="D50">
        <v>95</v>
      </c>
      <c r="F50">
        <f t="shared" si="4"/>
        <v>16</v>
      </c>
    </row>
    <row r="51" spans="1:6" x14ac:dyDescent="0.3">
      <c r="A51">
        <v>58</v>
      </c>
      <c r="B51">
        <v>42</v>
      </c>
      <c r="C51">
        <v>6</v>
      </c>
      <c r="D51">
        <v>94</v>
      </c>
      <c r="F51">
        <f t="shared" si="4"/>
        <v>24</v>
      </c>
    </row>
    <row r="52" spans="1:6" x14ac:dyDescent="0.3">
      <c r="A52">
        <v>65</v>
      </c>
      <c r="B52">
        <v>35</v>
      </c>
      <c r="C52">
        <v>7</v>
      </c>
      <c r="D52">
        <v>93</v>
      </c>
      <c r="F52">
        <f t="shared" si="4"/>
        <v>21</v>
      </c>
    </row>
    <row r="53" spans="1:6" x14ac:dyDescent="0.3">
      <c r="A53">
        <v>71</v>
      </c>
      <c r="B53">
        <v>29</v>
      </c>
      <c r="C53">
        <v>5</v>
      </c>
      <c r="D53">
        <v>95</v>
      </c>
      <c r="F53">
        <f t="shared" si="4"/>
        <v>17</v>
      </c>
    </row>
    <row r="54" spans="1:6" x14ac:dyDescent="0.3">
      <c r="A54">
        <v>69</v>
      </c>
      <c r="B54">
        <v>31</v>
      </c>
      <c r="C54">
        <v>6</v>
      </c>
      <c r="D54">
        <v>94</v>
      </c>
      <c r="F54">
        <f t="shared" si="4"/>
        <v>18.5</v>
      </c>
    </row>
    <row r="55" spans="1:6" x14ac:dyDescent="0.3">
      <c r="A55">
        <v>72</v>
      </c>
      <c r="B55">
        <v>28</v>
      </c>
      <c r="C55">
        <v>9</v>
      </c>
      <c r="D55">
        <v>91</v>
      </c>
      <c r="F55">
        <f t="shared" si="4"/>
        <v>18.5</v>
      </c>
    </row>
    <row r="56" spans="1:6" x14ac:dyDescent="0.3">
      <c r="A56">
        <v>76</v>
      </c>
      <c r="B56">
        <v>24</v>
      </c>
      <c r="C56">
        <v>12</v>
      </c>
      <c r="D56">
        <v>88</v>
      </c>
      <c r="F56">
        <f t="shared" si="4"/>
        <v>18</v>
      </c>
    </row>
    <row r="57" spans="1:6" x14ac:dyDescent="0.3">
      <c r="A57">
        <v>58</v>
      </c>
      <c r="B57">
        <v>42</v>
      </c>
      <c r="C57">
        <v>5</v>
      </c>
      <c r="D57">
        <v>95</v>
      </c>
      <c r="F57">
        <f t="shared" si="4"/>
        <v>23.5</v>
      </c>
    </row>
    <row r="58" spans="1:6" x14ac:dyDescent="0.3">
      <c r="A58">
        <v>63</v>
      </c>
      <c r="B58">
        <v>37</v>
      </c>
      <c r="C58">
        <v>10</v>
      </c>
      <c r="D58">
        <v>90</v>
      </c>
      <c r="F58">
        <f t="shared" si="4"/>
        <v>23.5</v>
      </c>
    </row>
    <row r="59" spans="1:6" x14ac:dyDescent="0.3">
      <c r="A59">
        <v>64</v>
      </c>
      <c r="B59">
        <v>36</v>
      </c>
      <c r="C59">
        <v>6</v>
      </c>
      <c r="D59">
        <v>94</v>
      </c>
      <c r="F59">
        <f t="shared" si="4"/>
        <v>21</v>
      </c>
    </row>
    <row r="60" spans="1:6" x14ac:dyDescent="0.3">
      <c r="A60">
        <v>58</v>
      </c>
      <c r="B60">
        <v>42</v>
      </c>
      <c r="C60">
        <v>3</v>
      </c>
      <c r="D60">
        <v>97</v>
      </c>
      <c r="F60">
        <f t="shared" si="4"/>
        <v>22.5</v>
      </c>
    </row>
    <row r="61" spans="1:6" x14ac:dyDescent="0.3">
      <c r="A61">
        <v>69</v>
      </c>
      <c r="B61">
        <v>31</v>
      </c>
      <c r="C61">
        <v>13</v>
      </c>
      <c r="D61">
        <v>87</v>
      </c>
      <c r="F61">
        <f t="shared" si="4"/>
        <v>22</v>
      </c>
    </row>
    <row r="62" spans="1:6" x14ac:dyDescent="0.3">
      <c r="A62">
        <v>58</v>
      </c>
      <c r="B62">
        <v>42</v>
      </c>
      <c r="C62">
        <v>2</v>
      </c>
      <c r="D62">
        <v>98</v>
      </c>
      <c r="F62">
        <f t="shared" si="4"/>
        <v>22</v>
      </c>
    </row>
    <row r="63" spans="1:6" x14ac:dyDescent="0.3">
      <c r="A63">
        <v>57</v>
      </c>
      <c r="B63">
        <v>43</v>
      </c>
      <c r="C63">
        <v>8</v>
      </c>
      <c r="D63">
        <v>92</v>
      </c>
      <c r="F63">
        <f t="shared" si="4"/>
        <v>25.5</v>
      </c>
    </row>
    <row r="64" spans="1:6" x14ac:dyDescent="0.3">
      <c r="A64">
        <v>63</v>
      </c>
      <c r="B64">
        <v>37</v>
      </c>
      <c r="C64">
        <v>7</v>
      </c>
      <c r="D64">
        <v>93</v>
      </c>
      <c r="F64">
        <f t="shared" si="4"/>
        <v>22</v>
      </c>
    </row>
    <row r="65" spans="1:9" x14ac:dyDescent="0.3">
      <c r="A65">
        <v>59</v>
      </c>
      <c r="B65">
        <v>41</v>
      </c>
      <c r="C65">
        <v>2</v>
      </c>
      <c r="D65">
        <v>98</v>
      </c>
      <c r="F65">
        <f t="shared" si="4"/>
        <v>21.5</v>
      </c>
    </row>
    <row r="66" spans="1:9" x14ac:dyDescent="0.3">
      <c r="A66">
        <v>69</v>
      </c>
      <c r="B66">
        <v>31</v>
      </c>
      <c r="C66">
        <v>4</v>
      </c>
      <c r="D66">
        <v>96</v>
      </c>
      <c r="F66">
        <f t="shared" si="4"/>
        <v>17.5</v>
      </c>
    </row>
    <row r="67" spans="1:9" x14ac:dyDescent="0.3">
      <c r="A67">
        <v>61</v>
      </c>
      <c r="B67">
        <v>39</v>
      </c>
      <c r="C67">
        <v>5</v>
      </c>
      <c r="D67">
        <v>95</v>
      </c>
      <c r="F67">
        <f t="shared" si="4"/>
        <v>22</v>
      </c>
    </row>
    <row r="68" spans="1:9" x14ac:dyDescent="0.3">
      <c r="A68">
        <v>70</v>
      </c>
      <c r="B68">
        <v>30</v>
      </c>
      <c r="C68">
        <v>4</v>
      </c>
      <c r="D68">
        <v>96</v>
      </c>
      <c r="F68">
        <f t="shared" si="4"/>
        <v>17</v>
      </c>
    </row>
    <row r="69" spans="1:9" x14ac:dyDescent="0.3">
      <c r="A69">
        <v>67</v>
      </c>
      <c r="B69">
        <v>33</v>
      </c>
      <c r="C69">
        <v>10</v>
      </c>
      <c r="D69">
        <v>90</v>
      </c>
      <c r="F69">
        <f t="shared" si="4"/>
        <v>21.5</v>
      </c>
    </row>
    <row r="70" spans="1:9" x14ac:dyDescent="0.3">
      <c r="A70">
        <v>64</v>
      </c>
      <c r="B70">
        <v>36</v>
      </c>
      <c r="C70">
        <v>6</v>
      </c>
      <c r="D70">
        <v>94</v>
      </c>
      <c r="F70">
        <f t="shared" si="4"/>
        <v>21</v>
      </c>
    </row>
    <row r="71" spans="1:9" x14ac:dyDescent="0.3">
      <c r="A71">
        <v>71</v>
      </c>
      <c r="B71">
        <v>29</v>
      </c>
      <c r="C71">
        <v>9</v>
      </c>
      <c r="D71">
        <v>91</v>
      </c>
      <c r="F71">
        <f t="shared" si="4"/>
        <v>19</v>
      </c>
    </row>
    <row r="73" spans="1:9" x14ac:dyDescent="0.3">
      <c r="A73" t="s">
        <v>14</v>
      </c>
    </row>
    <row r="74" spans="1:9" x14ac:dyDescent="0.3">
      <c r="A74">
        <v>64</v>
      </c>
      <c r="B74">
        <v>36</v>
      </c>
      <c r="C74">
        <v>17</v>
      </c>
      <c r="D74">
        <v>83</v>
      </c>
      <c r="F74">
        <f t="shared" ref="F74:F106" si="5">AVERAGE(B74,C74)</f>
        <v>26.5</v>
      </c>
      <c r="H74">
        <f>AVERAGE(F74:F106)</f>
        <v>28.469696969696969</v>
      </c>
      <c r="I74">
        <f>_xlfn.STDEV.S(F74:F106)</f>
        <v>3.1695312003990437</v>
      </c>
    </row>
    <row r="75" spans="1:9" x14ac:dyDescent="0.3">
      <c r="A75">
        <v>65</v>
      </c>
      <c r="B75">
        <v>35</v>
      </c>
      <c r="C75">
        <v>14</v>
      </c>
      <c r="D75">
        <v>86</v>
      </c>
      <c r="F75">
        <f t="shared" si="5"/>
        <v>24.5</v>
      </c>
    </row>
    <row r="76" spans="1:9" x14ac:dyDescent="0.3">
      <c r="A76">
        <v>59</v>
      </c>
      <c r="B76">
        <v>41</v>
      </c>
      <c r="C76">
        <v>24</v>
      </c>
      <c r="D76">
        <v>76</v>
      </c>
      <c r="F76">
        <f t="shared" si="5"/>
        <v>32.5</v>
      </c>
    </row>
    <row r="77" spans="1:9" x14ac:dyDescent="0.3">
      <c r="A77">
        <v>77</v>
      </c>
      <c r="B77">
        <v>23</v>
      </c>
      <c r="C77">
        <v>17</v>
      </c>
      <c r="D77">
        <v>83</v>
      </c>
      <c r="F77">
        <f t="shared" si="5"/>
        <v>20</v>
      </c>
    </row>
    <row r="78" spans="1:9" x14ac:dyDescent="0.3">
      <c r="A78">
        <v>63</v>
      </c>
      <c r="B78">
        <v>37</v>
      </c>
      <c r="C78">
        <v>20</v>
      </c>
      <c r="D78">
        <v>80</v>
      </c>
      <c r="F78">
        <f t="shared" si="5"/>
        <v>28.5</v>
      </c>
    </row>
    <row r="79" spans="1:9" x14ac:dyDescent="0.3">
      <c r="A79">
        <v>67</v>
      </c>
      <c r="B79">
        <v>33</v>
      </c>
      <c r="C79">
        <v>16</v>
      </c>
      <c r="D79">
        <v>84</v>
      </c>
      <c r="F79">
        <f t="shared" si="5"/>
        <v>24.5</v>
      </c>
    </row>
    <row r="80" spans="1:9" x14ac:dyDescent="0.3">
      <c r="A80">
        <v>56</v>
      </c>
      <c r="B80">
        <v>44</v>
      </c>
      <c r="C80">
        <v>18</v>
      </c>
      <c r="D80">
        <v>82</v>
      </c>
      <c r="F80">
        <f t="shared" si="5"/>
        <v>31</v>
      </c>
    </row>
    <row r="81" spans="1:6" x14ac:dyDescent="0.3">
      <c r="A81">
        <v>65</v>
      </c>
      <c r="B81">
        <v>35</v>
      </c>
      <c r="C81">
        <v>21</v>
      </c>
      <c r="D81">
        <v>79</v>
      </c>
      <c r="F81">
        <f t="shared" si="5"/>
        <v>28</v>
      </c>
    </row>
    <row r="82" spans="1:6" x14ac:dyDescent="0.3">
      <c r="A82">
        <v>62</v>
      </c>
      <c r="B82">
        <v>38</v>
      </c>
      <c r="C82">
        <v>25</v>
      </c>
      <c r="D82">
        <v>75</v>
      </c>
      <c r="F82">
        <f t="shared" si="5"/>
        <v>31.5</v>
      </c>
    </row>
    <row r="83" spans="1:6" x14ac:dyDescent="0.3">
      <c r="A83">
        <v>73</v>
      </c>
      <c r="B83">
        <v>27</v>
      </c>
      <c r="C83">
        <v>28</v>
      </c>
      <c r="D83">
        <v>72</v>
      </c>
      <c r="F83">
        <f t="shared" si="5"/>
        <v>27.5</v>
      </c>
    </row>
    <row r="84" spans="1:6" x14ac:dyDescent="0.3">
      <c r="A84">
        <v>60</v>
      </c>
      <c r="B84">
        <v>40</v>
      </c>
      <c r="C84">
        <v>16</v>
      </c>
      <c r="D84">
        <v>84</v>
      </c>
      <c r="F84">
        <f t="shared" si="5"/>
        <v>28</v>
      </c>
    </row>
    <row r="85" spans="1:6" x14ac:dyDescent="0.3">
      <c r="A85">
        <v>59</v>
      </c>
      <c r="B85">
        <v>41</v>
      </c>
      <c r="C85">
        <v>22</v>
      </c>
      <c r="D85">
        <v>78</v>
      </c>
      <c r="F85">
        <f t="shared" si="5"/>
        <v>31.5</v>
      </c>
    </row>
    <row r="86" spans="1:6" x14ac:dyDescent="0.3">
      <c r="A86">
        <v>62</v>
      </c>
      <c r="B86">
        <v>38</v>
      </c>
      <c r="C86">
        <v>25</v>
      </c>
      <c r="D86">
        <v>75</v>
      </c>
      <c r="F86">
        <f t="shared" si="5"/>
        <v>31.5</v>
      </c>
    </row>
    <row r="87" spans="1:6" x14ac:dyDescent="0.3">
      <c r="A87">
        <v>64</v>
      </c>
      <c r="B87">
        <v>36</v>
      </c>
      <c r="C87">
        <v>22</v>
      </c>
      <c r="D87">
        <v>78</v>
      </c>
      <c r="F87">
        <f t="shared" si="5"/>
        <v>29</v>
      </c>
    </row>
    <row r="88" spans="1:6" x14ac:dyDescent="0.3">
      <c r="A88">
        <v>70</v>
      </c>
      <c r="B88">
        <v>30</v>
      </c>
      <c r="C88">
        <v>23</v>
      </c>
      <c r="D88">
        <v>77</v>
      </c>
      <c r="F88">
        <f t="shared" si="5"/>
        <v>26.5</v>
      </c>
    </row>
    <row r="89" spans="1:6" x14ac:dyDescent="0.3">
      <c r="A89">
        <v>70</v>
      </c>
      <c r="B89">
        <v>30</v>
      </c>
      <c r="C89">
        <v>20</v>
      </c>
      <c r="D89">
        <v>80</v>
      </c>
      <c r="F89">
        <f t="shared" si="5"/>
        <v>25</v>
      </c>
    </row>
    <row r="90" spans="1:6" x14ac:dyDescent="0.3">
      <c r="A90">
        <v>72</v>
      </c>
      <c r="B90">
        <v>28</v>
      </c>
      <c r="C90">
        <v>29</v>
      </c>
      <c r="D90">
        <v>71</v>
      </c>
      <c r="F90">
        <f t="shared" si="5"/>
        <v>28.5</v>
      </c>
    </row>
    <row r="91" spans="1:6" x14ac:dyDescent="0.3">
      <c r="A91">
        <v>68</v>
      </c>
      <c r="B91">
        <v>32</v>
      </c>
      <c r="C91">
        <v>25</v>
      </c>
      <c r="D91">
        <v>75</v>
      </c>
      <c r="F91">
        <f t="shared" si="5"/>
        <v>28.5</v>
      </c>
    </row>
    <row r="92" spans="1:6" x14ac:dyDescent="0.3">
      <c r="A92">
        <v>61</v>
      </c>
      <c r="B92">
        <v>39</v>
      </c>
      <c r="C92">
        <v>16</v>
      </c>
      <c r="D92">
        <v>84</v>
      </c>
      <c r="F92">
        <f t="shared" si="5"/>
        <v>27.5</v>
      </c>
    </row>
    <row r="93" spans="1:6" x14ac:dyDescent="0.3">
      <c r="A93">
        <v>64</v>
      </c>
      <c r="B93">
        <v>36</v>
      </c>
      <c r="C93">
        <v>22</v>
      </c>
      <c r="D93">
        <v>78</v>
      </c>
      <c r="F93">
        <f t="shared" si="5"/>
        <v>29</v>
      </c>
    </row>
    <row r="94" spans="1:6" x14ac:dyDescent="0.3">
      <c r="A94">
        <v>65</v>
      </c>
      <c r="B94">
        <v>35</v>
      </c>
      <c r="C94">
        <v>19</v>
      </c>
      <c r="D94">
        <v>81</v>
      </c>
      <c r="F94">
        <f t="shared" si="5"/>
        <v>27</v>
      </c>
    </row>
    <row r="95" spans="1:6" x14ac:dyDescent="0.3">
      <c r="A95">
        <v>65</v>
      </c>
      <c r="B95">
        <v>35</v>
      </c>
      <c r="C95">
        <v>13</v>
      </c>
      <c r="D95">
        <v>87</v>
      </c>
      <c r="F95">
        <f t="shared" si="5"/>
        <v>24</v>
      </c>
    </row>
    <row r="96" spans="1:6" x14ac:dyDescent="0.3">
      <c r="A96">
        <v>78</v>
      </c>
      <c r="B96">
        <v>22</v>
      </c>
      <c r="C96">
        <v>29</v>
      </c>
      <c r="D96">
        <v>71</v>
      </c>
      <c r="F96">
        <f t="shared" si="5"/>
        <v>25.5</v>
      </c>
    </row>
    <row r="97" spans="1:6" x14ac:dyDescent="0.3">
      <c r="A97">
        <v>63</v>
      </c>
      <c r="B97">
        <v>37</v>
      </c>
      <c r="C97">
        <v>37</v>
      </c>
      <c r="D97">
        <v>63</v>
      </c>
      <c r="F97">
        <f t="shared" si="5"/>
        <v>37</v>
      </c>
    </row>
    <row r="98" spans="1:6" x14ac:dyDescent="0.3">
      <c r="A98">
        <v>61</v>
      </c>
      <c r="B98">
        <v>39</v>
      </c>
      <c r="C98">
        <v>20</v>
      </c>
      <c r="D98">
        <v>80</v>
      </c>
      <c r="F98">
        <f t="shared" si="5"/>
        <v>29.5</v>
      </c>
    </row>
    <row r="99" spans="1:6" x14ac:dyDescent="0.3">
      <c r="A99">
        <v>61</v>
      </c>
      <c r="B99">
        <v>39</v>
      </c>
      <c r="C99">
        <v>23</v>
      </c>
      <c r="D99">
        <v>77</v>
      </c>
      <c r="F99">
        <f t="shared" si="5"/>
        <v>31</v>
      </c>
    </row>
    <row r="100" spans="1:6" x14ac:dyDescent="0.3">
      <c r="A100">
        <v>47</v>
      </c>
      <c r="B100">
        <v>53</v>
      </c>
      <c r="C100">
        <v>8</v>
      </c>
      <c r="D100">
        <v>92</v>
      </c>
      <c r="F100">
        <f t="shared" si="5"/>
        <v>30.5</v>
      </c>
    </row>
    <row r="101" spans="1:6" x14ac:dyDescent="0.3">
      <c r="A101">
        <v>64</v>
      </c>
      <c r="B101">
        <v>36</v>
      </c>
      <c r="C101">
        <v>28</v>
      </c>
      <c r="D101">
        <v>72</v>
      </c>
      <c r="F101">
        <f t="shared" si="5"/>
        <v>32</v>
      </c>
    </row>
    <row r="102" spans="1:6" x14ac:dyDescent="0.3">
      <c r="A102">
        <v>64</v>
      </c>
      <c r="B102">
        <v>36</v>
      </c>
      <c r="C102">
        <v>27</v>
      </c>
      <c r="D102">
        <v>73</v>
      </c>
      <c r="F102">
        <f t="shared" si="5"/>
        <v>31.5</v>
      </c>
    </row>
    <row r="103" spans="1:6" x14ac:dyDescent="0.3">
      <c r="A103">
        <v>60</v>
      </c>
      <c r="B103">
        <v>40</v>
      </c>
      <c r="C103">
        <v>18</v>
      </c>
      <c r="D103">
        <v>82</v>
      </c>
      <c r="F103">
        <f t="shared" si="5"/>
        <v>29</v>
      </c>
    </row>
    <row r="104" spans="1:6" x14ac:dyDescent="0.3">
      <c r="A104">
        <v>62</v>
      </c>
      <c r="B104">
        <v>38</v>
      </c>
      <c r="C104">
        <v>21</v>
      </c>
      <c r="D104">
        <v>79</v>
      </c>
      <c r="F104">
        <f t="shared" si="5"/>
        <v>29.5</v>
      </c>
    </row>
    <row r="105" spans="1:6" x14ac:dyDescent="0.3">
      <c r="A105">
        <v>61</v>
      </c>
      <c r="B105">
        <v>39</v>
      </c>
      <c r="C105">
        <v>16</v>
      </c>
      <c r="D105">
        <v>84</v>
      </c>
      <c r="F105">
        <f t="shared" si="5"/>
        <v>27.5</v>
      </c>
    </row>
    <row r="106" spans="1:6" x14ac:dyDescent="0.3">
      <c r="A106">
        <v>69</v>
      </c>
      <c r="B106">
        <v>31</v>
      </c>
      <c r="C106">
        <v>21</v>
      </c>
      <c r="D106">
        <v>79</v>
      </c>
      <c r="F106">
        <f t="shared" si="5"/>
        <v>26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L109"/>
  <sheetViews>
    <sheetView workbookViewId="0">
      <selection sqref="A1:XFD2"/>
    </sheetView>
  </sheetViews>
  <sheetFormatPr defaultRowHeight="14.4" x14ac:dyDescent="0.3"/>
  <cols>
    <col min="21" max="21" width="11.44140625" customWidth="1"/>
    <col min="28" max="28" width="19.44140625" customWidth="1"/>
    <col min="32" max="32" width="20.88671875" customWidth="1"/>
  </cols>
  <sheetData>
    <row r="1" spans="1:38" x14ac:dyDescent="0.3">
      <c r="A1" t="s">
        <v>26</v>
      </c>
    </row>
    <row r="2" spans="1:38" x14ac:dyDescent="0.3">
      <c r="A2" t="s">
        <v>27</v>
      </c>
      <c r="F2" t="s">
        <v>28</v>
      </c>
      <c r="K2" t="s">
        <v>29</v>
      </c>
      <c r="Q2" t="s">
        <v>39</v>
      </c>
      <c r="R2" t="s">
        <v>40</v>
      </c>
      <c r="S2" t="s">
        <v>41</v>
      </c>
      <c r="T2" t="s">
        <v>20</v>
      </c>
      <c r="U2" t="s">
        <v>22</v>
      </c>
      <c r="V2" t="s">
        <v>19</v>
      </c>
      <c r="W2" t="s">
        <v>2</v>
      </c>
      <c r="X2" t="s">
        <v>21</v>
      </c>
      <c r="Y2" t="s">
        <v>23</v>
      </c>
      <c r="Z2" t="s">
        <v>24</v>
      </c>
      <c r="AB2" t="s">
        <v>42</v>
      </c>
      <c r="AC2" t="s">
        <v>2</v>
      </c>
      <c r="AD2" t="s">
        <v>23</v>
      </c>
      <c r="AF2" t="s">
        <v>45</v>
      </c>
      <c r="AG2" t="s">
        <v>2</v>
      </c>
      <c r="AH2" t="s">
        <v>23</v>
      </c>
    </row>
    <row r="3" spans="1:38" x14ac:dyDescent="0.3">
      <c r="B3">
        <v>81</v>
      </c>
      <c r="C3">
        <v>19</v>
      </c>
      <c r="D3">
        <v>16</v>
      </c>
      <c r="E3">
        <v>84</v>
      </c>
      <c r="G3">
        <v>71</v>
      </c>
      <c r="H3">
        <v>29</v>
      </c>
      <c r="I3">
        <v>12</v>
      </c>
      <c r="J3">
        <v>88</v>
      </c>
      <c r="L3">
        <v>65</v>
      </c>
      <c r="M3">
        <v>35</v>
      </c>
      <c r="N3">
        <v>19</v>
      </c>
      <c r="O3">
        <v>81</v>
      </c>
      <c r="Q3">
        <f>AVERAGE(C3,D3)</f>
        <v>17.5</v>
      </c>
      <c r="R3">
        <f>AVERAGE(H3:I3)</f>
        <v>20.5</v>
      </c>
      <c r="S3">
        <f>AVERAGE(M3,N3)</f>
        <v>27</v>
      </c>
      <c r="T3">
        <f>AVERAGE(Q3:S3)</f>
        <v>21.666666666666668</v>
      </c>
      <c r="U3">
        <f>MIN(Q3:S3)</f>
        <v>17.5</v>
      </c>
      <c r="V3">
        <f>(1/3)*(T3-U3)</f>
        <v>1.3888888888888893</v>
      </c>
      <c r="W3">
        <f>AVERAGE(T3:T12)</f>
        <v>21.083333333333332</v>
      </c>
      <c r="X3">
        <f>_xlfn.STDEV.S(T3:T12)</f>
        <v>0.7667874301023484</v>
      </c>
      <c r="Y3">
        <f>AVERAGE(V3:V12)</f>
        <v>1.4944444444444442</v>
      </c>
      <c r="Z3">
        <f>_xlfn.STDEV.S(V3:V12)</f>
        <v>0.51749237087078392</v>
      </c>
      <c r="AB3" t="s">
        <v>43</v>
      </c>
      <c r="AF3" t="s">
        <v>46</v>
      </c>
    </row>
    <row r="4" spans="1:38" x14ac:dyDescent="0.3">
      <c r="B4">
        <v>80</v>
      </c>
      <c r="C4">
        <v>20</v>
      </c>
      <c r="D4">
        <v>22</v>
      </c>
      <c r="E4">
        <v>78</v>
      </c>
      <c r="G4">
        <v>71</v>
      </c>
      <c r="H4">
        <v>29</v>
      </c>
      <c r="I4">
        <v>3</v>
      </c>
      <c r="J4">
        <v>97</v>
      </c>
      <c r="L4">
        <v>53</v>
      </c>
      <c r="M4">
        <v>47</v>
      </c>
      <c r="N4">
        <v>14</v>
      </c>
      <c r="O4">
        <v>86</v>
      </c>
      <c r="Q4">
        <f t="shared" ref="Q4:Q67" si="0">AVERAGE(C4,D4)</f>
        <v>21</v>
      </c>
      <c r="R4">
        <f t="shared" ref="R4:R67" si="1">AVERAGE(H4:I4)</f>
        <v>16</v>
      </c>
      <c r="S4">
        <f t="shared" ref="S4:S67" si="2">AVERAGE(M4,N4)</f>
        <v>30.5</v>
      </c>
      <c r="T4">
        <f t="shared" ref="T4:T67" si="3">AVERAGE(Q4:S4)</f>
        <v>22.5</v>
      </c>
      <c r="U4">
        <f t="shared" ref="U4:U67" si="4">MIN(Q4:S4)</f>
        <v>16</v>
      </c>
      <c r="V4">
        <f t="shared" ref="V4:V67" si="5">(1/3)*(T4-U4)</f>
        <v>2.1666666666666665</v>
      </c>
      <c r="AB4" t="s">
        <v>37</v>
      </c>
      <c r="AC4">
        <v>19.472222222222225</v>
      </c>
      <c r="AD4">
        <v>1.3518518518518519</v>
      </c>
      <c r="AF4" t="s">
        <v>37</v>
      </c>
      <c r="AG4">
        <v>19.472222222222225</v>
      </c>
      <c r="AH4">
        <v>1.3518518518518519</v>
      </c>
    </row>
    <row r="5" spans="1:38" x14ac:dyDescent="0.3">
      <c r="B5">
        <v>85</v>
      </c>
      <c r="C5">
        <v>15</v>
      </c>
      <c r="D5">
        <v>20</v>
      </c>
      <c r="E5">
        <v>80</v>
      </c>
      <c r="G5">
        <v>77</v>
      </c>
      <c r="H5">
        <v>23</v>
      </c>
      <c r="I5">
        <v>8</v>
      </c>
      <c r="J5">
        <v>92</v>
      </c>
      <c r="L5">
        <v>71</v>
      </c>
      <c r="M5">
        <v>29</v>
      </c>
      <c r="N5">
        <v>30</v>
      </c>
      <c r="O5">
        <v>70</v>
      </c>
      <c r="Q5">
        <f t="shared" si="0"/>
        <v>17.5</v>
      </c>
      <c r="R5">
        <f t="shared" si="1"/>
        <v>15.5</v>
      </c>
      <c r="S5">
        <f t="shared" si="2"/>
        <v>29.5</v>
      </c>
      <c r="T5">
        <f t="shared" si="3"/>
        <v>20.833333333333332</v>
      </c>
      <c r="U5">
        <f t="shared" si="4"/>
        <v>15.5</v>
      </c>
      <c r="V5">
        <f t="shared" si="5"/>
        <v>1.7777777777777772</v>
      </c>
      <c r="AB5" t="s">
        <v>38</v>
      </c>
      <c r="AC5">
        <v>19.925925925925927</v>
      </c>
      <c r="AD5">
        <v>1.7530864197530864</v>
      </c>
      <c r="AF5" t="s">
        <v>38</v>
      </c>
      <c r="AG5">
        <v>19.925925925925927</v>
      </c>
      <c r="AH5">
        <v>1.7530864197530864</v>
      </c>
    </row>
    <row r="6" spans="1:38" x14ac:dyDescent="0.3">
      <c r="B6">
        <v>88</v>
      </c>
      <c r="C6">
        <v>12</v>
      </c>
      <c r="D6">
        <v>23</v>
      </c>
      <c r="E6">
        <v>77</v>
      </c>
      <c r="G6">
        <v>76</v>
      </c>
      <c r="H6">
        <v>24</v>
      </c>
      <c r="I6">
        <v>15</v>
      </c>
      <c r="J6">
        <v>85</v>
      </c>
      <c r="L6">
        <v>75</v>
      </c>
      <c r="M6">
        <v>25</v>
      </c>
      <c r="N6">
        <v>26</v>
      </c>
      <c r="O6">
        <v>74</v>
      </c>
      <c r="Q6">
        <f t="shared" si="0"/>
        <v>17.5</v>
      </c>
      <c r="R6">
        <f t="shared" si="1"/>
        <v>19.5</v>
      </c>
      <c r="S6">
        <f t="shared" si="2"/>
        <v>25.5</v>
      </c>
      <c r="T6">
        <f t="shared" si="3"/>
        <v>20.833333333333332</v>
      </c>
      <c r="U6">
        <f t="shared" si="4"/>
        <v>17.5</v>
      </c>
      <c r="V6">
        <f t="shared" si="5"/>
        <v>1.1111111111111107</v>
      </c>
      <c r="AF6" t="s">
        <v>35</v>
      </c>
      <c r="AG6">
        <v>20.333333333333332</v>
      </c>
      <c r="AH6">
        <v>1.7777777777777779</v>
      </c>
    </row>
    <row r="7" spans="1:38" x14ac:dyDescent="0.3">
      <c r="B7">
        <v>81</v>
      </c>
      <c r="C7">
        <v>19</v>
      </c>
      <c r="D7">
        <v>19</v>
      </c>
      <c r="E7">
        <v>81</v>
      </c>
      <c r="G7">
        <v>69</v>
      </c>
      <c r="H7">
        <v>31</v>
      </c>
      <c r="I7">
        <v>7</v>
      </c>
      <c r="J7">
        <v>93</v>
      </c>
      <c r="L7">
        <v>70</v>
      </c>
      <c r="M7">
        <v>30</v>
      </c>
      <c r="N7">
        <v>16</v>
      </c>
      <c r="O7">
        <v>84</v>
      </c>
      <c r="Q7">
        <f t="shared" si="0"/>
        <v>19</v>
      </c>
      <c r="R7">
        <f t="shared" si="1"/>
        <v>19</v>
      </c>
      <c r="S7">
        <f t="shared" si="2"/>
        <v>23</v>
      </c>
      <c r="T7">
        <f t="shared" si="3"/>
        <v>20.333333333333332</v>
      </c>
      <c r="U7">
        <f t="shared" si="4"/>
        <v>19</v>
      </c>
      <c r="V7">
        <f t="shared" si="5"/>
        <v>0.44444444444444403</v>
      </c>
      <c r="AB7" t="s">
        <v>44</v>
      </c>
      <c r="AF7" t="s">
        <v>44</v>
      </c>
    </row>
    <row r="8" spans="1:38" x14ac:dyDescent="0.3">
      <c r="B8">
        <v>91</v>
      </c>
      <c r="C8">
        <v>9</v>
      </c>
      <c r="D8">
        <v>23</v>
      </c>
      <c r="E8">
        <v>77</v>
      </c>
      <c r="G8">
        <v>76</v>
      </c>
      <c r="H8">
        <v>24</v>
      </c>
      <c r="I8">
        <v>10</v>
      </c>
      <c r="J8">
        <v>90</v>
      </c>
      <c r="L8">
        <v>67</v>
      </c>
      <c r="M8">
        <v>33</v>
      </c>
      <c r="N8">
        <v>20</v>
      </c>
      <c r="O8">
        <v>80</v>
      </c>
      <c r="Q8">
        <f t="shared" si="0"/>
        <v>16</v>
      </c>
      <c r="R8">
        <f t="shared" si="1"/>
        <v>17</v>
      </c>
      <c r="S8">
        <f t="shared" si="2"/>
        <v>26.5</v>
      </c>
      <c r="T8">
        <f t="shared" si="3"/>
        <v>19.833333333333332</v>
      </c>
      <c r="U8">
        <f t="shared" si="4"/>
        <v>16</v>
      </c>
      <c r="V8">
        <f t="shared" si="5"/>
        <v>1.2777777777777772</v>
      </c>
      <c r="AB8" t="s">
        <v>37</v>
      </c>
      <c r="AC8">
        <v>19.472222222222225</v>
      </c>
      <c r="AD8">
        <v>1.3518518518518519</v>
      </c>
      <c r="AF8" t="s">
        <v>37</v>
      </c>
      <c r="AG8">
        <v>19.472222222222225</v>
      </c>
      <c r="AH8">
        <v>1.3518518518518519</v>
      </c>
    </row>
    <row r="9" spans="1:38" x14ac:dyDescent="0.3">
      <c r="B9">
        <v>85</v>
      </c>
      <c r="C9">
        <v>15</v>
      </c>
      <c r="D9">
        <v>21</v>
      </c>
      <c r="E9">
        <v>79</v>
      </c>
      <c r="G9">
        <v>79</v>
      </c>
      <c r="H9">
        <v>21</v>
      </c>
      <c r="I9">
        <v>11</v>
      </c>
      <c r="J9">
        <v>89</v>
      </c>
      <c r="L9">
        <v>75</v>
      </c>
      <c r="M9">
        <v>25</v>
      </c>
      <c r="N9">
        <v>33</v>
      </c>
      <c r="O9">
        <v>67</v>
      </c>
      <c r="Q9">
        <f t="shared" si="0"/>
        <v>18</v>
      </c>
      <c r="R9">
        <f t="shared" si="1"/>
        <v>16</v>
      </c>
      <c r="S9">
        <f t="shared" si="2"/>
        <v>29</v>
      </c>
      <c r="T9">
        <f t="shared" si="3"/>
        <v>21</v>
      </c>
      <c r="U9">
        <f t="shared" si="4"/>
        <v>16</v>
      </c>
      <c r="V9">
        <f t="shared" si="5"/>
        <v>1.6666666666666665</v>
      </c>
    </row>
    <row r="10" spans="1:38" x14ac:dyDescent="0.3">
      <c r="B10">
        <v>89</v>
      </c>
      <c r="C10">
        <v>11</v>
      </c>
      <c r="D10">
        <v>23</v>
      </c>
      <c r="E10">
        <v>77</v>
      </c>
      <c r="G10">
        <v>77</v>
      </c>
      <c r="H10">
        <v>23</v>
      </c>
      <c r="I10">
        <v>17</v>
      </c>
      <c r="J10">
        <v>83</v>
      </c>
      <c r="L10">
        <v>73</v>
      </c>
      <c r="M10">
        <v>27</v>
      </c>
      <c r="N10">
        <v>28</v>
      </c>
      <c r="O10">
        <v>72</v>
      </c>
      <c r="Q10">
        <f t="shared" si="0"/>
        <v>17</v>
      </c>
      <c r="R10">
        <f t="shared" si="1"/>
        <v>20</v>
      </c>
      <c r="S10">
        <f t="shared" si="2"/>
        <v>27.5</v>
      </c>
      <c r="T10">
        <f t="shared" si="3"/>
        <v>21.5</v>
      </c>
      <c r="U10">
        <f t="shared" si="4"/>
        <v>17</v>
      </c>
      <c r="V10">
        <f t="shared" si="5"/>
        <v>1.5</v>
      </c>
    </row>
    <row r="11" spans="1:38" x14ac:dyDescent="0.3">
      <c r="B11">
        <v>84</v>
      </c>
      <c r="C11">
        <v>16</v>
      </c>
      <c r="D11">
        <v>12</v>
      </c>
      <c r="E11">
        <v>88</v>
      </c>
      <c r="G11">
        <v>67</v>
      </c>
      <c r="H11">
        <v>33</v>
      </c>
      <c r="I11">
        <v>5</v>
      </c>
      <c r="J11">
        <v>95</v>
      </c>
      <c r="L11">
        <v>64</v>
      </c>
      <c r="M11">
        <v>36</v>
      </c>
      <c r="N11">
        <v>22</v>
      </c>
      <c r="O11">
        <v>78</v>
      </c>
      <c r="Q11">
        <f t="shared" si="0"/>
        <v>14</v>
      </c>
      <c r="R11">
        <f t="shared" si="1"/>
        <v>19</v>
      </c>
      <c r="S11">
        <f t="shared" si="2"/>
        <v>29</v>
      </c>
      <c r="T11">
        <f t="shared" si="3"/>
        <v>20.666666666666668</v>
      </c>
      <c r="U11">
        <f t="shared" si="4"/>
        <v>14</v>
      </c>
      <c r="V11">
        <f t="shared" si="5"/>
        <v>2.2222222222222223</v>
      </c>
      <c r="AC11" t="s">
        <v>7</v>
      </c>
      <c r="AD11" t="s">
        <v>58</v>
      </c>
      <c r="AE11" t="s">
        <v>9</v>
      </c>
      <c r="AF11" t="s">
        <v>59</v>
      </c>
      <c r="AG11" t="s">
        <v>11</v>
      </c>
      <c r="AH11" t="s">
        <v>60</v>
      </c>
      <c r="AI11" t="s">
        <v>2</v>
      </c>
      <c r="AJ11" t="s">
        <v>21</v>
      </c>
      <c r="AK11" t="s">
        <v>23</v>
      </c>
      <c r="AL11" t="s">
        <v>24</v>
      </c>
    </row>
    <row r="12" spans="1:38" x14ac:dyDescent="0.3">
      <c r="B12">
        <v>81</v>
      </c>
      <c r="C12">
        <v>19</v>
      </c>
      <c r="D12">
        <v>16</v>
      </c>
      <c r="E12">
        <v>84</v>
      </c>
      <c r="G12">
        <v>67</v>
      </c>
      <c r="H12">
        <v>33</v>
      </c>
      <c r="I12">
        <v>7</v>
      </c>
      <c r="J12">
        <v>93</v>
      </c>
      <c r="L12">
        <v>64</v>
      </c>
      <c r="M12">
        <v>36</v>
      </c>
      <c r="N12">
        <v>19</v>
      </c>
      <c r="O12">
        <v>81</v>
      </c>
      <c r="Q12">
        <f t="shared" si="0"/>
        <v>17.5</v>
      </c>
      <c r="R12">
        <f t="shared" si="1"/>
        <v>20</v>
      </c>
      <c r="S12">
        <f t="shared" si="2"/>
        <v>27.5</v>
      </c>
      <c r="T12">
        <f t="shared" si="3"/>
        <v>21.666666666666668</v>
      </c>
      <c r="U12">
        <f t="shared" si="4"/>
        <v>17.5</v>
      </c>
      <c r="V12">
        <f t="shared" si="5"/>
        <v>1.3888888888888893</v>
      </c>
      <c r="AB12" t="s">
        <v>25</v>
      </c>
      <c r="AC12">
        <f>AVERAGE(Q16:Q24)</f>
        <v>14.444444444444445</v>
      </c>
      <c r="AD12">
        <f>_xlfn.STDEV.S(Q16:Q24)</f>
        <v>2.5792979234236921</v>
      </c>
      <c r="AE12">
        <f>AVERAGE(R16:R24)</f>
        <v>18.888888888888889</v>
      </c>
      <c r="AF12">
        <f>_xlfn.STDEV.S(R16:R24)</f>
        <v>3.6893239368631057</v>
      </c>
      <c r="AG12">
        <f>AVERAGE(S16:S24)</f>
        <v>28.277777777777779</v>
      </c>
      <c r="AH12">
        <f>_xlfn.STDEV.S(S16:S24)</f>
        <v>3.94581353391724</v>
      </c>
      <c r="AI12">
        <v>20.537037037037035</v>
      </c>
      <c r="AJ12">
        <v>1.3405476124459617</v>
      </c>
      <c r="AK12">
        <v>2.216049382716049</v>
      </c>
      <c r="AL12">
        <v>0.74558600515545947</v>
      </c>
    </row>
    <row r="13" spans="1:38" x14ac:dyDescent="0.3">
      <c r="AB13" t="s">
        <v>37</v>
      </c>
      <c r="AC13">
        <f>AVERAGE(Q92:Q97)</f>
        <v>16.083333333333332</v>
      </c>
      <c r="AD13">
        <f>_xlfn.STDEV.S(Q92:Q97)</f>
        <v>2.083666640004262</v>
      </c>
      <c r="AE13">
        <f>AVERAGE(R92:R97)</f>
        <v>16.333333333333332</v>
      </c>
      <c r="AF13">
        <f>_xlfn.STDEV.S(R92:R97)</f>
        <v>1.5383974345619102</v>
      </c>
      <c r="AG13">
        <f>AVERAGE(S92:S97)</f>
        <v>26</v>
      </c>
      <c r="AH13">
        <f>_xlfn.STDEV.S(S92:S97)</f>
        <v>3.9242833740697169</v>
      </c>
      <c r="AI13">
        <v>19.472222222222225</v>
      </c>
      <c r="AJ13">
        <v>1.7808133805360669</v>
      </c>
      <c r="AK13">
        <v>1.3518518518518519</v>
      </c>
      <c r="AL13">
        <v>0.51480149196723157</v>
      </c>
    </row>
    <row r="14" spans="1:38" x14ac:dyDescent="0.3">
      <c r="A14" t="s">
        <v>25</v>
      </c>
    </row>
    <row r="15" spans="1:38" x14ac:dyDescent="0.3">
      <c r="A15" t="s">
        <v>27</v>
      </c>
      <c r="F15" t="s">
        <v>28</v>
      </c>
      <c r="K15" t="s">
        <v>29</v>
      </c>
    </row>
    <row r="16" spans="1:38" x14ac:dyDescent="0.3">
      <c r="B16">
        <v>82</v>
      </c>
      <c r="C16">
        <v>18</v>
      </c>
      <c r="D16">
        <v>19</v>
      </c>
      <c r="E16">
        <v>81</v>
      </c>
      <c r="G16">
        <v>61</v>
      </c>
      <c r="H16">
        <v>39</v>
      </c>
      <c r="I16">
        <v>9</v>
      </c>
      <c r="J16">
        <v>91</v>
      </c>
      <c r="L16">
        <v>65</v>
      </c>
      <c r="M16">
        <v>35</v>
      </c>
      <c r="N16">
        <v>16</v>
      </c>
      <c r="O16">
        <v>84</v>
      </c>
      <c r="Q16">
        <f t="shared" si="0"/>
        <v>18.5</v>
      </c>
      <c r="R16">
        <f t="shared" si="1"/>
        <v>24</v>
      </c>
      <c r="S16">
        <f t="shared" si="2"/>
        <v>25.5</v>
      </c>
      <c r="T16">
        <f t="shared" si="3"/>
        <v>22.666666666666668</v>
      </c>
      <c r="U16">
        <f t="shared" si="4"/>
        <v>18.5</v>
      </c>
      <c r="V16">
        <f t="shared" si="5"/>
        <v>1.3888888888888893</v>
      </c>
      <c r="W16">
        <f>AVERAGE(T16:T24)</f>
        <v>20.537037037037035</v>
      </c>
      <c r="X16">
        <f>_xlfn.STDEV.S(T16:T24)</f>
        <v>1.3405476124459617</v>
      </c>
      <c r="Y16">
        <f>AVERAGE(V16:V24)</f>
        <v>2.216049382716049</v>
      </c>
      <c r="Z16">
        <f>_xlfn.STDEV.S(V16:V24)</f>
        <v>0.74558600515545947</v>
      </c>
    </row>
    <row r="17" spans="1:26" x14ac:dyDescent="0.3">
      <c r="B17">
        <v>88</v>
      </c>
      <c r="C17">
        <v>12</v>
      </c>
      <c r="D17">
        <v>17</v>
      </c>
      <c r="E17">
        <v>83</v>
      </c>
      <c r="G17">
        <v>85</v>
      </c>
      <c r="H17">
        <v>15</v>
      </c>
      <c r="I17">
        <v>8</v>
      </c>
      <c r="J17">
        <v>92</v>
      </c>
      <c r="L17">
        <v>68</v>
      </c>
      <c r="M17">
        <v>32</v>
      </c>
      <c r="N17">
        <v>33</v>
      </c>
      <c r="O17">
        <v>67</v>
      </c>
      <c r="Q17">
        <f t="shared" si="0"/>
        <v>14.5</v>
      </c>
      <c r="R17">
        <f t="shared" si="1"/>
        <v>11.5</v>
      </c>
      <c r="S17">
        <f t="shared" si="2"/>
        <v>32.5</v>
      </c>
      <c r="T17">
        <f t="shared" si="3"/>
        <v>19.5</v>
      </c>
      <c r="U17">
        <f t="shared" si="4"/>
        <v>11.5</v>
      </c>
      <c r="V17">
        <f t="shared" si="5"/>
        <v>2.6666666666666665</v>
      </c>
    </row>
    <row r="18" spans="1:26" x14ac:dyDescent="0.3">
      <c r="B18">
        <v>90</v>
      </c>
      <c r="C18">
        <v>10</v>
      </c>
      <c r="D18">
        <v>27</v>
      </c>
      <c r="E18">
        <v>73</v>
      </c>
      <c r="G18">
        <v>74</v>
      </c>
      <c r="H18">
        <v>26</v>
      </c>
      <c r="I18">
        <v>7</v>
      </c>
      <c r="J18">
        <v>93</v>
      </c>
      <c r="L18">
        <v>68</v>
      </c>
      <c r="M18">
        <v>32</v>
      </c>
      <c r="N18">
        <v>19</v>
      </c>
      <c r="O18">
        <v>81</v>
      </c>
      <c r="Q18">
        <f t="shared" si="0"/>
        <v>18.5</v>
      </c>
      <c r="R18">
        <f t="shared" si="1"/>
        <v>16.5</v>
      </c>
      <c r="S18">
        <f t="shared" si="2"/>
        <v>25.5</v>
      </c>
      <c r="T18">
        <f t="shared" si="3"/>
        <v>20.166666666666668</v>
      </c>
      <c r="U18">
        <f t="shared" si="4"/>
        <v>16.5</v>
      </c>
      <c r="V18">
        <f t="shared" si="5"/>
        <v>1.2222222222222225</v>
      </c>
    </row>
    <row r="19" spans="1:26" x14ac:dyDescent="0.3">
      <c r="B19">
        <v>90</v>
      </c>
      <c r="C19">
        <v>10</v>
      </c>
      <c r="D19">
        <v>12</v>
      </c>
      <c r="E19">
        <v>88</v>
      </c>
      <c r="G19">
        <v>65</v>
      </c>
      <c r="H19">
        <v>35</v>
      </c>
      <c r="I19">
        <v>4</v>
      </c>
      <c r="J19">
        <v>96</v>
      </c>
      <c r="L19">
        <v>47</v>
      </c>
      <c r="M19">
        <v>53</v>
      </c>
      <c r="N19">
        <v>19</v>
      </c>
      <c r="O19">
        <v>81</v>
      </c>
      <c r="Q19">
        <f t="shared" si="0"/>
        <v>11</v>
      </c>
      <c r="R19">
        <f t="shared" si="1"/>
        <v>19.5</v>
      </c>
      <c r="S19">
        <f t="shared" si="2"/>
        <v>36</v>
      </c>
      <c r="T19">
        <f t="shared" si="3"/>
        <v>22.166666666666668</v>
      </c>
      <c r="U19">
        <f t="shared" si="4"/>
        <v>11</v>
      </c>
      <c r="V19">
        <f t="shared" si="5"/>
        <v>3.7222222222222223</v>
      </c>
    </row>
    <row r="20" spans="1:26" x14ac:dyDescent="0.3">
      <c r="B20">
        <v>92</v>
      </c>
      <c r="C20">
        <v>8</v>
      </c>
      <c r="D20">
        <v>18</v>
      </c>
      <c r="E20">
        <v>82</v>
      </c>
      <c r="G20">
        <v>73</v>
      </c>
      <c r="H20">
        <v>27</v>
      </c>
      <c r="I20">
        <v>14</v>
      </c>
      <c r="J20">
        <v>86</v>
      </c>
      <c r="L20">
        <v>67</v>
      </c>
      <c r="M20">
        <v>33</v>
      </c>
      <c r="N20">
        <v>19</v>
      </c>
      <c r="O20">
        <v>81</v>
      </c>
      <c r="Q20">
        <f t="shared" si="0"/>
        <v>13</v>
      </c>
      <c r="R20">
        <f t="shared" si="1"/>
        <v>20.5</v>
      </c>
      <c r="S20">
        <f t="shared" si="2"/>
        <v>26</v>
      </c>
      <c r="T20">
        <f t="shared" si="3"/>
        <v>19.833333333333332</v>
      </c>
      <c r="U20">
        <f t="shared" si="4"/>
        <v>13</v>
      </c>
      <c r="V20">
        <f t="shared" si="5"/>
        <v>2.2777777777777772</v>
      </c>
    </row>
    <row r="21" spans="1:26" x14ac:dyDescent="0.3">
      <c r="B21">
        <v>87</v>
      </c>
      <c r="C21">
        <v>13</v>
      </c>
      <c r="D21">
        <v>13</v>
      </c>
      <c r="E21">
        <v>87</v>
      </c>
      <c r="G21">
        <v>73</v>
      </c>
      <c r="H21">
        <v>27</v>
      </c>
      <c r="I21">
        <v>10</v>
      </c>
      <c r="J21">
        <v>90</v>
      </c>
      <c r="L21">
        <v>70</v>
      </c>
      <c r="M21">
        <v>30</v>
      </c>
      <c r="N21">
        <v>29</v>
      </c>
      <c r="O21">
        <v>71</v>
      </c>
      <c r="Q21">
        <f t="shared" si="0"/>
        <v>13</v>
      </c>
      <c r="R21">
        <f t="shared" si="1"/>
        <v>18.5</v>
      </c>
      <c r="S21">
        <f t="shared" si="2"/>
        <v>29.5</v>
      </c>
      <c r="T21">
        <f t="shared" si="3"/>
        <v>20.333333333333332</v>
      </c>
      <c r="U21">
        <f t="shared" si="4"/>
        <v>13</v>
      </c>
      <c r="V21">
        <f t="shared" si="5"/>
        <v>2.4444444444444438</v>
      </c>
    </row>
    <row r="22" spans="1:26" x14ac:dyDescent="0.3">
      <c r="B22">
        <v>86</v>
      </c>
      <c r="C22">
        <v>14</v>
      </c>
      <c r="D22">
        <v>16</v>
      </c>
      <c r="E22">
        <v>84</v>
      </c>
      <c r="G22">
        <v>64</v>
      </c>
      <c r="H22">
        <v>36</v>
      </c>
      <c r="I22">
        <v>7</v>
      </c>
      <c r="J22">
        <v>93</v>
      </c>
      <c r="L22">
        <v>67</v>
      </c>
      <c r="M22">
        <v>33</v>
      </c>
      <c r="N22">
        <v>25</v>
      </c>
      <c r="O22">
        <v>75</v>
      </c>
      <c r="Q22">
        <f t="shared" si="0"/>
        <v>15</v>
      </c>
      <c r="R22">
        <f t="shared" si="1"/>
        <v>21.5</v>
      </c>
      <c r="S22">
        <f t="shared" si="2"/>
        <v>29</v>
      </c>
      <c r="T22">
        <f t="shared" si="3"/>
        <v>21.833333333333332</v>
      </c>
      <c r="U22">
        <f t="shared" si="4"/>
        <v>15</v>
      </c>
      <c r="V22">
        <f t="shared" si="5"/>
        <v>2.2777777777777772</v>
      </c>
    </row>
    <row r="23" spans="1:26" x14ac:dyDescent="0.3">
      <c r="B23">
        <v>90</v>
      </c>
      <c r="C23">
        <v>10</v>
      </c>
      <c r="D23">
        <v>15</v>
      </c>
      <c r="E23">
        <v>85</v>
      </c>
      <c r="G23">
        <v>63</v>
      </c>
      <c r="H23">
        <v>37</v>
      </c>
      <c r="I23">
        <v>6</v>
      </c>
      <c r="J23">
        <v>94</v>
      </c>
      <c r="L23">
        <v>68</v>
      </c>
      <c r="M23">
        <v>32</v>
      </c>
      <c r="N23">
        <v>15</v>
      </c>
      <c r="O23">
        <v>85</v>
      </c>
      <c r="Q23">
        <f t="shared" si="0"/>
        <v>12.5</v>
      </c>
      <c r="R23">
        <f t="shared" si="1"/>
        <v>21.5</v>
      </c>
      <c r="S23">
        <f t="shared" si="2"/>
        <v>23.5</v>
      </c>
      <c r="T23">
        <f t="shared" si="3"/>
        <v>19.166666666666668</v>
      </c>
      <c r="U23">
        <f t="shared" si="4"/>
        <v>12.5</v>
      </c>
      <c r="V23">
        <f t="shared" si="5"/>
        <v>2.2222222222222223</v>
      </c>
    </row>
    <row r="24" spans="1:26" x14ac:dyDescent="0.3">
      <c r="B24">
        <v>87</v>
      </c>
      <c r="C24">
        <v>13</v>
      </c>
      <c r="D24">
        <v>15</v>
      </c>
      <c r="E24">
        <v>85</v>
      </c>
      <c r="G24">
        <v>76</v>
      </c>
      <c r="H24">
        <v>24</v>
      </c>
      <c r="I24">
        <v>9</v>
      </c>
      <c r="J24">
        <v>91</v>
      </c>
      <c r="L24">
        <v>76</v>
      </c>
      <c r="M24">
        <v>24</v>
      </c>
      <c r="N24">
        <v>30</v>
      </c>
      <c r="O24">
        <v>70</v>
      </c>
      <c r="Q24">
        <f t="shared" si="0"/>
        <v>14</v>
      </c>
      <c r="R24">
        <f t="shared" si="1"/>
        <v>16.5</v>
      </c>
      <c r="S24">
        <f t="shared" si="2"/>
        <v>27</v>
      </c>
      <c r="T24">
        <f t="shared" si="3"/>
        <v>19.166666666666668</v>
      </c>
      <c r="U24">
        <f t="shared" si="4"/>
        <v>14</v>
      </c>
      <c r="V24">
        <f t="shared" si="5"/>
        <v>1.7222222222222225</v>
      </c>
    </row>
    <row r="26" spans="1:26" x14ac:dyDescent="0.3">
      <c r="A26" t="s">
        <v>30</v>
      </c>
    </row>
    <row r="27" spans="1:26" x14ac:dyDescent="0.3">
      <c r="A27" t="s">
        <v>27</v>
      </c>
      <c r="F27" t="s">
        <v>28</v>
      </c>
      <c r="K27" t="s">
        <v>29</v>
      </c>
    </row>
    <row r="28" spans="1:26" x14ac:dyDescent="0.3">
      <c r="B28">
        <v>86</v>
      </c>
      <c r="C28">
        <v>14</v>
      </c>
      <c r="D28">
        <v>22</v>
      </c>
      <c r="E28">
        <v>78</v>
      </c>
      <c r="G28">
        <v>70</v>
      </c>
      <c r="H28">
        <v>30</v>
      </c>
      <c r="I28">
        <v>13</v>
      </c>
      <c r="J28">
        <v>87</v>
      </c>
      <c r="L28">
        <v>70</v>
      </c>
      <c r="M28">
        <v>30</v>
      </c>
      <c r="N28">
        <v>22</v>
      </c>
      <c r="O28">
        <v>78</v>
      </c>
      <c r="Q28">
        <f t="shared" si="0"/>
        <v>18</v>
      </c>
      <c r="R28">
        <f t="shared" si="1"/>
        <v>21.5</v>
      </c>
      <c r="S28">
        <f t="shared" si="2"/>
        <v>26</v>
      </c>
      <c r="T28">
        <f t="shared" si="3"/>
        <v>21.833333333333332</v>
      </c>
      <c r="U28">
        <f t="shared" si="4"/>
        <v>18</v>
      </c>
      <c r="V28">
        <f t="shared" si="5"/>
        <v>1.2777777777777772</v>
      </c>
      <c r="W28">
        <f>AVERAGE(T28:T30)</f>
        <v>21.777777777777775</v>
      </c>
      <c r="X28">
        <f>_xlfn.STDEV.S(T28:T30)</f>
        <v>2.5837813231629956</v>
      </c>
      <c r="Y28">
        <f>AVERAGE(V28:V30)</f>
        <v>1.6481481481481479</v>
      </c>
      <c r="Z28">
        <f>_xlfn.STDEV.S(V28:V30)</f>
        <v>0.32552584872679474</v>
      </c>
    </row>
    <row r="29" spans="1:26" x14ac:dyDescent="0.3">
      <c r="B29">
        <v>95</v>
      </c>
      <c r="C29">
        <v>5</v>
      </c>
      <c r="D29">
        <v>22</v>
      </c>
      <c r="E29">
        <v>78</v>
      </c>
      <c r="G29">
        <v>79</v>
      </c>
      <c r="H29">
        <v>21</v>
      </c>
      <c r="I29">
        <v>13</v>
      </c>
      <c r="J29">
        <v>87</v>
      </c>
      <c r="L29">
        <v>75</v>
      </c>
      <c r="M29">
        <v>25</v>
      </c>
      <c r="N29">
        <v>29</v>
      </c>
      <c r="O29">
        <v>71</v>
      </c>
      <c r="Q29">
        <f t="shared" si="0"/>
        <v>13.5</v>
      </c>
      <c r="R29">
        <f t="shared" si="1"/>
        <v>17</v>
      </c>
      <c r="S29">
        <f t="shared" si="2"/>
        <v>27</v>
      </c>
      <c r="T29">
        <f t="shared" si="3"/>
        <v>19.166666666666668</v>
      </c>
      <c r="U29">
        <f t="shared" si="4"/>
        <v>13.5</v>
      </c>
      <c r="V29">
        <f t="shared" si="5"/>
        <v>1.8888888888888893</v>
      </c>
    </row>
    <row r="30" spans="1:26" x14ac:dyDescent="0.3">
      <c r="B30">
        <v>78</v>
      </c>
      <c r="C30">
        <v>22</v>
      </c>
      <c r="D30">
        <v>16</v>
      </c>
      <c r="E30">
        <v>84</v>
      </c>
      <c r="G30">
        <v>68</v>
      </c>
      <c r="H30">
        <v>32</v>
      </c>
      <c r="I30">
        <v>13</v>
      </c>
      <c r="J30">
        <v>87</v>
      </c>
      <c r="L30">
        <v>59</v>
      </c>
      <c r="M30">
        <v>41</v>
      </c>
      <c r="N30">
        <v>22</v>
      </c>
      <c r="O30">
        <v>78</v>
      </c>
      <c r="Q30">
        <f t="shared" si="0"/>
        <v>19</v>
      </c>
      <c r="R30">
        <f t="shared" si="1"/>
        <v>22.5</v>
      </c>
      <c r="S30">
        <f t="shared" si="2"/>
        <v>31.5</v>
      </c>
      <c r="T30">
        <f t="shared" si="3"/>
        <v>24.333333333333332</v>
      </c>
      <c r="U30">
        <f t="shared" si="4"/>
        <v>19</v>
      </c>
      <c r="V30">
        <f t="shared" si="5"/>
        <v>1.7777777777777772</v>
      </c>
    </row>
    <row r="32" spans="1:26" x14ac:dyDescent="0.3">
      <c r="A32" t="s">
        <v>31</v>
      </c>
    </row>
    <row r="33" spans="1:26" x14ac:dyDescent="0.3">
      <c r="A33" t="s">
        <v>27</v>
      </c>
      <c r="F33" t="s">
        <v>28</v>
      </c>
      <c r="K33" t="s">
        <v>29</v>
      </c>
    </row>
    <row r="34" spans="1:26" x14ac:dyDescent="0.3">
      <c r="B34">
        <v>87</v>
      </c>
      <c r="C34">
        <v>13</v>
      </c>
      <c r="D34">
        <v>23</v>
      </c>
      <c r="E34">
        <v>77</v>
      </c>
      <c r="G34">
        <v>68</v>
      </c>
      <c r="H34">
        <v>32</v>
      </c>
      <c r="I34">
        <v>11</v>
      </c>
      <c r="J34">
        <v>89</v>
      </c>
      <c r="L34">
        <v>66</v>
      </c>
      <c r="M34">
        <v>34</v>
      </c>
      <c r="N34">
        <v>21</v>
      </c>
      <c r="O34">
        <v>79</v>
      </c>
      <c r="Q34">
        <f t="shared" si="0"/>
        <v>18</v>
      </c>
      <c r="R34">
        <f t="shared" si="1"/>
        <v>21.5</v>
      </c>
      <c r="S34">
        <f t="shared" si="2"/>
        <v>27.5</v>
      </c>
      <c r="T34">
        <f t="shared" si="3"/>
        <v>22.333333333333332</v>
      </c>
      <c r="U34">
        <f t="shared" si="4"/>
        <v>18</v>
      </c>
      <c r="V34">
        <f t="shared" si="5"/>
        <v>1.444444444444444</v>
      </c>
      <c r="W34">
        <f>AVERAGE(T34:T42)</f>
        <v>21.222222222222221</v>
      </c>
      <c r="X34">
        <f>_xlfn.STDEV.S(T34:T42)</f>
        <v>0.9965217285917829</v>
      </c>
      <c r="Y34">
        <f>AVERAGE(V34:V42)</f>
        <v>2.1296296296296293</v>
      </c>
      <c r="Z34">
        <f>_xlfn.STDEV.S(V34:V42)</f>
        <v>0.71308320294408079</v>
      </c>
    </row>
    <row r="35" spans="1:26" x14ac:dyDescent="0.3">
      <c r="B35">
        <v>87</v>
      </c>
      <c r="C35">
        <v>13</v>
      </c>
      <c r="D35">
        <v>15</v>
      </c>
      <c r="E35">
        <v>85</v>
      </c>
      <c r="G35">
        <v>60</v>
      </c>
      <c r="H35">
        <v>40</v>
      </c>
      <c r="I35">
        <v>2</v>
      </c>
      <c r="J35">
        <v>98</v>
      </c>
      <c r="L35">
        <v>58</v>
      </c>
      <c r="M35">
        <v>42</v>
      </c>
      <c r="N35">
        <v>12</v>
      </c>
      <c r="O35">
        <v>88</v>
      </c>
      <c r="Q35">
        <f t="shared" si="0"/>
        <v>14</v>
      </c>
      <c r="R35">
        <f t="shared" si="1"/>
        <v>21</v>
      </c>
      <c r="S35">
        <f t="shared" si="2"/>
        <v>27</v>
      </c>
      <c r="T35">
        <f t="shared" si="3"/>
        <v>20.666666666666668</v>
      </c>
      <c r="U35">
        <f t="shared" si="4"/>
        <v>14</v>
      </c>
      <c r="V35">
        <f t="shared" si="5"/>
        <v>2.2222222222222223</v>
      </c>
    </row>
    <row r="36" spans="1:26" x14ac:dyDescent="0.3">
      <c r="B36">
        <v>92</v>
      </c>
      <c r="C36">
        <v>8</v>
      </c>
      <c r="D36">
        <v>23</v>
      </c>
      <c r="E36">
        <v>77</v>
      </c>
      <c r="G36">
        <v>81</v>
      </c>
      <c r="H36">
        <v>19</v>
      </c>
      <c r="I36">
        <v>12</v>
      </c>
      <c r="J36">
        <v>88</v>
      </c>
      <c r="L36">
        <v>73</v>
      </c>
      <c r="M36">
        <v>27</v>
      </c>
      <c r="N36">
        <v>41</v>
      </c>
      <c r="O36">
        <v>59</v>
      </c>
      <c r="Q36">
        <f t="shared" si="0"/>
        <v>15.5</v>
      </c>
      <c r="R36">
        <f t="shared" si="1"/>
        <v>15.5</v>
      </c>
      <c r="S36">
        <f t="shared" si="2"/>
        <v>34</v>
      </c>
      <c r="T36">
        <f t="shared" si="3"/>
        <v>21.666666666666668</v>
      </c>
      <c r="U36">
        <f t="shared" si="4"/>
        <v>15.5</v>
      </c>
      <c r="V36">
        <f t="shared" si="5"/>
        <v>2.0555555555555558</v>
      </c>
    </row>
    <row r="37" spans="1:26" x14ac:dyDescent="0.3">
      <c r="B37">
        <v>83</v>
      </c>
      <c r="C37">
        <v>17</v>
      </c>
      <c r="D37">
        <v>8</v>
      </c>
      <c r="E37">
        <v>92</v>
      </c>
      <c r="G37">
        <v>60</v>
      </c>
      <c r="H37">
        <v>40</v>
      </c>
      <c r="I37">
        <v>5</v>
      </c>
      <c r="J37">
        <v>95</v>
      </c>
      <c r="L37">
        <v>53</v>
      </c>
      <c r="M37">
        <v>47</v>
      </c>
      <c r="N37">
        <v>21</v>
      </c>
      <c r="O37">
        <v>79</v>
      </c>
      <c r="Q37">
        <f t="shared" si="0"/>
        <v>12.5</v>
      </c>
      <c r="R37">
        <f t="shared" si="1"/>
        <v>22.5</v>
      </c>
      <c r="S37">
        <f t="shared" si="2"/>
        <v>34</v>
      </c>
      <c r="T37">
        <f t="shared" si="3"/>
        <v>23</v>
      </c>
      <c r="U37">
        <f t="shared" si="4"/>
        <v>12.5</v>
      </c>
      <c r="V37">
        <f t="shared" si="5"/>
        <v>3.5</v>
      </c>
    </row>
    <row r="38" spans="1:26" x14ac:dyDescent="0.3">
      <c r="B38">
        <v>88</v>
      </c>
      <c r="C38">
        <v>12</v>
      </c>
      <c r="D38">
        <v>26</v>
      </c>
      <c r="E38">
        <v>74</v>
      </c>
      <c r="G38">
        <v>78</v>
      </c>
      <c r="H38">
        <v>22</v>
      </c>
      <c r="I38">
        <v>12</v>
      </c>
      <c r="J38">
        <v>88</v>
      </c>
      <c r="L38">
        <v>76</v>
      </c>
      <c r="M38">
        <v>24</v>
      </c>
      <c r="N38">
        <v>24</v>
      </c>
      <c r="O38">
        <v>76</v>
      </c>
      <c r="Q38">
        <f t="shared" si="0"/>
        <v>19</v>
      </c>
      <c r="R38">
        <f t="shared" si="1"/>
        <v>17</v>
      </c>
      <c r="S38">
        <f t="shared" si="2"/>
        <v>24</v>
      </c>
      <c r="T38">
        <f t="shared" si="3"/>
        <v>20</v>
      </c>
      <c r="U38">
        <f t="shared" si="4"/>
        <v>17</v>
      </c>
      <c r="V38">
        <f t="shared" si="5"/>
        <v>1</v>
      </c>
    </row>
    <row r="39" spans="1:26" x14ac:dyDescent="0.3">
      <c r="B39">
        <v>90</v>
      </c>
      <c r="C39">
        <v>10</v>
      </c>
      <c r="D39">
        <v>17</v>
      </c>
      <c r="E39">
        <v>83</v>
      </c>
      <c r="G39">
        <v>65</v>
      </c>
      <c r="H39">
        <v>35</v>
      </c>
      <c r="I39">
        <v>6</v>
      </c>
      <c r="J39">
        <v>94</v>
      </c>
      <c r="L39">
        <v>70</v>
      </c>
      <c r="M39">
        <v>30</v>
      </c>
      <c r="N39">
        <v>25</v>
      </c>
      <c r="O39">
        <v>75</v>
      </c>
      <c r="Q39">
        <f t="shared" si="0"/>
        <v>13.5</v>
      </c>
      <c r="R39">
        <f t="shared" si="1"/>
        <v>20.5</v>
      </c>
      <c r="S39">
        <f t="shared" si="2"/>
        <v>27.5</v>
      </c>
      <c r="T39">
        <f t="shared" si="3"/>
        <v>20.5</v>
      </c>
      <c r="U39">
        <f t="shared" si="4"/>
        <v>13.5</v>
      </c>
      <c r="V39">
        <f t="shared" si="5"/>
        <v>2.333333333333333</v>
      </c>
    </row>
    <row r="40" spans="1:26" x14ac:dyDescent="0.3">
      <c r="B40">
        <v>85</v>
      </c>
      <c r="C40">
        <v>15</v>
      </c>
      <c r="D40">
        <v>11</v>
      </c>
      <c r="E40">
        <v>89</v>
      </c>
      <c r="G40">
        <v>75</v>
      </c>
      <c r="H40">
        <v>25</v>
      </c>
      <c r="I40">
        <v>14</v>
      </c>
      <c r="J40">
        <v>86</v>
      </c>
      <c r="L40">
        <v>67</v>
      </c>
      <c r="M40">
        <v>33</v>
      </c>
      <c r="N40">
        <v>26</v>
      </c>
      <c r="O40">
        <v>74</v>
      </c>
      <c r="Q40">
        <f t="shared" si="0"/>
        <v>13</v>
      </c>
      <c r="R40">
        <f t="shared" si="1"/>
        <v>19.5</v>
      </c>
      <c r="S40">
        <f t="shared" si="2"/>
        <v>29.5</v>
      </c>
      <c r="T40">
        <f t="shared" si="3"/>
        <v>20.666666666666668</v>
      </c>
      <c r="U40">
        <f t="shared" si="4"/>
        <v>13</v>
      </c>
      <c r="V40">
        <f t="shared" si="5"/>
        <v>2.5555555555555558</v>
      </c>
    </row>
    <row r="41" spans="1:26" x14ac:dyDescent="0.3">
      <c r="B41">
        <v>88</v>
      </c>
      <c r="C41">
        <v>12</v>
      </c>
      <c r="D41">
        <v>15</v>
      </c>
      <c r="E41">
        <v>85</v>
      </c>
      <c r="G41">
        <v>73</v>
      </c>
      <c r="H41">
        <v>27</v>
      </c>
      <c r="I41">
        <v>11</v>
      </c>
      <c r="J41">
        <v>89</v>
      </c>
      <c r="L41">
        <v>70</v>
      </c>
      <c r="M41">
        <v>30</v>
      </c>
      <c r="N41">
        <v>28</v>
      </c>
      <c r="O41">
        <v>72</v>
      </c>
      <c r="Q41">
        <f t="shared" si="0"/>
        <v>13.5</v>
      </c>
      <c r="R41">
        <f t="shared" si="1"/>
        <v>19</v>
      </c>
      <c r="S41">
        <f t="shared" si="2"/>
        <v>29</v>
      </c>
      <c r="T41">
        <f t="shared" si="3"/>
        <v>20.5</v>
      </c>
      <c r="U41">
        <f t="shared" si="4"/>
        <v>13.5</v>
      </c>
      <c r="V41">
        <f t="shared" si="5"/>
        <v>2.333333333333333</v>
      </c>
    </row>
    <row r="42" spans="1:26" x14ac:dyDescent="0.3">
      <c r="B42">
        <v>88</v>
      </c>
      <c r="C42">
        <v>12</v>
      </c>
      <c r="D42">
        <v>25</v>
      </c>
      <c r="E42">
        <v>75</v>
      </c>
      <c r="G42">
        <v>74</v>
      </c>
      <c r="H42">
        <v>26</v>
      </c>
      <c r="I42">
        <v>7</v>
      </c>
      <c r="J42">
        <v>93</v>
      </c>
      <c r="L42">
        <v>64</v>
      </c>
      <c r="M42">
        <v>36</v>
      </c>
      <c r="N42">
        <v>24</v>
      </c>
      <c r="O42">
        <v>76</v>
      </c>
      <c r="Q42">
        <f t="shared" si="0"/>
        <v>18.5</v>
      </c>
      <c r="R42">
        <f t="shared" si="1"/>
        <v>16.5</v>
      </c>
      <c r="S42">
        <f t="shared" si="2"/>
        <v>30</v>
      </c>
      <c r="T42">
        <f t="shared" si="3"/>
        <v>21.666666666666668</v>
      </c>
      <c r="U42">
        <f t="shared" si="4"/>
        <v>16.5</v>
      </c>
      <c r="V42">
        <f t="shared" si="5"/>
        <v>1.7222222222222225</v>
      </c>
    </row>
    <row r="44" spans="1:26" x14ac:dyDescent="0.3">
      <c r="A44" t="s">
        <v>32</v>
      </c>
    </row>
    <row r="45" spans="1:26" x14ac:dyDescent="0.3">
      <c r="A45" t="s">
        <v>27</v>
      </c>
      <c r="F45" t="s">
        <v>28</v>
      </c>
      <c r="K45" t="s">
        <v>29</v>
      </c>
    </row>
    <row r="46" spans="1:26" x14ac:dyDescent="0.3">
      <c r="B46">
        <v>83</v>
      </c>
      <c r="C46">
        <v>17</v>
      </c>
      <c r="D46">
        <v>11</v>
      </c>
      <c r="E46">
        <v>89</v>
      </c>
      <c r="G46">
        <v>63</v>
      </c>
      <c r="H46">
        <v>37</v>
      </c>
      <c r="I46">
        <v>7</v>
      </c>
      <c r="J46">
        <v>93</v>
      </c>
      <c r="L46">
        <v>58</v>
      </c>
      <c r="M46">
        <v>42</v>
      </c>
      <c r="N46">
        <v>15</v>
      </c>
      <c r="O46">
        <v>85</v>
      </c>
      <c r="Q46">
        <f t="shared" si="0"/>
        <v>14</v>
      </c>
      <c r="R46">
        <f t="shared" si="1"/>
        <v>22</v>
      </c>
      <c r="S46">
        <f t="shared" si="2"/>
        <v>28.5</v>
      </c>
      <c r="T46">
        <f t="shared" si="3"/>
        <v>21.5</v>
      </c>
      <c r="U46">
        <f t="shared" si="4"/>
        <v>14</v>
      </c>
      <c r="V46">
        <f t="shared" si="5"/>
        <v>2.5</v>
      </c>
      <c r="W46">
        <f>AVERAGE(T46:T54)</f>
        <v>21.407407407407408</v>
      </c>
      <c r="X46">
        <f>_xlfn.STDEV.S(T46:T54)</f>
        <v>1.1152699944380406</v>
      </c>
      <c r="Y46">
        <f>AVERAGE(V46:V54)</f>
        <v>1.7839506172839503</v>
      </c>
      <c r="Z46">
        <f>_xlfn.STDEV.S(V46:V54)</f>
        <v>0.51926203306703622</v>
      </c>
    </row>
    <row r="47" spans="1:26" x14ac:dyDescent="0.3">
      <c r="B47">
        <v>90</v>
      </c>
      <c r="C47">
        <v>10</v>
      </c>
      <c r="D47">
        <v>21</v>
      </c>
      <c r="E47">
        <v>79</v>
      </c>
      <c r="G47">
        <v>69</v>
      </c>
      <c r="H47">
        <v>31</v>
      </c>
      <c r="I47">
        <v>10</v>
      </c>
      <c r="J47">
        <v>90</v>
      </c>
      <c r="L47">
        <v>62</v>
      </c>
      <c r="M47">
        <v>38</v>
      </c>
      <c r="N47">
        <v>16</v>
      </c>
      <c r="O47">
        <v>84</v>
      </c>
      <c r="Q47">
        <f t="shared" si="0"/>
        <v>15.5</v>
      </c>
      <c r="R47">
        <f t="shared" si="1"/>
        <v>20.5</v>
      </c>
      <c r="S47">
        <f t="shared" si="2"/>
        <v>27</v>
      </c>
      <c r="T47">
        <f t="shared" si="3"/>
        <v>21</v>
      </c>
      <c r="U47">
        <f t="shared" si="4"/>
        <v>15.5</v>
      </c>
      <c r="V47">
        <f t="shared" si="5"/>
        <v>1.8333333333333333</v>
      </c>
    </row>
    <row r="48" spans="1:26" x14ac:dyDescent="0.3">
      <c r="B48">
        <v>84</v>
      </c>
      <c r="C48">
        <v>16</v>
      </c>
      <c r="D48">
        <v>12</v>
      </c>
      <c r="E48">
        <v>88</v>
      </c>
      <c r="G48">
        <v>58</v>
      </c>
      <c r="H48">
        <v>42</v>
      </c>
      <c r="I48">
        <v>6</v>
      </c>
      <c r="J48">
        <v>94</v>
      </c>
      <c r="L48">
        <v>63</v>
      </c>
      <c r="M48">
        <v>37</v>
      </c>
      <c r="N48">
        <v>14</v>
      </c>
      <c r="O48">
        <v>86</v>
      </c>
      <c r="Q48">
        <f t="shared" si="0"/>
        <v>14</v>
      </c>
      <c r="R48">
        <f t="shared" si="1"/>
        <v>24</v>
      </c>
      <c r="S48">
        <f t="shared" si="2"/>
        <v>25.5</v>
      </c>
      <c r="T48">
        <f t="shared" si="3"/>
        <v>21.166666666666668</v>
      </c>
      <c r="U48">
        <f t="shared" si="4"/>
        <v>14</v>
      </c>
      <c r="V48">
        <f t="shared" si="5"/>
        <v>2.3888888888888893</v>
      </c>
    </row>
    <row r="49" spans="1:26" x14ac:dyDescent="0.3">
      <c r="B49">
        <v>83</v>
      </c>
      <c r="C49">
        <v>17</v>
      </c>
      <c r="D49">
        <v>22</v>
      </c>
      <c r="E49">
        <v>78</v>
      </c>
      <c r="G49">
        <v>68</v>
      </c>
      <c r="H49">
        <v>32</v>
      </c>
      <c r="I49">
        <v>8</v>
      </c>
      <c r="J49">
        <v>92</v>
      </c>
      <c r="L49">
        <v>64</v>
      </c>
      <c r="M49">
        <v>36</v>
      </c>
      <c r="N49">
        <v>23</v>
      </c>
      <c r="O49">
        <v>77</v>
      </c>
      <c r="Q49">
        <f t="shared" si="0"/>
        <v>19.5</v>
      </c>
      <c r="R49">
        <f t="shared" si="1"/>
        <v>20</v>
      </c>
      <c r="S49">
        <f t="shared" si="2"/>
        <v>29.5</v>
      </c>
      <c r="T49">
        <f t="shared" si="3"/>
        <v>23</v>
      </c>
      <c r="U49">
        <f t="shared" si="4"/>
        <v>19.5</v>
      </c>
      <c r="V49">
        <f t="shared" si="5"/>
        <v>1.1666666666666665</v>
      </c>
    </row>
    <row r="50" spans="1:26" x14ac:dyDescent="0.3">
      <c r="B50">
        <v>86</v>
      </c>
      <c r="C50">
        <v>14</v>
      </c>
      <c r="D50">
        <v>23</v>
      </c>
      <c r="E50">
        <v>77</v>
      </c>
      <c r="G50">
        <v>68</v>
      </c>
      <c r="H50">
        <v>32</v>
      </c>
      <c r="I50">
        <v>10</v>
      </c>
      <c r="J50">
        <v>90</v>
      </c>
      <c r="L50">
        <v>81</v>
      </c>
      <c r="M50">
        <v>19</v>
      </c>
      <c r="N50">
        <v>42</v>
      </c>
      <c r="O50">
        <v>58</v>
      </c>
      <c r="Q50">
        <f t="shared" si="0"/>
        <v>18.5</v>
      </c>
      <c r="R50">
        <f t="shared" si="1"/>
        <v>21</v>
      </c>
      <c r="S50">
        <f t="shared" si="2"/>
        <v>30.5</v>
      </c>
      <c r="T50">
        <f t="shared" si="3"/>
        <v>23.333333333333332</v>
      </c>
      <c r="U50">
        <f t="shared" si="4"/>
        <v>18.5</v>
      </c>
      <c r="V50">
        <f t="shared" si="5"/>
        <v>1.6111111111111107</v>
      </c>
    </row>
    <row r="51" spans="1:26" x14ac:dyDescent="0.3">
      <c r="B51">
        <v>84</v>
      </c>
      <c r="C51">
        <v>16</v>
      </c>
      <c r="D51">
        <v>22</v>
      </c>
      <c r="E51">
        <v>78</v>
      </c>
      <c r="G51">
        <v>73</v>
      </c>
      <c r="H51">
        <v>27</v>
      </c>
      <c r="I51">
        <v>8</v>
      </c>
      <c r="J51">
        <v>92</v>
      </c>
      <c r="L51">
        <v>71</v>
      </c>
      <c r="M51">
        <v>29</v>
      </c>
      <c r="N51">
        <v>20</v>
      </c>
      <c r="O51">
        <v>80</v>
      </c>
      <c r="Q51">
        <f t="shared" si="0"/>
        <v>19</v>
      </c>
      <c r="R51">
        <f t="shared" si="1"/>
        <v>17.5</v>
      </c>
      <c r="S51">
        <f t="shared" si="2"/>
        <v>24.5</v>
      </c>
      <c r="T51">
        <f t="shared" si="3"/>
        <v>20.333333333333332</v>
      </c>
      <c r="U51">
        <f t="shared" si="4"/>
        <v>17.5</v>
      </c>
      <c r="V51">
        <f t="shared" si="5"/>
        <v>0.94444444444444398</v>
      </c>
    </row>
    <row r="52" spans="1:26" x14ac:dyDescent="0.3">
      <c r="B52">
        <v>85</v>
      </c>
      <c r="C52">
        <v>15</v>
      </c>
      <c r="D52">
        <v>15</v>
      </c>
      <c r="E52">
        <v>85</v>
      </c>
      <c r="G52">
        <v>71</v>
      </c>
      <c r="H52">
        <v>29</v>
      </c>
      <c r="I52">
        <v>12</v>
      </c>
      <c r="J52">
        <v>88</v>
      </c>
      <c r="L52">
        <v>66</v>
      </c>
      <c r="M52">
        <v>34</v>
      </c>
      <c r="N52">
        <v>24</v>
      </c>
      <c r="O52">
        <v>76</v>
      </c>
      <c r="Q52">
        <f t="shared" si="0"/>
        <v>15</v>
      </c>
      <c r="R52">
        <f t="shared" si="1"/>
        <v>20.5</v>
      </c>
      <c r="S52">
        <f t="shared" si="2"/>
        <v>29</v>
      </c>
      <c r="T52">
        <f t="shared" si="3"/>
        <v>21.5</v>
      </c>
      <c r="U52">
        <f t="shared" si="4"/>
        <v>15</v>
      </c>
      <c r="V52">
        <f t="shared" si="5"/>
        <v>2.1666666666666665</v>
      </c>
    </row>
    <row r="53" spans="1:26" x14ac:dyDescent="0.3">
      <c r="B53">
        <v>86</v>
      </c>
      <c r="C53">
        <v>14</v>
      </c>
      <c r="D53">
        <v>17</v>
      </c>
      <c r="E53">
        <v>83</v>
      </c>
      <c r="G53">
        <v>70</v>
      </c>
      <c r="H53">
        <v>30</v>
      </c>
      <c r="I53">
        <v>11</v>
      </c>
      <c r="J53">
        <v>89</v>
      </c>
      <c r="L53">
        <v>71</v>
      </c>
      <c r="M53">
        <v>29</v>
      </c>
      <c r="N53">
        <v>24</v>
      </c>
      <c r="O53">
        <v>76</v>
      </c>
      <c r="Q53">
        <f t="shared" si="0"/>
        <v>15.5</v>
      </c>
      <c r="R53">
        <f t="shared" si="1"/>
        <v>20.5</v>
      </c>
      <c r="S53">
        <f t="shared" si="2"/>
        <v>26.5</v>
      </c>
      <c r="T53">
        <f t="shared" si="3"/>
        <v>20.833333333333332</v>
      </c>
      <c r="U53">
        <f t="shared" si="4"/>
        <v>15.5</v>
      </c>
      <c r="V53">
        <f t="shared" si="5"/>
        <v>1.7777777777777772</v>
      </c>
    </row>
    <row r="54" spans="1:26" x14ac:dyDescent="0.3">
      <c r="B54">
        <v>88</v>
      </c>
      <c r="C54">
        <v>12</v>
      </c>
      <c r="D54">
        <v>18</v>
      </c>
      <c r="E54">
        <v>82</v>
      </c>
      <c r="G54">
        <v>79</v>
      </c>
      <c r="H54">
        <v>21</v>
      </c>
      <c r="I54">
        <v>13</v>
      </c>
      <c r="J54">
        <v>87</v>
      </c>
      <c r="L54">
        <v>75</v>
      </c>
      <c r="M54">
        <v>25</v>
      </c>
      <c r="N54">
        <v>31</v>
      </c>
      <c r="O54">
        <v>69</v>
      </c>
      <c r="Q54">
        <f t="shared" si="0"/>
        <v>15</v>
      </c>
      <c r="R54">
        <f t="shared" si="1"/>
        <v>17</v>
      </c>
      <c r="S54">
        <f t="shared" si="2"/>
        <v>28</v>
      </c>
      <c r="T54">
        <f t="shared" si="3"/>
        <v>20</v>
      </c>
      <c r="U54">
        <f t="shared" si="4"/>
        <v>15</v>
      </c>
      <c r="V54">
        <f t="shared" si="5"/>
        <v>1.6666666666666665</v>
      </c>
    </row>
    <row r="56" spans="1:26" x14ac:dyDescent="0.3">
      <c r="A56" t="s">
        <v>33</v>
      </c>
    </row>
    <row r="57" spans="1:26" x14ac:dyDescent="0.3">
      <c r="A57" t="s">
        <v>27</v>
      </c>
      <c r="F57" t="s">
        <v>28</v>
      </c>
      <c r="K57" t="s">
        <v>29</v>
      </c>
    </row>
    <row r="58" spans="1:26" x14ac:dyDescent="0.3">
      <c r="B58">
        <v>85</v>
      </c>
      <c r="C58">
        <v>15</v>
      </c>
      <c r="D58">
        <v>23</v>
      </c>
      <c r="E58">
        <v>77</v>
      </c>
      <c r="G58">
        <v>78</v>
      </c>
      <c r="H58">
        <v>22</v>
      </c>
      <c r="I58">
        <v>11</v>
      </c>
      <c r="J58">
        <v>89</v>
      </c>
      <c r="L58">
        <v>72</v>
      </c>
      <c r="M58">
        <v>28</v>
      </c>
      <c r="N58">
        <v>27</v>
      </c>
      <c r="O58">
        <v>73</v>
      </c>
      <c r="Q58">
        <f t="shared" si="0"/>
        <v>19</v>
      </c>
      <c r="R58">
        <f t="shared" si="1"/>
        <v>16.5</v>
      </c>
      <c r="S58">
        <f t="shared" si="2"/>
        <v>27.5</v>
      </c>
      <c r="T58">
        <f t="shared" si="3"/>
        <v>21</v>
      </c>
      <c r="U58">
        <f t="shared" si="4"/>
        <v>16.5</v>
      </c>
      <c r="V58">
        <f t="shared" si="5"/>
        <v>1.5</v>
      </c>
      <c r="W58">
        <f>AVERAGE(T58,T59)</f>
        <v>20.583333333333336</v>
      </c>
      <c r="X58">
        <f>_xlfn.STDEV.S(T58:T59)</f>
        <v>0.58925565098878874</v>
      </c>
      <c r="Y58">
        <f>AVERAGE(V58,V59)</f>
        <v>1.6944444444444446</v>
      </c>
      <c r="Z58">
        <f>_xlfn.STDEV.S(V58,V59)</f>
        <v>0.27498597046143636</v>
      </c>
    </row>
    <row r="59" spans="1:26" x14ac:dyDescent="0.3">
      <c r="B59">
        <v>86</v>
      </c>
      <c r="C59">
        <v>14</v>
      </c>
      <c r="D59">
        <v>15</v>
      </c>
      <c r="E59">
        <v>85</v>
      </c>
      <c r="G59">
        <v>75</v>
      </c>
      <c r="H59">
        <v>25</v>
      </c>
      <c r="I59">
        <v>10</v>
      </c>
      <c r="J59">
        <v>90</v>
      </c>
      <c r="L59">
        <v>68</v>
      </c>
      <c r="M59">
        <v>32</v>
      </c>
      <c r="N59">
        <v>25</v>
      </c>
      <c r="O59">
        <v>75</v>
      </c>
      <c r="Q59">
        <f t="shared" si="0"/>
        <v>14.5</v>
      </c>
      <c r="R59">
        <f t="shared" si="1"/>
        <v>17.5</v>
      </c>
      <c r="S59">
        <f t="shared" si="2"/>
        <v>28.5</v>
      </c>
      <c r="T59">
        <f t="shared" si="3"/>
        <v>20.166666666666668</v>
      </c>
      <c r="U59">
        <f t="shared" si="4"/>
        <v>14.5</v>
      </c>
      <c r="V59">
        <f t="shared" si="5"/>
        <v>1.8888888888888893</v>
      </c>
    </row>
    <row r="61" spans="1:26" x14ac:dyDescent="0.3">
      <c r="A61" t="s">
        <v>34</v>
      </c>
    </row>
    <row r="62" spans="1:26" x14ac:dyDescent="0.3">
      <c r="A62" t="s">
        <v>27</v>
      </c>
      <c r="F62" t="s">
        <v>28</v>
      </c>
      <c r="K62" t="s">
        <v>29</v>
      </c>
    </row>
    <row r="63" spans="1:26" x14ac:dyDescent="0.3">
      <c r="B63">
        <v>83</v>
      </c>
      <c r="C63">
        <v>17</v>
      </c>
      <c r="D63">
        <v>13</v>
      </c>
      <c r="E63">
        <v>87</v>
      </c>
      <c r="G63">
        <v>73</v>
      </c>
      <c r="H63">
        <v>27</v>
      </c>
      <c r="I63">
        <v>12</v>
      </c>
      <c r="J63">
        <v>88</v>
      </c>
      <c r="L63">
        <v>62</v>
      </c>
      <c r="M63">
        <v>38</v>
      </c>
      <c r="N63">
        <v>17</v>
      </c>
      <c r="O63">
        <v>83</v>
      </c>
      <c r="Q63">
        <f t="shared" si="0"/>
        <v>15</v>
      </c>
      <c r="R63">
        <f t="shared" si="1"/>
        <v>19.5</v>
      </c>
      <c r="S63">
        <f t="shared" si="2"/>
        <v>27.5</v>
      </c>
      <c r="T63">
        <f t="shared" si="3"/>
        <v>20.666666666666668</v>
      </c>
      <c r="U63">
        <f t="shared" si="4"/>
        <v>15</v>
      </c>
      <c r="V63">
        <f t="shared" si="5"/>
        <v>1.8888888888888893</v>
      </c>
      <c r="W63">
        <f>AVERAGE(T63:T69)</f>
        <v>20.642857142857142</v>
      </c>
      <c r="X63">
        <f>_xlfn.STDEV.S(T63:T69)</f>
        <v>1.7197883467659494</v>
      </c>
      <c r="Y63">
        <f>AVERAGE(V63:V69)</f>
        <v>1.6666666666666665</v>
      </c>
      <c r="Z63">
        <f>_xlfn.STDEV.S(V63:V69)</f>
        <v>0.57556556547852167</v>
      </c>
    </row>
    <row r="64" spans="1:26" x14ac:dyDescent="0.3">
      <c r="B64">
        <v>85</v>
      </c>
      <c r="C64">
        <v>15</v>
      </c>
      <c r="D64">
        <v>13</v>
      </c>
      <c r="E64">
        <v>87</v>
      </c>
      <c r="G64">
        <v>71</v>
      </c>
      <c r="H64">
        <v>29</v>
      </c>
      <c r="I64">
        <v>11</v>
      </c>
      <c r="J64">
        <v>89</v>
      </c>
      <c r="L64">
        <v>62</v>
      </c>
      <c r="M64">
        <v>38</v>
      </c>
      <c r="N64">
        <v>19</v>
      </c>
      <c r="O64">
        <v>81</v>
      </c>
      <c r="Q64">
        <f t="shared" si="0"/>
        <v>14</v>
      </c>
      <c r="R64">
        <f t="shared" si="1"/>
        <v>20</v>
      </c>
      <c r="S64">
        <f t="shared" si="2"/>
        <v>28.5</v>
      </c>
      <c r="T64">
        <f t="shared" si="3"/>
        <v>20.833333333333332</v>
      </c>
      <c r="U64">
        <f t="shared" si="4"/>
        <v>14</v>
      </c>
      <c r="V64">
        <f t="shared" si="5"/>
        <v>2.2777777777777772</v>
      </c>
    </row>
    <row r="65" spans="1:26" x14ac:dyDescent="0.3">
      <c r="B65">
        <v>92</v>
      </c>
      <c r="C65">
        <v>8</v>
      </c>
      <c r="D65">
        <v>20</v>
      </c>
      <c r="E65">
        <v>80</v>
      </c>
      <c r="G65">
        <v>80</v>
      </c>
      <c r="H65">
        <v>20</v>
      </c>
      <c r="I65">
        <v>10</v>
      </c>
      <c r="J65">
        <v>90</v>
      </c>
      <c r="L65">
        <v>66</v>
      </c>
      <c r="M65">
        <v>34</v>
      </c>
      <c r="N65">
        <v>14</v>
      </c>
      <c r="O65">
        <v>86</v>
      </c>
      <c r="Q65">
        <f t="shared" si="0"/>
        <v>14</v>
      </c>
      <c r="R65">
        <f t="shared" si="1"/>
        <v>15</v>
      </c>
      <c r="S65">
        <f t="shared" si="2"/>
        <v>24</v>
      </c>
      <c r="T65">
        <f t="shared" si="3"/>
        <v>17.666666666666668</v>
      </c>
      <c r="U65">
        <f t="shared" si="4"/>
        <v>14</v>
      </c>
      <c r="V65">
        <f t="shared" si="5"/>
        <v>1.2222222222222225</v>
      </c>
    </row>
    <row r="66" spans="1:26" x14ac:dyDescent="0.3">
      <c r="B66">
        <v>87</v>
      </c>
      <c r="C66">
        <v>13</v>
      </c>
      <c r="D66">
        <v>18</v>
      </c>
      <c r="E66">
        <v>82</v>
      </c>
      <c r="G66">
        <v>74</v>
      </c>
      <c r="H66">
        <v>26</v>
      </c>
      <c r="I66">
        <v>9</v>
      </c>
      <c r="J66">
        <v>91</v>
      </c>
      <c r="L66">
        <v>63</v>
      </c>
      <c r="M66">
        <v>37</v>
      </c>
      <c r="N66">
        <v>23</v>
      </c>
      <c r="O66">
        <v>77</v>
      </c>
      <c r="Q66">
        <f t="shared" si="0"/>
        <v>15.5</v>
      </c>
      <c r="R66">
        <f t="shared" si="1"/>
        <v>17.5</v>
      </c>
      <c r="S66">
        <f t="shared" si="2"/>
        <v>30</v>
      </c>
      <c r="T66">
        <f t="shared" si="3"/>
        <v>21</v>
      </c>
      <c r="U66">
        <f t="shared" si="4"/>
        <v>15.5</v>
      </c>
      <c r="V66">
        <f t="shared" si="5"/>
        <v>1.8333333333333333</v>
      </c>
    </row>
    <row r="67" spans="1:26" x14ac:dyDescent="0.3">
      <c r="B67">
        <v>82</v>
      </c>
      <c r="C67">
        <v>18</v>
      </c>
      <c r="D67">
        <v>21</v>
      </c>
      <c r="E67">
        <v>79</v>
      </c>
      <c r="G67">
        <v>70</v>
      </c>
      <c r="H67">
        <v>30</v>
      </c>
      <c r="I67">
        <v>7</v>
      </c>
      <c r="J67">
        <v>93</v>
      </c>
      <c r="L67">
        <v>67</v>
      </c>
      <c r="M67">
        <v>33</v>
      </c>
      <c r="N67">
        <v>21</v>
      </c>
      <c r="O67">
        <v>79</v>
      </c>
      <c r="Q67">
        <f t="shared" si="0"/>
        <v>19.5</v>
      </c>
      <c r="R67">
        <f t="shared" si="1"/>
        <v>18.5</v>
      </c>
      <c r="S67">
        <f t="shared" si="2"/>
        <v>27</v>
      </c>
      <c r="T67">
        <f t="shared" si="3"/>
        <v>21.666666666666668</v>
      </c>
      <c r="U67">
        <f t="shared" si="4"/>
        <v>18.5</v>
      </c>
      <c r="V67">
        <f t="shared" si="5"/>
        <v>1.0555555555555558</v>
      </c>
    </row>
    <row r="68" spans="1:26" x14ac:dyDescent="0.3">
      <c r="B68">
        <v>90</v>
      </c>
      <c r="C68">
        <v>10</v>
      </c>
      <c r="D68">
        <v>26</v>
      </c>
      <c r="E68">
        <v>74</v>
      </c>
      <c r="G68">
        <v>78</v>
      </c>
      <c r="H68">
        <v>22</v>
      </c>
      <c r="I68">
        <v>11</v>
      </c>
      <c r="J68">
        <v>89</v>
      </c>
      <c r="L68">
        <v>68</v>
      </c>
      <c r="M68">
        <v>32</v>
      </c>
      <c r="N68">
        <v>16</v>
      </c>
      <c r="O68">
        <v>84</v>
      </c>
      <c r="Q68">
        <f t="shared" ref="Q68:Q109" si="6">AVERAGE(C68,D68)</f>
        <v>18</v>
      </c>
      <c r="R68">
        <f t="shared" ref="R68:R109" si="7">AVERAGE(H68:I68)</f>
        <v>16.5</v>
      </c>
      <c r="S68">
        <f t="shared" ref="S68:S109" si="8">AVERAGE(M68,N68)</f>
        <v>24</v>
      </c>
      <c r="T68">
        <f t="shared" ref="T68:T109" si="9">AVERAGE(Q68:S68)</f>
        <v>19.5</v>
      </c>
      <c r="U68">
        <f t="shared" ref="U68:U109" si="10">MIN(Q68:S68)</f>
        <v>16.5</v>
      </c>
      <c r="V68">
        <f t="shared" ref="V68:V109" si="11">(1/3)*(T68-U68)</f>
        <v>1</v>
      </c>
    </row>
    <row r="69" spans="1:26" x14ac:dyDescent="0.3">
      <c r="B69">
        <v>85</v>
      </c>
      <c r="C69">
        <v>15</v>
      </c>
      <c r="D69">
        <v>17</v>
      </c>
      <c r="E69">
        <v>83</v>
      </c>
      <c r="G69">
        <v>56</v>
      </c>
      <c r="H69">
        <v>44</v>
      </c>
      <c r="I69">
        <v>9</v>
      </c>
      <c r="J69">
        <v>91</v>
      </c>
      <c r="L69">
        <v>66</v>
      </c>
      <c r="M69">
        <v>34</v>
      </c>
      <c r="N69">
        <v>20</v>
      </c>
      <c r="O69">
        <v>80</v>
      </c>
      <c r="Q69">
        <f t="shared" si="6"/>
        <v>16</v>
      </c>
      <c r="R69">
        <f t="shared" si="7"/>
        <v>26.5</v>
      </c>
      <c r="S69">
        <f t="shared" si="8"/>
        <v>27</v>
      </c>
      <c r="T69">
        <f t="shared" si="9"/>
        <v>23.166666666666668</v>
      </c>
      <c r="U69">
        <f t="shared" si="10"/>
        <v>16</v>
      </c>
      <c r="V69">
        <f t="shared" si="11"/>
        <v>2.3888888888888893</v>
      </c>
    </row>
    <row r="71" spans="1:26" x14ac:dyDescent="0.3">
      <c r="A71" t="s">
        <v>35</v>
      </c>
    </row>
    <row r="72" spans="1:26" x14ac:dyDescent="0.3">
      <c r="A72" t="s">
        <v>27</v>
      </c>
      <c r="F72" t="s">
        <v>28</v>
      </c>
      <c r="K72" t="s">
        <v>29</v>
      </c>
    </row>
    <row r="73" spans="1:26" x14ac:dyDescent="0.3">
      <c r="B73">
        <v>94</v>
      </c>
      <c r="C73">
        <v>6</v>
      </c>
      <c r="D73">
        <v>18</v>
      </c>
      <c r="E73">
        <v>82</v>
      </c>
      <c r="G73">
        <v>72</v>
      </c>
      <c r="H73">
        <v>28</v>
      </c>
      <c r="I73">
        <v>17</v>
      </c>
      <c r="J73">
        <v>83</v>
      </c>
      <c r="L73">
        <v>75</v>
      </c>
      <c r="M73">
        <v>25</v>
      </c>
      <c r="N73">
        <v>27</v>
      </c>
      <c r="O73">
        <v>73</v>
      </c>
      <c r="Q73">
        <f t="shared" si="6"/>
        <v>12</v>
      </c>
      <c r="R73">
        <f t="shared" si="7"/>
        <v>22.5</v>
      </c>
      <c r="S73">
        <f t="shared" si="8"/>
        <v>26</v>
      </c>
      <c r="T73">
        <f t="shared" si="9"/>
        <v>20.166666666666668</v>
      </c>
      <c r="U73">
        <f t="shared" si="10"/>
        <v>12</v>
      </c>
      <c r="V73">
        <f t="shared" si="11"/>
        <v>2.7222222222222223</v>
      </c>
      <c r="W73">
        <f>AVERAGE(T73:T75)</f>
        <v>20.333333333333332</v>
      </c>
      <c r="X73">
        <f>_xlfn.STDEV.S(T73:T75)</f>
        <v>0.28867513459481287</v>
      </c>
      <c r="Y73">
        <f>AVERAGE(V73:V75)</f>
        <v>1.7777777777777779</v>
      </c>
      <c r="Z73">
        <f>_xlfn.STDEV.S(V73:V75)</f>
        <v>0.82214714371937492</v>
      </c>
    </row>
    <row r="74" spans="1:26" x14ac:dyDescent="0.3">
      <c r="B74">
        <v>87</v>
      </c>
      <c r="C74">
        <v>13</v>
      </c>
      <c r="D74">
        <v>20</v>
      </c>
      <c r="E74">
        <v>80</v>
      </c>
      <c r="G74">
        <v>71</v>
      </c>
      <c r="H74">
        <v>29</v>
      </c>
      <c r="I74">
        <v>14</v>
      </c>
      <c r="J74">
        <v>86</v>
      </c>
      <c r="L74">
        <v>71</v>
      </c>
      <c r="M74">
        <v>29</v>
      </c>
      <c r="N74">
        <v>19</v>
      </c>
      <c r="O74">
        <v>81</v>
      </c>
      <c r="Q74">
        <f t="shared" si="6"/>
        <v>16.5</v>
      </c>
      <c r="R74">
        <f t="shared" si="7"/>
        <v>21.5</v>
      </c>
      <c r="S74">
        <f t="shared" si="8"/>
        <v>24</v>
      </c>
      <c r="T74">
        <f t="shared" si="9"/>
        <v>20.666666666666668</v>
      </c>
      <c r="U74">
        <f t="shared" si="10"/>
        <v>16.5</v>
      </c>
      <c r="V74">
        <f t="shared" si="11"/>
        <v>1.3888888888888893</v>
      </c>
    </row>
    <row r="75" spans="1:26" x14ac:dyDescent="0.3">
      <c r="B75">
        <v>87</v>
      </c>
      <c r="C75">
        <v>13</v>
      </c>
      <c r="D75">
        <v>20</v>
      </c>
      <c r="E75">
        <v>80</v>
      </c>
      <c r="G75">
        <v>76</v>
      </c>
      <c r="H75">
        <v>24</v>
      </c>
      <c r="I75">
        <v>9</v>
      </c>
      <c r="J75">
        <v>91</v>
      </c>
      <c r="L75">
        <v>70</v>
      </c>
      <c r="M75">
        <v>30</v>
      </c>
      <c r="N75">
        <v>25</v>
      </c>
      <c r="O75">
        <v>75</v>
      </c>
      <c r="Q75">
        <f t="shared" si="6"/>
        <v>16.5</v>
      </c>
      <c r="R75">
        <f t="shared" si="7"/>
        <v>16.5</v>
      </c>
      <c r="S75">
        <f t="shared" si="8"/>
        <v>27.5</v>
      </c>
      <c r="T75">
        <f t="shared" si="9"/>
        <v>20.166666666666668</v>
      </c>
      <c r="U75">
        <f t="shared" si="10"/>
        <v>16.5</v>
      </c>
      <c r="V75">
        <f t="shared" si="11"/>
        <v>1.2222222222222225</v>
      </c>
    </row>
    <row r="77" spans="1:26" x14ac:dyDescent="0.3">
      <c r="A77" t="s">
        <v>36</v>
      </c>
    </row>
    <row r="78" spans="1:26" x14ac:dyDescent="0.3">
      <c r="A78" t="s">
        <v>27</v>
      </c>
      <c r="F78" t="s">
        <v>28</v>
      </c>
      <c r="K78" t="s">
        <v>29</v>
      </c>
    </row>
    <row r="79" spans="1:26" x14ac:dyDescent="0.3">
      <c r="B79">
        <v>82</v>
      </c>
      <c r="C79">
        <v>18</v>
      </c>
      <c r="D79">
        <v>20</v>
      </c>
      <c r="E79">
        <v>80</v>
      </c>
      <c r="G79">
        <v>57</v>
      </c>
      <c r="H79">
        <v>43</v>
      </c>
      <c r="I79">
        <v>6</v>
      </c>
      <c r="J79">
        <v>94</v>
      </c>
      <c r="L79">
        <v>59</v>
      </c>
      <c r="M79">
        <v>41</v>
      </c>
      <c r="N79">
        <v>18</v>
      </c>
      <c r="O79">
        <v>82</v>
      </c>
      <c r="Q79">
        <f t="shared" si="6"/>
        <v>19</v>
      </c>
      <c r="R79">
        <f t="shared" si="7"/>
        <v>24.5</v>
      </c>
      <c r="S79">
        <f t="shared" si="8"/>
        <v>29.5</v>
      </c>
      <c r="T79">
        <f t="shared" si="9"/>
        <v>24.333333333333332</v>
      </c>
      <c r="U79">
        <f t="shared" si="10"/>
        <v>19</v>
      </c>
      <c r="V79">
        <f t="shared" si="11"/>
        <v>1.7777777777777772</v>
      </c>
      <c r="W79">
        <f>AVERAGE(T79:T88)</f>
        <v>21.25</v>
      </c>
      <c r="X79">
        <f>_xlfn.STDEV.S(T79:T88)</f>
        <v>2.1634591642911949</v>
      </c>
      <c r="Y79">
        <f>AVERAGE(V79:V88)</f>
        <v>1.8999999999999997</v>
      </c>
      <c r="Z79">
        <f>_xlfn.STDEV.S(V79:V88)</f>
        <v>0.70067574673140631</v>
      </c>
    </row>
    <row r="80" spans="1:26" x14ac:dyDescent="0.3">
      <c r="B80">
        <v>89</v>
      </c>
      <c r="C80">
        <v>11</v>
      </c>
      <c r="D80">
        <v>15</v>
      </c>
      <c r="E80">
        <v>85</v>
      </c>
      <c r="G80">
        <v>67</v>
      </c>
      <c r="H80">
        <v>33</v>
      </c>
      <c r="I80">
        <v>9</v>
      </c>
      <c r="J80">
        <v>91</v>
      </c>
      <c r="L80">
        <v>57</v>
      </c>
      <c r="M80">
        <v>43</v>
      </c>
      <c r="N80">
        <v>20</v>
      </c>
      <c r="O80">
        <v>80</v>
      </c>
      <c r="Q80">
        <f t="shared" si="6"/>
        <v>13</v>
      </c>
      <c r="R80">
        <f t="shared" si="7"/>
        <v>21</v>
      </c>
      <c r="S80">
        <f t="shared" si="8"/>
        <v>31.5</v>
      </c>
      <c r="T80">
        <f t="shared" si="9"/>
        <v>21.833333333333332</v>
      </c>
      <c r="U80">
        <f t="shared" si="10"/>
        <v>13</v>
      </c>
      <c r="V80">
        <f t="shared" si="11"/>
        <v>2.9444444444444438</v>
      </c>
    </row>
    <row r="81" spans="1:26" x14ac:dyDescent="0.3">
      <c r="B81">
        <v>87</v>
      </c>
      <c r="C81">
        <v>13</v>
      </c>
      <c r="D81">
        <v>17</v>
      </c>
      <c r="E81">
        <v>83</v>
      </c>
      <c r="G81">
        <v>61</v>
      </c>
      <c r="H81">
        <v>39</v>
      </c>
      <c r="I81">
        <v>11</v>
      </c>
      <c r="J81">
        <v>89</v>
      </c>
      <c r="L81">
        <v>65</v>
      </c>
      <c r="M81">
        <v>35</v>
      </c>
      <c r="N81">
        <v>33</v>
      </c>
      <c r="O81">
        <v>67</v>
      </c>
      <c r="Q81">
        <f t="shared" si="6"/>
        <v>15</v>
      </c>
      <c r="R81">
        <f t="shared" si="7"/>
        <v>25</v>
      </c>
      <c r="S81">
        <f t="shared" si="8"/>
        <v>34</v>
      </c>
      <c r="T81">
        <f t="shared" si="9"/>
        <v>24.666666666666668</v>
      </c>
      <c r="U81">
        <f t="shared" si="10"/>
        <v>15</v>
      </c>
      <c r="V81">
        <f t="shared" si="11"/>
        <v>3.2222222222222223</v>
      </c>
    </row>
    <row r="82" spans="1:26" x14ac:dyDescent="0.3">
      <c r="B82">
        <v>87</v>
      </c>
      <c r="C82">
        <v>13</v>
      </c>
      <c r="D82">
        <v>14</v>
      </c>
      <c r="E82">
        <v>86</v>
      </c>
      <c r="G82">
        <v>64</v>
      </c>
      <c r="H82">
        <v>36</v>
      </c>
      <c r="I82">
        <v>4</v>
      </c>
      <c r="J82">
        <v>96</v>
      </c>
      <c r="L82">
        <v>69</v>
      </c>
      <c r="M82">
        <v>31</v>
      </c>
      <c r="N82">
        <v>21</v>
      </c>
      <c r="O82">
        <v>79</v>
      </c>
      <c r="Q82">
        <f t="shared" si="6"/>
        <v>13.5</v>
      </c>
      <c r="R82">
        <f t="shared" si="7"/>
        <v>20</v>
      </c>
      <c r="S82">
        <f t="shared" si="8"/>
        <v>26</v>
      </c>
      <c r="T82">
        <f t="shared" si="9"/>
        <v>19.833333333333332</v>
      </c>
      <c r="U82">
        <f t="shared" si="10"/>
        <v>13.5</v>
      </c>
      <c r="V82">
        <f t="shared" si="11"/>
        <v>2.1111111111111107</v>
      </c>
    </row>
    <row r="83" spans="1:26" x14ac:dyDescent="0.3">
      <c r="B83">
        <v>88</v>
      </c>
      <c r="C83">
        <v>12</v>
      </c>
      <c r="D83">
        <v>15</v>
      </c>
      <c r="E83">
        <v>85</v>
      </c>
      <c r="G83">
        <v>78</v>
      </c>
      <c r="H83">
        <v>22</v>
      </c>
      <c r="I83">
        <v>15</v>
      </c>
      <c r="J83">
        <v>85</v>
      </c>
      <c r="L83">
        <v>66</v>
      </c>
      <c r="M83">
        <v>34</v>
      </c>
      <c r="N83">
        <v>20</v>
      </c>
      <c r="O83">
        <v>80</v>
      </c>
      <c r="Q83">
        <f t="shared" si="6"/>
        <v>13.5</v>
      </c>
      <c r="R83">
        <f t="shared" si="7"/>
        <v>18.5</v>
      </c>
      <c r="S83">
        <f t="shared" si="8"/>
        <v>27</v>
      </c>
      <c r="T83">
        <f t="shared" si="9"/>
        <v>19.666666666666668</v>
      </c>
      <c r="U83">
        <f t="shared" si="10"/>
        <v>13.5</v>
      </c>
      <c r="V83">
        <f t="shared" si="11"/>
        <v>2.0555555555555558</v>
      </c>
    </row>
    <row r="84" spans="1:26" x14ac:dyDescent="0.3">
      <c r="B84">
        <v>88</v>
      </c>
      <c r="C84">
        <v>12</v>
      </c>
      <c r="D84">
        <v>21</v>
      </c>
      <c r="E84">
        <v>79</v>
      </c>
      <c r="G84">
        <v>78</v>
      </c>
      <c r="H84">
        <v>22</v>
      </c>
      <c r="I84">
        <v>16</v>
      </c>
      <c r="J84">
        <v>84</v>
      </c>
      <c r="L84">
        <v>82</v>
      </c>
      <c r="M84">
        <v>18</v>
      </c>
      <c r="N84">
        <v>34</v>
      </c>
      <c r="O84">
        <v>66</v>
      </c>
      <c r="Q84">
        <f t="shared" si="6"/>
        <v>16.5</v>
      </c>
      <c r="R84">
        <f t="shared" si="7"/>
        <v>19</v>
      </c>
      <c r="S84">
        <f t="shared" si="8"/>
        <v>26</v>
      </c>
      <c r="T84">
        <f t="shared" si="9"/>
        <v>20.5</v>
      </c>
      <c r="U84">
        <f t="shared" si="10"/>
        <v>16.5</v>
      </c>
      <c r="V84">
        <f t="shared" si="11"/>
        <v>1.3333333333333333</v>
      </c>
    </row>
    <row r="85" spans="1:26" x14ac:dyDescent="0.3">
      <c r="B85">
        <v>87</v>
      </c>
      <c r="C85">
        <v>13</v>
      </c>
      <c r="D85">
        <v>15</v>
      </c>
      <c r="E85">
        <v>85</v>
      </c>
      <c r="G85">
        <v>80</v>
      </c>
      <c r="H85">
        <v>20</v>
      </c>
      <c r="I85">
        <v>9</v>
      </c>
      <c r="J85">
        <v>91</v>
      </c>
      <c r="L85">
        <v>71</v>
      </c>
      <c r="M85">
        <v>29</v>
      </c>
      <c r="N85">
        <v>18</v>
      </c>
      <c r="O85">
        <v>82</v>
      </c>
      <c r="Q85">
        <f t="shared" si="6"/>
        <v>14</v>
      </c>
      <c r="R85">
        <f t="shared" si="7"/>
        <v>14.5</v>
      </c>
      <c r="S85">
        <f t="shared" si="8"/>
        <v>23.5</v>
      </c>
      <c r="T85">
        <f t="shared" si="9"/>
        <v>17.333333333333332</v>
      </c>
      <c r="U85">
        <f t="shared" si="10"/>
        <v>14</v>
      </c>
      <c r="V85">
        <f t="shared" si="11"/>
        <v>1.1111111111111107</v>
      </c>
    </row>
    <row r="86" spans="1:26" x14ac:dyDescent="0.3">
      <c r="B86">
        <v>90</v>
      </c>
      <c r="C86">
        <v>10</v>
      </c>
      <c r="D86">
        <v>25</v>
      </c>
      <c r="E86">
        <v>75</v>
      </c>
      <c r="G86">
        <v>75</v>
      </c>
      <c r="H86">
        <v>25</v>
      </c>
      <c r="I86">
        <v>9</v>
      </c>
      <c r="J86">
        <v>91</v>
      </c>
      <c r="L86">
        <v>60</v>
      </c>
      <c r="M86">
        <v>40</v>
      </c>
      <c r="N86">
        <v>19</v>
      </c>
      <c r="O86">
        <v>81</v>
      </c>
      <c r="Q86">
        <f t="shared" si="6"/>
        <v>17.5</v>
      </c>
      <c r="R86">
        <f t="shared" si="7"/>
        <v>17</v>
      </c>
      <c r="S86">
        <f t="shared" si="8"/>
        <v>29.5</v>
      </c>
      <c r="T86">
        <f t="shared" si="9"/>
        <v>21.333333333333332</v>
      </c>
      <c r="U86">
        <f t="shared" si="10"/>
        <v>17</v>
      </c>
      <c r="V86">
        <f t="shared" si="11"/>
        <v>1.444444444444444</v>
      </c>
    </row>
    <row r="87" spans="1:26" x14ac:dyDescent="0.3">
      <c r="B87">
        <v>84</v>
      </c>
      <c r="C87">
        <v>16</v>
      </c>
      <c r="D87">
        <v>20</v>
      </c>
      <c r="E87">
        <v>80</v>
      </c>
      <c r="G87">
        <v>73</v>
      </c>
      <c r="H87">
        <v>27</v>
      </c>
      <c r="I87">
        <v>8</v>
      </c>
      <c r="J87">
        <v>92</v>
      </c>
      <c r="L87">
        <v>60</v>
      </c>
      <c r="M87">
        <v>40</v>
      </c>
      <c r="N87">
        <v>19</v>
      </c>
      <c r="O87">
        <v>81</v>
      </c>
      <c r="Q87">
        <f t="shared" si="6"/>
        <v>18</v>
      </c>
      <c r="R87">
        <f t="shared" si="7"/>
        <v>17.5</v>
      </c>
      <c r="S87">
        <f t="shared" si="8"/>
        <v>29.5</v>
      </c>
      <c r="T87">
        <f t="shared" si="9"/>
        <v>21.666666666666668</v>
      </c>
      <c r="U87">
        <f t="shared" si="10"/>
        <v>17.5</v>
      </c>
      <c r="V87">
        <f t="shared" si="11"/>
        <v>1.3888888888888893</v>
      </c>
    </row>
    <row r="88" spans="1:26" x14ac:dyDescent="0.3">
      <c r="B88">
        <v>86</v>
      </c>
      <c r="C88">
        <v>14</v>
      </c>
      <c r="D88">
        <v>19</v>
      </c>
      <c r="E88">
        <v>81</v>
      </c>
      <c r="G88">
        <v>74</v>
      </c>
      <c r="H88">
        <v>26</v>
      </c>
      <c r="I88">
        <v>9</v>
      </c>
      <c r="J88">
        <v>91</v>
      </c>
      <c r="L88">
        <v>63</v>
      </c>
      <c r="M88">
        <v>37</v>
      </c>
      <c r="N88">
        <v>23</v>
      </c>
      <c r="O88">
        <v>77</v>
      </c>
      <c r="Q88">
        <f t="shared" si="6"/>
        <v>16.5</v>
      </c>
      <c r="R88">
        <f t="shared" si="7"/>
        <v>17.5</v>
      </c>
      <c r="S88">
        <f t="shared" si="8"/>
        <v>30</v>
      </c>
      <c r="T88">
        <f t="shared" si="9"/>
        <v>21.333333333333332</v>
      </c>
      <c r="U88">
        <f t="shared" si="10"/>
        <v>16.5</v>
      </c>
      <c r="V88">
        <f t="shared" si="11"/>
        <v>1.6111111111111107</v>
      </c>
    </row>
    <row r="90" spans="1:26" x14ac:dyDescent="0.3">
      <c r="A90" t="s">
        <v>37</v>
      </c>
    </row>
    <row r="91" spans="1:26" x14ac:dyDescent="0.3">
      <c r="A91" t="s">
        <v>27</v>
      </c>
      <c r="F91" t="s">
        <v>28</v>
      </c>
      <c r="K91" t="s">
        <v>29</v>
      </c>
    </row>
    <row r="92" spans="1:26" x14ac:dyDescent="0.3">
      <c r="B92">
        <v>84</v>
      </c>
      <c r="C92">
        <v>16</v>
      </c>
      <c r="D92">
        <v>19</v>
      </c>
      <c r="E92">
        <v>81</v>
      </c>
      <c r="G92">
        <v>73</v>
      </c>
      <c r="H92">
        <v>27</v>
      </c>
      <c r="I92">
        <v>5</v>
      </c>
      <c r="J92">
        <v>95</v>
      </c>
      <c r="L92">
        <v>73</v>
      </c>
      <c r="M92">
        <v>27</v>
      </c>
      <c r="N92">
        <v>20</v>
      </c>
      <c r="O92">
        <v>80</v>
      </c>
      <c r="Q92">
        <f t="shared" si="6"/>
        <v>17.5</v>
      </c>
      <c r="R92">
        <f t="shared" si="7"/>
        <v>16</v>
      </c>
      <c r="S92">
        <f t="shared" si="8"/>
        <v>23.5</v>
      </c>
      <c r="T92">
        <f t="shared" si="9"/>
        <v>19</v>
      </c>
      <c r="U92">
        <f t="shared" si="10"/>
        <v>16</v>
      </c>
      <c r="V92">
        <f t="shared" si="11"/>
        <v>1</v>
      </c>
      <c r="W92">
        <f>AVERAGE(T92:T97)</f>
        <v>19.472222222222225</v>
      </c>
      <c r="X92">
        <f>_xlfn.STDEV.S(T92:T97)</f>
        <v>1.7808133805360669</v>
      </c>
      <c r="Y92">
        <f>AVERAGE(V92:V97)</f>
        <v>1.3518518518518519</v>
      </c>
      <c r="Z92">
        <f>_xlfn.STDEV.S(V92:V97)</f>
        <v>0.51480149196723157</v>
      </c>
    </row>
    <row r="93" spans="1:26" x14ac:dyDescent="0.3">
      <c r="B93">
        <v>87</v>
      </c>
      <c r="C93">
        <v>13</v>
      </c>
      <c r="D93">
        <v>17</v>
      </c>
      <c r="E93">
        <v>83</v>
      </c>
      <c r="G93">
        <v>74</v>
      </c>
      <c r="H93">
        <v>26</v>
      </c>
      <c r="I93">
        <v>11</v>
      </c>
      <c r="J93">
        <v>89</v>
      </c>
      <c r="L93">
        <v>66</v>
      </c>
      <c r="M93">
        <v>34</v>
      </c>
      <c r="N93">
        <v>26</v>
      </c>
      <c r="O93">
        <v>74</v>
      </c>
      <c r="Q93">
        <f t="shared" si="6"/>
        <v>15</v>
      </c>
      <c r="R93">
        <f t="shared" si="7"/>
        <v>18.5</v>
      </c>
      <c r="S93">
        <f t="shared" si="8"/>
        <v>30</v>
      </c>
      <c r="T93">
        <f t="shared" si="9"/>
        <v>21.166666666666668</v>
      </c>
      <c r="U93">
        <f t="shared" si="10"/>
        <v>15</v>
      </c>
      <c r="V93">
        <f t="shared" si="11"/>
        <v>2.0555555555555558</v>
      </c>
    </row>
    <row r="94" spans="1:26" x14ac:dyDescent="0.3">
      <c r="B94">
        <v>89</v>
      </c>
      <c r="C94">
        <v>11</v>
      </c>
      <c r="D94">
        <v>18</v>
      </c>
      <c r="E94">
        <v>82</v>
      </c>
      <c r="G94">
        <v>77</v>
      </c>
      <c r="H94">
        <v>23</v>
      </c>
      <c r="I94">
        <v>8</v>
      </c>
      <c r="J94">
        <v>92</v>
      </c>
      <c r="L94">
        <v>79</v>
      </c>
      <c r="M94">
        <v>21</v>
      </c>
      <c r="N94">
        <v>22</v>
      </c>
      <c r="O94">
        <v>78</v>
      </c>
      <c r="Q94">
        <f t="shared" si="6"/>
        <v>14.5</v>
      </c>
      <c r="R94">
        <f t="shared" si="7"/>
        <v>15.5</v>
      </c>
      <c r="S94">
        <f t="shared" si="8"/>
        <v>21.5</v>
      </c>
      <c r="T94">
        <f t="shared" si="9"/>
        <v>17.166666666666668</v>
      </c>
      <c r="U94">
        <f t="shared" si="10"/>
        <v>14.5</v>
      </c>
      <c r="V94">
        <f t="shared" si="11"/>
        <v>0.88888888888888928</v>
      </c>
    </row>
    <row r="95" spans="1:26" x14ac:dyDescent="0.3">
      <c r="B95">
        <v>81</v>
      </c>
      <c r="C95">
        <v>19</v>
      </c>
      <c r="D95">
        <v>20</v>
      </c>
      <c r="E95">
        <v>80</v>
      </c>
      <c r="G95">
        <v>76</v>
      </c>
      <c r="H95">
        <v>24</v>
      </c>
      <c r="I95">
        <v>12</v>
      </c>
      <c r="J95">
        <v>88</v>
      </c>
      <c r="L95">
        <v>67</v>
      </c>
      <c r="M95">
        <v>33</v>
      </c>
      <c r="N95">
        <v>18</v>
      </c>
      <c r="O95">
        <v>82</v>
      </c>
      <c r="Q95">
        <f t="shared" si="6"/>
        <v>19.5</v>
      </c>
      <c r="R95">
        <f t="shared" si="7"/>
        <v>18</v>
      </c>
      <c r="S95">
        <f t="shared" si="8"/>
        <v>25.5</v>
      </c>
      <c r="T95">
        <f t="shared" si="9"/>
        <v>21</v>
      </c>
      <c r="U95">
        <f t="shared" si="10"/>
        <v>18</v>
      </c>
      <c r="V95">
        <f t="shared" si="11"/>
        <v>1</v>
      </c>
    </row>
    <row r="96" spans="1:26" x14ac:dyDescent="0.3">
      <c r="B96">
        <v>83</v>
      </c>
      <c r="C96">
        <v>17</v>
      </c>
      <c r="D96">
        <v>15</v>
      </c>
      <c r="E96">
        <v>85</v>
      </c>
      <c r="G96">
        <v>73</v>
      </c>
      <c r="H96">
        <v>27</v>
      </c>
      <c r="I96">
        <v>3</v>
      </c>
      <c r="J96">
        <v>97</v>
      </c>
      <c r="L96">
        <v>60</v>
      </c>
      <c r="M96">
        <v>40</v>
      </c>
      <c r="N96">
        <v>23</v>
      </c>
      <c r="O96">
        <v>77</v>
      </c>
      <c r="Q96">
        <f t="shared" si="6"/>
        <v>16</v>
      </c>
      <c r="R96">
        <f t="shared" si="7"/>
        <v>15</v>
      </c>
      <c r="S96">
        <f t="shared" si="8"/>
        <v>31.5</v>
      </c>
      <c r="T96">
        <f t="shared" si="9"/>
        <v>20.833333333333332</v>
      </c>
      <c r="U96">
        <f t="shared" si="10"/>
        <v>15</v>
      </c>
      <c r="V96">
        <f t="shared" si="11"/>
        <v>1.944444444444444</v>
      </c>
    </row>
    <row r="97" spans="1:26" x14ac:dyDescent="0.3">
      <c r="B97">
        <v>91</v>
      </c>
      <c r="C97">
        <v>9</v>
      </c>
      <c r="D97">
        <v>19</v>
      </c>
      <c r="E97">
        <v>81</v>
      </c>
      <c r="G97">
        <v>77</v>
      </c>
      <c r="H97">
        <v>23</v>
      </c>
      <c r="I97">
        <v>7</v>
      </c>
      <c r="J97">
        <v>93</v>
      </c>
      <c r="L97">
        <v>78</v>
      </c>
      <c r="M97">
        <v>22</v>
      </c>
      <c r="N97">
        <v>26</v>
      </c>
      <c r="O97">
        <v>74</v>
      </c>
      <c r="Q97">
        <f t="shared" si="6"/>
        <v>14</v>
      </c>
      <c r="R97">
        <f t="shared" si="7"/>
        <v>15</v>
      </c>
      <c r="S97">
        <f t="shared" si="8"/>
        <v>24</v>
      </c>
      <c r="T97">
        <f t="shared" si="9"/>
        <v>17.666666666666668</v>
      </c>
      <c r="U97">
        <f t="shared" si="10"/>
        <v>14</v>
      </c>
      <c r="V97">
        <f t="shared" si="11"/>
        <v>1.2222222222222225</v>
      </c>
    </row>
    <row r="99" spans="1:26" x14ac:dyDescent="0.3">
      <c r="A99" t="s">
        <v>38</v>
      </c>
    </row>
    <row r="100" spans="1:26" x14ac:dyDescent="0.3">
      <c r="A100" t="s">
        <v>27</v>
      </c>
      <c r="F100" t="s">
        <v>28</v>
      </c>
      <c r="K100" t="s">
        <v>29</v>
      </c>
    </row>
    <row r="101" spans="1:26" x14ac:dyDescent="0.3">
      <c r="B101">
        <v>87</v>
      </c>
      <c r="C101">
        <v>13</v>
      </c>
      <c r="D101">
        <v>20</v>
      </c>
      <c r="E101">
        <v>80</v>
      </c>
      <c r="G101">
        <v>75</v>
      </c>
      <c r="H101">
        <v>25</v>
      </c>
      <c r="I101">
        <v>10</v>
      </c>
      <c r="J101">
        <v>90</v>
      </c>
      <c r="L101">
        <v>76</v>
      </c>
      <c r="M101">
        <v>24</v>
      </c>
      <c r="N101">
        <v>23</v>
      </c>
      <c r="O101">
        <v>77</v>
      </c>
      <c r="Q101">
        <f t="shared" si="6"/>
        <v>16.5</v>
      </c>
      <c r="R101">
        <f t="shared" si="7"/>
        <v>17.5</v>
      </c>
      <c r="S101">
        <f t="shared" si="8"/>
        <v>23.5</v>
      </c>
      <c r="T101">
        <f t="shared" si="9"/>
        <v>19.166666666666668</v>
      </c>
      <c r="U101">
        <f t="shared" si="10"/>
        <v>16.5</v>
      </c>
      <c r="V101">
        <f t="shared" si="11"/>
        <v>0.88888888888888928</v>
      </c>
      <c r="W101">
        <f>AVERAGE(T101:T109)</f>
        <v>19.925925925925927</v>
      </c>
      <c r="X101">
        <f>_xlfn.STDEV.S(T101:T109)</f>
        <v>1.3491538271756542</v>
      </c>
      <c r="Y101">
        <f>AVERAGE(V101:V109)</f>
        <v>1.7530864197530864</v>
      </c>
      <c r="Z101">
        <f>_xlfn.STDEV.S(V101:V109)</f>
        <v>0.46656009953126371</v>
      </c>
    </row>
    <row r="102" spans="1:26" x14ac:dyDescent="0.3">
      <c r="B102">
        <v>90</v>
      </c>
      <c r="C102">
        <v>10</v>
      </c>
      <c r="D102">
        <v>16</v>
      </c>
      <c r="E102">
        <v>84</v>
      </c>
      <c r="G102">
        <v>71</v>
      </c>
      <c r="H102">
        <v>29</v>
      </c>
      <c r="I102">
        <v>3</v>
      </c>
      <c r="J102">
        <v>97</v>
      </c>
      <c r="L102">
        <v>68</v>
      </c>
      <c r="M102">
        <v>32</v>
      </c>
      <c r="N102">
        <v>19</v>
      </c>
      <c r="O102">
        <v>81</v>
      </c>
      <c r="Q102">
        <f t="shared" si="6"/>
        <v>13</v>
      </c>
      <c r="R102">
        <f t="shared" si="7"/>
        <v>16</v>
      </c>
      <c r="S102">
        <f t="shared" si="8"/>
        <v>25.5</v>
      </c>
      <c r="T102">
        <f t="shared" si="9"/>
        <v>18.166666666666668</v>
      </c>
      <c r="U102">
        <f t="shared" si="10"/>
        <v>13</v>
      </c>
      <c r="V102">
        <f t="shared" si="11"/>
        <v>1.7222222222222225</v>
      </c>
    </row>
    <row r="103" spans="1:26" x14ac:dyDescent="0.3">
      <c r="B103">
        <v>88</v>
      </c>
      <c r="C103">
        <v>12</v>
      </c>
      <c r="D103">
        <v>15</v>
      </c>
      <c r="E103">
        <v>85</v>
      </c>
      <c r="G103">
        <v>71</v>
      </c>
      <c r="H103">
        <v>29</v>
      </c>
      <c r="I103">
        <v>2</v>
      </c>
      <c r="J103">
        <v>98</v>
      </c>
      <c r="L103">
        <v>72</v>
      </c>
      <c r="M103">
        <v>28</v>
      </c>
      <c r="N103">
        <v>23</v>
      </c>
      <c r="O103">
        <v>77</v>
      </c>
      <c r="Q103">
        <f t="shared" si="6"/>
        <v>13.5</v>
      </c>
      <c r="R103">
        <f t="shared" si="7"/>
        <v>15.5</v>
      </c>
      <c r="S103">
        <f t="shared" si="8"/>
        <v>25.5</v>
      </c>
      <c r="T103">
        <f t="shared" si="9"/>
        <v>18.166666666666668</v>
      </c>
      <c r="U103">
        <f t="shared" si="10"/>
        <v>13.5</v>
      </c>
      <c r="V103">
        <f t="shared" si="11"/>
        <v>1.5555555555555558</v>
      </c>
    </row>
    <row r="104" spans="1:26" x14ac:dyDescent="0.3">
      <c r="B104">
        <v>82</v>
      </c>
      <c r="C104">
        <v>18</v>
      </c>
      <c r="D104">
        <v>15</v>
      </c>
      <c r="E104">
        <v>85</v>
      </c>
      <c r="G104">
        <v>80</v>
      </c>
      <c r="H104">
        <v>20</v>
      </c>
      <c r="I104">
        <v>8</v>
      </c>
      <c r="J104">
        <v>92</v>
      </c>
      <c r="L104">
        <v>62</v>
      </c>
      <c r="M104">
        <v>38</v>
      </c>
      <c r="N104">
        <v>22</v>
      </c>
      <c r="O104">
        <v>78</v>
      </c>
      <c r="Q104">
        <f t="shared" si="6"/>
        <v>16.5</v>
      </c>
      <c r="R104">
        <f t="shared" si="7"/>
        <v>14</v>
      </c>
      <c r="S104">
        <f t="shared" si="8"/>
        <v>30</v>
      </c>
      <c r="T104">
        <f t="shared" si="9"/>
        <v>20.166666666666668</v>
      </c>
      <c r="U104">
        <f t="shared" si="10"/>
        <v>14</v>
      </c>
      <c r="V104">
        <f t="shared" si="11"/>
        <v>2.0555555555555558</v>
      </c>
    </row>
    <row r="105" spans="1:26" x14ac:dyDescent="0.3">
      <c r="B105">
        <v>88</v>
      </c>
      <c r="C105">
        <v>12</v>
      </c>
      <c r="D105">
        <v>21</v>
      </c>
      <c r="E105">
        <v>79</v>
      </c>
      <c r="G105">
        <v>78</v>
      </c>
      <c r="H105">
        <v>22</v>
      </c>
      <c r="I105">
        <v>14</v>
      </c>
      <c r="J105">
        <v>86</v>
      </c>
      <c r="L105">
        <v>69</v>
      </c>
      <c r="M105">
        <v>31</v>
      </c>
      <c r="N105">
        <v>30</v>
      </c>
      <c r="O105">
        <v>70</v>
      </c>
      <c r="Q105">
        <f t="shared" si="6"/>
        <v>16.5</v>
      </c>
      <c r="R105">
        <f t="shared" si="7"/>
        <v>18</v>
      </c>
      <c r="S105">
        <f t="shared" si="8"/>
        <v>30.5</v>
      </c>
      <c r="T105">
        <f t="shared" si="9"/>
        <v>21.666666666666668</v>
      </c>
      <c r="U105">
        <f t="shared" si="10"/>
        <v>16.5</v>
      </c>
      <c r="V105">
        <f t="shared" si="11"/>
        <v>1.7222222222222225</v>
      </c>
    </row>
    <row r="106" spans="1:26" x14ac:dyDescent="0.3">
      <c r="B106">
        <v>80</v>
      </c>
      <c r="C106">
        <v>20</v>
      </c>
      <c r="D106">
        <v>15</v>
      </c>
      <c r="E106">
        <v>85</v>
      </c>
      <c r="G106">
        <v>65</v>
      </c>
      <c r="H106">
        <v>35</v>
      </c>
      <c r="I106">
        <v>9</v>
      </c>
      <c r="J106">
        <v>91</v>
      </c>
      <c r="L106">
        <v>69</v>
      </c>
      <c r="M106">
        <v>31</v>
      </c>
      <c r="N106">
        <v>18</v>
      </c>
      <c r="O106">
        <v>82</v>
      </c>
      <c r="Q106">
        <f t="shared" si="6"/>
        <v>17.5</v>
      </c>
      <c r="R106">
        <f t="shared" si="7"/>
        <v>22</v>
      </c>
      <c r="S106">
        <f t="shared" si="8"/>
        <v>24.5</v>
      </c>
      <c r="T106">
        <f t="shared" si="9"/>
        <v>21.333333333333332</v>
      </c>
      <c r="U106">
        <f t="shared" si="10"/>
        <v>17.5</v>
      </c>
      <c r="V106">
        <f t="shared" si="11"/>
        <v>1.2777777777777772</v>
      </c>
    </row>
    <row r="107" spans="1:26" x14ac:dyDescent="0.3">
      <c r="B107">
        <v>90</v>
      </c>
      <c r="C107">
        <v>10</v>
      </c>
      <c r="D107">
        <v>15</v>
      </c>
      <c r="E107">
        <v>85</v>
      </c>
      <c r="G107">
        <v>76</v>
      </c>
      <c r="H107">
        <v>24</v>
      </c>
      <c r="I107">
        <v>5</v>
      </c>
      <c r="J107">
        <v>95</v>
      </c>
      <c r="L107">
        <v>56</v>
      </c>
      <c r="M107">
        <v>44</v>
      </c>
      <c r="N107">
        <v>20</v>
      </c>
      <c r="O107">
        <v>80</v>
      </c>
      <c r="Q107">
        <f t="shared" si="6"/>
        <v>12.5</v>
      </c>
      <c r="R107">
        <f t="shared" si="7"/>
        <v>14.5</v>
      </c>
      <c r="S107">
        <f t="shared" si="8"/>
        <v>32</v>
      </c>
      <c r="T107">
        <f t="shared" si="9"/>
        <v>19.666666666666668</v>
      </c>
      <c r="U107">
        <f t="shared" si="10"/>
        <v>12.5</v>
      </c>
      <c r="V107">
        <f t="shared" si="11"/>
        <v>2.3888888888888893</v>
      </c>
    </row>
    <row r="108" spans="1:26" x14ac:dyDescent="0.3">
      <c r="B108">
        <v>94</v>
      </c>
      <c r="C108">
        <v>6</v>
      </c>
      <c r="D108">
        <v>21</v>
      </c>
      <c r="E108">
        <v>79</v>
      </c>
      <c r="G108">
        <v>78</v>
      </c>
      <c r="H108">
        <v>22</v>
      </c>
      <c r="I108">
        <v>8</v>
      </c>
      <c r="J108">
        <v>92</v>
      </c>
      <c r="L108">
        <v>70</v>
      </c>
      <c r="M108">
        <v>30</v>
      </c>
      <c r="N108">
        <v>30</v>
      </c>
      <c r="O108">
        <v>70</v>
      </c>
      <c r="Q108">
        <f t="shared" si="6"/>
        <v>13.5</v>
      </c>
      <c r="R108">
        <f t="shared" si="7"/>
        <v>15</v>
      </c>
      <c r="S108">
        <f t="shared" si="8"/>
        <v>30</v>
      </c>
      <c r="T108">
        <f t="shared" si="9"/>
        <v>19.5</v>
      </c>
      <c r="U108">
        <f t="shared" si="10"/>
        <v>13.5</v>
      </c>
      <c r="V108">
        <f t="shared" si="11"/>
        <v>2</v>
      </c>
    </row>
    <row r="109" spans="1:26" x14ac:dyDescent="0.3">
      <c r="B109">
        <v>88</v>
      </c>
      <c r="C109">
        <v>12</v>
      </c>
      <c r="D109">
        <v>18</v>
      </c>
      <c r="E109">
        <v>82</v>
      </c>
      <c r="G109">
        <v>62</v>
      </c>
      <c r="H109">
        <v>38</v>
      </c>
      <c r="I109">
        <v>9</v>
      </c>
      <c r="J109">
        <v>91</v>
      </c>
      <c r="L109">
        <v>67</v>
      </c>
      <c r="M109">
        <v>33</v>
      </c>
      <c r="N109">
        <v>19</v>
      </c>
      <c r="O109">
        <v>81</v>
      </c>
      <c r="Q109">
        <f t="shared" si="6"/>
        <v>15</v>
      </c>
      <c r="R109">
        <f t="shared" si="7"/>
        <v>23.5</v>
      </c>
      <c r="S109">
        <f t="shared" si="8"/>
        <v>26</v>
      </c>
      <c r="T109">
        <f t="shared" si="9"/>
        <v>21.5</v>
      </c>
      <c r="U109">
        <f t="shared" si="10"/>
        <v>15</v>
      </c>
      <c r="V109">
        <f t="shared" si="11"/>
        <v>2.1666666666666665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MIT_NOAUG</vt:lpstr>
      <vt:lpstr>MIT_STDAUG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STD_BAL_NOAUG</vt:lpstr>
      <vt:lpstr>STD_BAL_STDAUG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2025-11-17T14:29:56Z</dcterms:modified>
</cp:coreProperties>
</file>