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"/>
    </mc:Choice>
  </mc:AlternateContent>
  <xr:revisionPtr revIDLastSave="0" documentId="13_ncr:1_{E63E8C7D-1A33-4E37-B489-AF459867001E}" xr6:coauthVersionLast="47" xr6:coauthVersionMax="47" xr10:uidLastSave="{00000000-0000-0000-0000-000000000000}"/>
  <bookViews>
    <workbookView xWindow="28680" yWindow="-120" windowWidth="29040" windowHeight="15720" xr2:uid="{216728D3-2A76-4D61-AF39-758D90BA286A}"/>
  </bookViews>
  <sheets>
    <sheet name="DataAnalysis" sheetId="1" r:id="rId1"/>
    <sheet name="Calcol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Y4" i="1"/>
  <c r="AD4" i="1"/>
  <c r="M6" i="2"/>
  <c r="M4" i="2"/>
  <c r="M2" i="2"/>
  <c r="L6" i="2"/>
  <c r="L4" i="2"/>
  <c r="L2" i="2"/>
  <c r="K6" i="2"/>
  <c r="K4" i="2"/>
  <c r="K2" i="2"/>
  <c r="J6" i="2"/>
  <c r="G6" i="2"/>
  <c r="D6" i="2"/>
  <c r="D4" i="2"/>
  <c r="G4" i="2"/>
  <c r="J4" i="2"/>
  <c r="J2" i="2"/>
  <c r="G2" i="2"/>
  <c r="D2" i="2"/>
  <c r="AF4" i="1" l="1"/>
  <c r="AH4" i="1"/>
  <c r="AL4" i="1"/>
  <c r="AP4" i="1" s="1"/>
  <c r="U4" i="1"/>
  <c r="V4" i="1"/>
  <c r="AE4" i="1" l="1"/>
  <c r="AI4" i="1"/>
  <c r="AQ4" i="1"/>
  <c r="AM4" i="1"/>
  <c r="AR4" i="1"/>
  <c r="AN4" i="1"/>
  <c r="AJ4" i="1"/>
</calcChain>
</file>

<file path=xl/sharedStrings.xml><?xml version="1.0" encoding="utf-8"?>
<sst xmlns="http://schemas.openxmlformats.org/spreadsheetml/2006/main" count="207" uniqueCount="63">
  <si>
    <t>DATASET</t>
  </si>
  <si>
    <t>CULTURE</t>
  </si>
  <si>
    <t>PERCENT</t>
  </si>
  <si>
    <t>MODEL</t>
  </si>
  <si>
    <t>ERR_0</t>
  </si>
  <si>
    <t>STD_ERR_0</t>
  </si>
  <si>
    <t>ERR_1</t>
  </si>
  <si>
    <t>STD_ERR_1</t>
  </si>
  <si>
    <t>ERR_2</t>
  </si>
  <si>
    <t>STD_ERR_2</t>
  </si>
  <si>
    <t>ERR</t>
  </si>
  <si>
    <t>STD_ERR</t>
  </si>
  <si>
    <t>WERR</t>
  </si>
  <si>
    <t>STD_WERR</t>
  </si>
  <si>
    <t>CIC</t>
  </si>
  <si>
    <t>STD_CIC</t>
  </si>
  <si>
    <t>CARPET</t>
  </si>
  <si>
    <t>INDIAN</t>
  </si>
  <si>
    <t>C_0</t>
  </si>
  <si>
    <t>ERR_0_i</t>
  </si>
  <si>
    <t>STD_0</t>
  </si>
  <si>
    <t>C_1</t>
  </si>
  <si>
    <t>ERR_1_i</t>
  </si>
  <si>
    <t>STD_1</t>
  </si>
  <si>
    <t>C2</t>
  </si>
  <si>
    <t>ERR_2_i</t>
  </si>
  <si>
    <t>STD_2</t>
  </si>
  <si>
    <t>ERR_i</t>
  </si>
  <si>
    <t>ERR_STD</t>
  </si>
  <si>
    <t>MIN_i</t>
  </si>
  <si>
    <t>MIN</t>
  </si>
  <si>
    <t>MIN_STD</t>
  </si>
  <si>
    <t>CIC_i</t>
  </si>
  <si>
    <t>NOAUG IMB</t>
  </si>
  <si>
    <t>NOAUG BAL</t>
  </si>
  <si>
    <t>STD IMB</t>
  </si>
  <si>
    <t>STD IMB g=0.0001</t>
  </si>
  <si>
    <t>STD BAL</t>
  </si>
  <si>
    <t>STD BAL g=0.0001</t>
  </si>
  <si>
    <t>ADV CLSDIV IMB</t>
  </si>
  <si>
    <t>ADV NoCLSDIV IMB</t>
  </si>
  <si>
    <t>ADV CLSDIV BAL</t>
  </si>
  <si>
    <t>ADV NoCLSDIV BAL</t>
  </si>
  <si>
    <t>DIFFUSION IMB</t>
  </si>
  <si>
    <t>DIFFUSION BAL</t>
  </si>
  <si>
    <t>MIT NOAUG</t>
  </si>
  <si>
    <t>MIT PAR_BS</t>
  </si>
  <si>
    <t>MIT STD_AUG</t>
  </si>
  <si>
    <t>MIT DIFF ONLY MIN PAR_BS</t>
  </si>
  <si>
    <t>MIT DIFF ONLY_MIN</t>
  </si>
  <si>
    <t xml:space="preserve">MIT DIFF  </t>
  </si>
  <si>
    <t>JAPANESE</t>
  </si>
  <si>
    <t>SCANDINAVIAN</t>
  </si>
  <si>
    <t>LAMP</t>
  </si>
  <si>
    <t>CHINESE</t>
  </si>
  <si>
    <t>FRENCH</t>
  </si>
  <si>
    <t>TURKISH</t>
  </si>
  <si>
    <t>MIT MAJ NOAUG</t>
  </si>
  <si>
    <t>MIT MAJ PAR_BS</t>
  </si>
  <si>
    <t>MIT MAJ STD_AUG</t>
  </si>
  <si>
    <t>MIT MAJ DIFF ONLY MIN PAR_BS</t>
  </si>
  <si>
    <t>MIT MAJ DIFF ONLY_MIN</t>
  </si>
  <si>
    <t xml:space="preserve">MIT MAJ DIFF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</si>
</sst>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C200-6B38-4FC8-980C-FFCD18692E95}">
  <dimension ref="A1:AR183"/>
  <sheetViews>
    <sheetView tabSelected="1" topLeftCell="A91" workbookViewId="0">
      <selection activeCell="O117" sqref="O117:P117"/>
    </sheetView>
  </sheetViews>
  <sheetFormatPr defaultRowHeight="14.4" x14ac:dyDescent="0.3"/>
  <cols>
    <col min="4" max="4" width="23.33203125" customWidth="1"/>
    <col min="13" max="13" width="6.21875" customWidth="1"/>
    <col min="14" max="14" width="5.5546875" customWidth="1"/>
    <col min="18" max="18" width="7.33203125" customWidth="1"/>
    <col min="19" max="19" width="5.77734375" customWidth="1"/>
    <col min="20" max="20" width="7" customWidth="1"/>
    <col min="21" max="21" width="7.44140625" customWidth="1"/>
    <col min="22" max="22" width="6.6640625" customWidth="1"/>
    <col min="23" max="23" width="6.33203125" customWidth="1"/>
    <col min="24" max="24" width="6.21875" customWidth="1"/>
    <col min="26" max="26" width="8.109375" customWidth="1"/>
    <col min="28" max="28" width="7.109375" customWidth="1"/>
    <col min="29" max="29" width="6.6640625" customWidth="1"/>
    <col min="30" max="30" width="6.77734375" customWidth="1"/>
    <col min="31" max="31" width="7.109375" customWidth="1"/>
    <col min="32" max="32" width="7" customWidth="1"/>
    <col min="33" max="33" width="3.6640625" customWidth="1"/>
    <col min="34" max="34" width="9.109375" customWidth="1"/>
    <col min="37" max="37" width="3.109375" customWidth="1"/>
    <col min="41" max="41" width="2.21875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44" x14ac:dyDescent="0.3">
      <c r="A2" t="s">
        <v>16</v>
      </c>
    </row>
    <row r="3" spans="1:44" x14ac:dyDescent="0.3">
      <c r="B3" t="s">
        <v>17</v>
      </c>
      <c r="R3" t="s">
        <v>18</v>
      </c>
      <c r="T3" t="s">
        <v>19</v>
      </c>
      <c r="U3" t="s">
        <v>4</v>
      </c>
      <c r="V3" t="s">
        <v>20</v>
      </c>
      <c r="W3" t="s">
        <v>21</v>
      </c>
      <c r="Y3" t="s">
        <v>22</v>
      </c>
      <c r="Z3" t="s">
        <v>6</v>
      </c>
      <c r="AA3" t="s">
        <v>23</v>
      </c>
      <c r="AB3" t="s">
        <v>24</v>
      </c>
      <c r="AD3" t="s">
        <v>25</v>
      </c>
      <c r="AE3" t="s">
        <v>8</v>
      </c>
      <c r="AF3" t="s">
        <v>26</v>
      </c>
      <c r="AH3" t="s">
        <v>27</v>
      </c>
      <c r="AI3" t="s">
        <v>10</v>
      </c>
      <c r="AJ3" t="s">
        <v>28</v>
      </c>
      <c r="AL3" t="s">
        <v>29</v>
      </c>
      <c r="AM3" t="s">
        <v>30</v>
      </c>
      <c r="AN3" t="s">
        <v>31</v>
      </c>
      <c r="AP3" t="s">
        <v>32</v>
      </c>
      <c r="AQ3" t="s">
        <v>14</v>
      </c>
      <c r="AR3" t="s">
        <v>15</v>
      </c>
    </row>
    <row r="4" spans="1:44" x14ac:dyDescent="0.3">
      <c r="C4">
        <v>0.05</v>
      </c>
      <c r="R4">
        <v>21</v>
      </c>
      <c r="S4">
        <v>30</v>
      </c>
      <c r="T4">
        <f>AVERAGE(R4:S4)</f>
        <v>25.5</v>
      </c>
      <c r="U4">
        <f>AVERAGE(T4:T46)</f>
        <v>25.5</v>
      </c>
      <c r="V4">
        <f>_xlfn.STDEV.P(T4:T46)</f>
        <v>0</v>
      </c>
      <c r="W4">
        <v>36</v>
      </c>
      <c r="X4">
        <v>25</v>
      </c>
      <c r="Y4">
        <f>AVERAGE(W4:X4)</f>
        <v>30.5</v>
      </c>
      <c r="Z4">
        <v>28</v>
      </c>
      <c r="AA4">
        <v>22</v>
      </c>
      <c r="AB4">
        <v>51</v>
      </c>
      <c r="AC4">
        <v>39</v>
      </c>
      <c r="AD4">
        <f>AVERAGE(AB4:AC4)</f>
        <v>45</v>
      </c>
      <c r="AE4">
        <f>AVERAGE(AD4:AD46)</f>
        <v>45</v>
      </c>
      <c r="AF4">
        <f>_xlfn.STDEV.P(AD4:AD46)</f>
        <v>0</v>
      </c>
      <c r="AH4">
        <f>AVERAGE(T4,Y4,AD4)</f>
        <v>33.666666666666664</v>
      </c>
      <c r="AI4">
        <f>AVERAGE(AH4:AH46)</f>
        <v>33.666666666666664</v>
      </c>
      <c r="AJ4">
        <f>_xlfn.STDEV.P(AH4:AH46)</f>
        <v>0</v>
      </c>
      <c r="AL4">
        <f>MIN(T4,Y4,AD4)</f>
        <v>25.5</v>
      </c>
      <c r="AM4">
        <f>AVERAGE(AL4:AL46)</f>
        <v>25.5</v>
      </c>
      <c r="AN4">
        <f>_xlfn.STDEV.P(AL4:AL46)</f>
        <v>0</v>
      </c>
      <c r="AP4">
        <f>1/3*(T4+Y4+AD4-3*AL4)</f>
        <v>8.1666666666666661</v>
      </c>
      <c r="AQ4">
        <f>AVERAGE(AP4:AP46)</f>
        <v>8.1666666666666661</v>
      </c>
      <c r="AR4">
        <f>_xlfn.STDEV.P(AP4:AP46)</f>
        <v>0</v>
      </c>
    </row>
    <row r="5" spans="1:44" x14ac:dyDescent="0.3">
      <c r="D5" t="s">
        <v>33</v>
      </c>
      <c r="E5">
        <v>15.075757575757599</v>
      </c>
      <c r="F5">
        <v>3.6467477208320802</v>
      </c>
      <c r="G5">
        <v>18.363636363636399</v>
      </c>
      <c r="H5">
        <v>2.5747352026249901</v>
      </c>
      <c r="I5">
        <v>29.909090909090899</v>
      </c>
      <c r="J5">
        <v>3.6858143296600399</v>
      </c>
      <c r="K5">
        <v>21.116161616161602</v>
      </c>
      <c r="L5">
        <v>2.1276473903136299</v>
      </c>
      <c r="O5">
        <v>6.7979797979798002</v>
      </c>
      <c r="P5">
        <v>1.64134809501933</v>
      </c>
    </row>
    <row r="6" spans="1:44" x14ac:dyDescent="0.3">
      <c r="D6" t="s">
        <v>34</v>
      </c>
      <c r="E6">
        <v>15.34375</v>
      </c>
      <c r="F6">
        <v>3.8926569047088901</v>
      </c>
      <c r="G6">
        <v>20.46875</v>
      </c>
      <c r="H6">
        <v>3.3050886691753201</v>
      </c>
      <c r="I6">
        <v>28.546875</v>
      </c>
      <c r="J6">
        <v>3.1695312003990499</v>
      </c>
      <c r="K6">
        <v>20.796296296296301</v>
      </c>
      <c r="L6">
        <v>1.8925617885439801</v>
      </c>
      <c r="O6">
        <v>6.2070707070707103</v>
      </c>
      <c r="P6">
        <v>2.08958657486883</v>
      </c>
    </row>
    <row r="7" spans="1:44" x14ac:dyDescent="0.3">
      <c r="D7" t="s">
        <v>35</v>
      </c>
      <c r="E7">
        <v>16.3333333333333</v>
      </c>
      <c r="F7">
        <v>3.5266839949164699</v>
      </c>
      <c r="G7">
        <v>15</v>
      </c>
      <c r="H7">
        <v>3.2596012026013201</v>
      </c>
      <c r="I7">
        <v>25.6111111111111</v>
      </c>
      <c r="J7">
        <v>3.3426951866886001</v>
      </c>
      <c r="K7">
        <v>18.981481481481499</v>
      </c>
      <c r="L7">
        <v>1.47064905466101</v>
      </c>
      <c r="O7">
        <v>4.92592592592593</v>
      </c>
      <c r="P7">
        <v>2.73113619914343</v>
      </c>
    </row>
    <row r="8" spans="1:44" x14ac:dyDescent="0.3">
      <c r="D8" t="s">
        <v>36</v>
      </c>
      <c r="E8">
        <v>16.3333333333333</v>
      </c>
      <c r="F8">
        <v>3.5266839949164699</v>
      </c>
      <c r="G8">
        <v>15</v>
      </c>
      <c r="H8">
        <v>3.2596012026013201</v>
      </c>
      <c r="I8">
        <v>25.6111111111111</v>
      </c>
      <c r="J8">
        <v>3.3426951866886001</v>
      </c>
      <c r="K8">
        <v>18.981481481481499</v>
      </c>
      <c r="L8">
        <v>1.47064905466101</v>
      </c>
      <c r="O8">
        <v>4.92592592592593</v>
      </c>
      <c r="P8">
        <v>2.73113619914343</v>
      </c>
    </row>
    <row r="9" spans="1:44" x14ac:dyDescent="0.3">
      <c r="D9" t="s">
        <v>37</v>
      </c>
      <c r="E9">
        <v>16.0833333333333</v>
      </c>
      <c r="F9">
        <v>2.08366664000427</v>
      </c>
      <c r="G9">
        <v>16.3333333333333</v>
      </c>
      <c r="H9">
        <v>1.53839743456191</v>
      </c>
      <c r="I9">
        <v>26</v>
      </c>
      <c r="J9">
        <v>3.9242833740697201</v>
      </c>
      <c r="K9">
        <v>19.4722222222222</v>
      </c>
      <c r="L9">
        <v>1.78081338053607</v>
      </c>
      <c r="O9">
        <v>4.0555555555555598</v>
      </c>
      <c r="P9">
        <v>1.5444044759016899</v>
      </c>
    </row>
    <row r="10" spans="1:44" x14ac:dyDescent="0.3">
      <c r="D10" t="s">
        <v>38</v>
      </c>
      <c r="E10">
        <v>14.4444444444444</v>
      </c>
      <c r="F10">
        <v>2.5792979234236899</v>
      </c>
      <c r="G10">
        <v>18.8888888888889</v>
      </c>
      <c r="H10">
        <v>3.6893239368631101</v>
      </c>
      <c r="I10">
        <v>28.2777777777778</v>
      </c>
      <c r="J10">
        <v>3.94581353391724</v>
      </c>
      <c r="K10">
        <v>20.537037037036999</v>
      </c>
      <c r="L10">
        <v>1.3405476124459601</v>
      </c>
      <c r="O10">
        <v>6.6481481481481497</v>
      </c>
      <c r="P10">
        <v>2.2367580154663802</v>
      </c>
    </row>
    <row r="11" spans="1:44" x14ac:dyDescent="0.3">
      <c r="D11" t="s">
        <v>39</v>
      </c>
      <c r="E11">
        <v>23</v>
      </c>
      <c r="F11">
        <v>1.4142135623731</v>
      </c>
      <c r="G11">
        <v>14.75</v>
      </c>
      <c r="H11">
        <v>2.4748737341529199</v>
      </c>
      <c r="I11">
        <v>32.25</v>
      </c>
      <c r="J11">
        <v>6.7175144212721998</v>
      </c>
      <c r="K11">
        <v>23.3333333333333</v>
      </c>
      <c r="L11">
        <v>2.5927248643506702</v>
      </c>
      <c r="O11">
        <v>8.5833333333333304</v>
      </c>
      <c r="P11">
        <v>0.117851130197758</v>
      </c>
    </row>
    <row r="12" spans="1:44" x14ac:dyDescent="0.3">
      <c r="D12" t="s">
        <v>40</v>
      </c>
      <c r="E12">
        <v>22.25</v>
      </c>
      <c r="F12">
        <v>3.8890872965260099</v>
      </c>
      <c r="G12">
        <v>16.375</v>
      </c>
      <c r="H12">
        <v>0.53033008588991104</v>
      </c>
      <c r="I12">
        <v>33.25</v>
      </c>
      <c r="J12">
        <v>3.8890872965260099</v>
      </c>
      <c r="K12">
        <v>23.9583333333333</v>
      </c>
      <c r="L12">
        <v>0.176776695296637</v>
      </c>
      <c r="O12">
        <v>7.5833333333333304</v>
      </c>
      <c r="P12">
        <v>0.35355339059327401</v>
      </c>
    </row>
    <row r="13" spans="1:44" x14ac:dyDescent="0.3">
      <c r="D13" t="s">
        <v>41</v>
      </c>
      <c r="E13">
        <v>21.125</v>
      </c>
      <c r="F13">
        <v>1.6520189667999201</v>
      </c>
      <c r="G13">
        <v>23.40625</v>
      </c>
      <c r="H13">
        <v>2.6523868967403699</v>
      </c>
      <c r="I13">
        <v>37.875</v>
      </c>
      <c r="J13">
        <v>3.9660013447635998</v>
      </c>
      <c r="K13">
        <v>27.46875</v>
      </c>
      <c r="L13">
        <v>1.9917000810772101</v>
      </c>
      <c r="O13">
        <v>7.21875</v>
      </c>
      <c r="P13">
        <v>1.05484716726941</v>
      </c>
    </row>
    <row r="14" spans="1:44" x14ac:dyDescent="0.3">
      <c r="D14" t="s">
        <v>42</v>
      </c>
      <c r="E14">
        <v>22.5</v>
      </c>
      <c r="F14">
        <v>2.0412414523193201</v>
      </c>
      <c r="G14">
        <v>26.1354166666667</v>
      </c>
      <c r="H14">
        <v>1.0915155747858101</v>
      </c>
      <c r="I14">
        <v>39</v>
      </c>
      <c r="J14">
        <v>2.54950975679639</v>
      </c>
      <c r="K14">
        <v>29.2118055555556</v>
      </c>
      <c r="L14">
        <v>0.959665941427434</v>
      </c>
      <c r="O14">
        <v>6.7118055555555598</v>
      </c>
      <c r="P14">
        <v>1.89410279177305</v>
      </c>
    </row>
    <row r="15" spans="1:44" x14ac:dyDescent="0.3">
      <c r="D15" t="s">
        <v>43</v>
      </c>
      <c r="E15">
        <v>18</v>
      </c>
      <c r="F15">
        <v>1.8027756377319899</v>
      </c>
      <c r="G15">
        <v>18.8333333333333</v>
      </c>
      <c r="H15">
        <v>1.7559422921421199</v>
      </c>
      <c r="I15">
        <v>31.3333333333333</v>
      </c>
      <c r="J15">
        <v>3.7859388972001802</v>
      </c>
      <c r="K15">
        <v>22.7222222222222</v>
      </c>
      <c r="L15">
        <v>0.97657754618038595</v>
      </c>
      <c r="O15">
        <v>4.7222222222222197</v>
      </c>
      <c r="P15">
        <v>1.6694421334796401</v>
      </c>
    </row>
    <row r="16" spans="1:44" x14ac:dyDescent="0.3">
      <c r="D16" t="s">
        <v>44</v>
      </c>
      <c r="E16">
        <v>14.5</v>
      </c>
      <c r="F16" t="e">
        <v>#DIV/0!</v>
      </c>
      <c r="G16">
        <v>12</v>
      </c>
      <c r="H16" t="e">
        <v>#DIV/0!</v>
      </c>
      <c r="I16">
        <v>24</v>
      </c>
      <c r="J16" t="e">
        <v>#DIV/0!</v>
      </c>
      <c r="K16">
        <v>16.8333333333333</v>
      </c>
      <c r="L16" t="e">
        <v>#DIV/0!</v>
      </c>
      <c r="O16">
        <v>4.8333333333333304</v>
      </c>
      <c r="P16" t="e">
        <v>#DIV/0!</v>
      </c>
    </row>
    <row r="17" spans="3:16" x14ac:dyDescent="0.3">
      <c r="D17" t="s">
        <v>45</v>
      </c>
      <c r="E17">
        <v>15</v>
      </c>
      <c r="F17">
        <v>0</v>
      </c>
      <c r="G17">
        <v>16</v>
      </c>
      <c r="H17">
        <v>0</v>
      </c>
      <c r="I17">
        <v>33</v>
      </c>
      <c r="J17">
        <v>0</v>
      </c>
      <c r="K17">
        <v>21.333333333333332</v>
      </c>
      <c r="L17">
        <v>0</v>
      </c>
      <c r="O17">
        <v>6.333333333333333</v>
      </c>
      <c r="P17">
        <v>0</v>
      </c>
    </row>
    <row r="18" spans="3:16" x14ac:dyDescent="0.3">
      <c r="D18" t="s">
        <v>46</v>
      </c>
      <c r="E18">
        <v>23</v>
      </c>
      <c r="F18">
        <v>0</v>
      </c>
      <c r="G18">
        <v>13</v>
      </c>
      <c r="H18">
        <v>0</v>
      </c>
      <c r="I18">
        <v>41</v>
      </c>
      <c r="J18">
        <v>0</v>
      </c>
      <c r="K18">
        <v>25.666666666666668</v>
      </c>
      <c r="L18">
        <v>0</v>
      </c>
      <c r="O18">
        <v>12.666666666666666</v>
      </c>
      <c r="P18">
        <v>0</v>
      </c>
    </row>
    <row r="19" spans="3:16" x14ac:dyDescent="0.3">
      <c r="D19" t="s">
        <v>47</v>
      </c>
      <c r="E19">
        <v>16</v>
      </c>
      <c r="F19">
        <v>0</v>
      </c>
      <c r="G19">
        <v>18</v>
      </c>
      <c r="H19">
        <v>0</v>
      </c>
      <c r="I19">
        <v>25.5</v>
      </c>
      <c r="J19">
        <v>0</v>
      </c>
      <c r="K19">
        <v>19.833333333333332</v>
      </c>
      <c r="L19">
        <v>0</v>
      </c>
      <c r="O19">
        <v>3.833333333333333</v>
      </c>
      <c r="P19">
        <v>0</v>
      </c>
    </row>
    <row r="20" spans="3:16" x14ac:dyDescent="0.3">
      <c r="D20" t="s">
        <v>48</v>
      </c>
      <c r="E20">
        <v>20</v>
      </c>
      <c r="F20">
        <v>0</v>
      </c>
      <c r="G20">
        <v>12.5</v>
      </c>
      <c r="H20">
        <v>0</v>
      </c>
      <c r="I20">
        <v>33.5</v>
      </c>
      <c r="J20">
        <v>0</v>
      </c>
      <c r="K20">
        <v>22</v>
      </c>
      <c r="L20">
        <v>0</v>
      </c>
      <c r="O20">
        <v>9.5</v>
      </c>
      <c r="P20">
        <v>0</v>
      </c>
    </row>
    <row r="21" spans="3:16" x14ac:dyDescent="0.3">
      <c r="D21" t="s">
        <v>49</v>
      </c>
      <c r="E21">
        <v>17.25</v>
      </c>
      <c r="F21">
        <v>0.25</v>
      </c>
      <c r="G21">
        <v>19.625</v>
      </c>
      <c r="H21">
        <v>0.875</v>
      </c>
      <c r="I21">
        <v>30.125</v>
      </c>
      <c r="J21">
        <v>0.375</v>
      </c>
      <c r="K21">
        <v>22.333333333333336</v>
      </c>
      <c r="L21">
        <v>0.33333333333333393</v>
      </c>
      <c r="O21">
        <v>5.083333333333333</v>
      </c>
      <c r="P21">
        <v>0.58333333333333404</v>
      </c>
    </row>
    <row r="22" spans="3:16" x14ac:dyDescent="0.3">
      <c r="D22" t="s">
        <v>50</v>
      </c>
      <c r="E22">
        <v>15.5</v>
      </c>
      <c r="F22">
        <v>0.5</v>
      </c>
      <c r="G22">
        <v>19.25</v>
      </c>
      <c r="H22">
        <v>1.75</v>
      </c>
      <c r="I22">
        <v>31.75</v>
      </c>
      <c r="J22">
        <v>2.25</v>
      </c>
      <c r="K22">
        <v>22.166666666666668</v>
      </c>
      <c r="L22">
        <v>0</v>
      </c>
      <c r="O22">
        <v>6.6666666666666661</v>
      </c>
      <c r="P22">
        <v>0.5</v>
      </c>
    </row>
    <row r="23" spans="3:16" x14ac:dyDescent="0.3">
      <c r="D23" t="s">
        <v>57</v>
      </c>
      <c r="E23">
        <v>15</v>
      </c>
      <c r="F23">
        <v>0</v>
      </c>
      <c r="G23">
        <v>26.5</v>
      </c>
      <c r="H23">
        <v>0</v>
      </c>
      <c r="I23">
        <v>25.5</v>
      </c>
      <c r="J23">
        <v>0</v>
      </c>
      <c r="K23">
        <v>22.333333333333332</v>
      </c>
      <c r="L23">
        <v>0</v>
      </c>
      <c r="O23">
        <v>7.333333333333333</v>
      </c>
      <c r="P23">
        <v>0</v>
      </c>
    </row>
    <row r="24" spans="3:16" x14ac:dyDescent="0.3">
      <c r="D24" t="s">
        <v>58</v>
      </c>
      <c r="E24">
        <v>23</v>
      </c>
      <c r="F24">
        <v>0</v>
      </c>
      <c r="G24">
        <v>31</v>
      </c>
      <c r="H24">
        <v>0</v>
      </c>
      <c r="I24">
        <v>33</v>
      </c>
      <c r="J24">
        <v>0</v>
      </c>
      <c r="K24">
        <v>29</v>
      </c>
      <c r="L24">
        <v>0</v>
      </c>
      <c r="O24">
        <v>6</v>
      </c>
      <c r="P24">
        <v>0</v>
      </c>
    </row>
    <row r="25" spans="3:16" x14ac:dyDescent="0.3">
      <c r="D25" t="s">
        <v>59</v>
      </c>
      <c r="E25">
        <v>16</v>
      </c>
      <c r="F25">
        <v>0</v>
      </c>
      <c r="G25">
        <v>19</v>
      </c>
      <c r="H25">
        <v>0</v>
      </c>
      <c r="I25">
        <v>19.5</v>
      </c>
      <c r="J25">
        <v>0</v>
      </c>
      <c r="K25">
        <v>18.166666666666668</v>
      </c>
      <c r="L25">
        <v>0</v>
      </c>
      <c r="O25">
        <v>2.1666666666666665</v>
      </c>
      <c r="P25">
        <v>0</v>
      </c>
    </row>
    <row r="26" spans="3:16" x14ac:dyDescent="0.3">
      <c r="D26" t="s">
        <v>60</v>
      </c>
      <c r="E26">
        <v>20</v>
      </c>
      <c r="F26">
        <v>0</v>
      </c>
      <c r="G26">
        <v>20</v>
      </c>
      <c r="H26">
        <v>0</v>
      </c>
      <c r="I26">
        <v>20</v>
      </c>
      <c r="J26">
        <v>0</v>
      </c>
      <c r="K26">
        <v>20</v>
      </c>
      <c r="L26">
        <v>0</v>
      </c>
      <c r="O26">
        <v>0</v>
      </c>
      <c r="P26">
        <v>0</v>
      </c>
    </row>
    <row r="27" spans="3:16" x14ac:dyDescent="0.3">
      <c r="D27" t="s">
        <v>61</v>
      </c>
      <c r="E27">
        <v>17.25</v>
      </c>
      <c r="F27">
        <v>0.25</v>
      </c>
      <c r="G27">
        <v>17.125</v>
      </c>
      <c r="H27">
        <v>0.125</v>
      </c>
      <c r="I27">
        <v>17.25</v>
      </c>
      <c r="J27">
        <v>0.25</v>
      </c>
      <c r="K27">
        <v>17.208333333333336</v>
      </c>
      <c r="L27">
        <v>0.20833333333333393</v>
      </c>
      <c r="O27">
        <v>8.3333333333333329E-2</v>
      </c>
      <c r="P27">
        <v>8.3333333333333329E-2</v>
      </c>
    </row>
    <row r="28" spans="3:16" x14ac:dyDescent="0.3">
      <c r="D28" t="s">
        <v>62</v>
      </c>
      <c r="E28">
        <v>15.5</v>
      </c>
      <c r="F28">
        <v>0.5</v>
      </c>
      <c r="G28">
        <v>15.5</v>
      </c>
      <c r="H28">
        <v>0.5</v>
      </c>
      <c r="I28">
        <v>15.5</v>
      </c>
      <c r="J28">
        <v>0.5</v>
      </c>
      <c r="K28">
        <v>15.5</v>
      </c>
      <c r="L28">
        <v>0.5</v>
      </c>
      <c r="O28">
        <v>0</v>
      </c>
      <c r="P28">
        <v>0</v>
      </c>
    </row>
    <row r="29" spans="3:16" x14ac:dyDescent="0.3">
      <c r="C29">
        <v>0.2</v>
      </c>
    </row>
    <row r="30" spans="3:16" x14ac:dyDescent="0.3">
      <c r="D30" t="s">
        <v>34</v>
      </c>
      <c r="E30">
        <v>18</v>
      </c>
      <c r="F30">
        <v>0</v>
      </c>
      <c r="G30">
        <v>19.5</v>
      </c>
      <c r="H30">
        <v>0</v>
      </c>
      <c r="I30">
        <v>29.5</v>
      </c>
      <c r="J30">
        <v>0</v>
      </c>
      <c r="K30">
        <v>22.333333333333332</v>
      </c>
      <c r="L30">
        <v>0</v>
      </c>
      <c r="O30">
        <v>4.333333333333333</v>
      </c>
      <c r="P30">
        <v>0</v>
      </c>
    </row>
    <row r="31" spans="3:16" x14ac:dyDescent="0.3">
      <c r="D31" t="s">
        <v>41</v>
      </c>
      <c r="E31">
        <v>17.125</v>
      </c>
      <c r="F31">
        <v>0.375</v>
      </c>
      <c r="G31">
        <v>15.75</v>
      </c>
      <c r="H31">
        <v>1.25</v>
      </c>
      <c r="I31">
        <v>27.125</v>
      </c>
      <c r="J31">
        <v>1.625</v>
      </c>
      <c r="K31">
        <v>20</v>
      </c>
      <c r="L31">
        <v>0</v>
      </c>
      <c r="O31">
        <v>4.25</v>
      </c>
      <c r="P31">
        <v>1.25</v>
      </c>
    </row>
    <row r="32" spans="3:16" x14ac:dyDescent="0.3">
      <c r="D32" t="s">
        <v>42</v>
      </c>
      <c r="E32">
        <v>13.25</v>
      </c>
      <c r="F32">
        <v>0.75</v>
      </c>
      <c r="G32">
        <v>18.25</v>
      </c>
      <c r="H32">
        <v>1.25</v>
      </c>
      <c r="I32">
        <v>29</v>
      </c>
      <c r="J32">
        <v>2</v>
      </c>
      <c r="K32">
        <v>20.166666666666664</v>
      </c>
      <c r="L32">
        <v>1.3333333333333339</v>
      </c>
      <c r="O32">
        <v>6.9166666666666661</v>
      </c>
      <c r="P32">
        <v>0.58333333333333348</v>
      </c>
    </row>
    <row r="33" spans="2:16" x14ac:dyDescent="0.3">
      <c r="B33" t="s">
        <v>51</v>
      </c>
    </row>
    <row r="34" spans="2:16" x14ac:dyDescent="0.3">
      <c r="C34">
        <v>0.05</v>
      </c>
    </row>
    <row r="35" spans="2:16" x14ac:dyDescent="0.3">
      <c r="D35" t="s">
        <v>33</v>
      </c>
      <c r="E35">
        <v>22.515625</v>
      </c>
      <c r="F35">
        <v>2.4109126902482401</v>
      </c>
      <c r="G35">
        <v>13.390625</v>
      </c>
      <c r="H35">
        <v>1.4092945437739799</v>
      </c>
      <c r="I35">
        <v>33.828125</v>
      </c>
      <c r="J35">
        <v>3.2093848646862901</v>
      </c>
      <c r="K35">
        <v>23.3333333333333</v>
      </c>
      <c r="L35">
        <v>0.5</v>
      </c>
      <c r="O35">
        <v>11.5</v>
      </c>
      <c r="P35">
        <v>0.28867513459481298</v>
      </c>
    </row>
    <row r="36" spans="2:16" x14ac:dyDescent="0.3">
      <c r="D36" t="s">
        <v>34</v>
      </c>
      <c r="E36">
        <v>25.0625</v>
      </c>
      <c r="F36">
        <v>3.2670492973187799</v>
      </c>
      <c r="G36">
        <v>11.484375</v>
      </c>
      <c r="H36">
        <v>1.4577379737113301</v>
      </c>
      <c r="I36">
        <v>35.71875</v>
      </c>
      <c r="J36">
        <v>3.4686092313778998</v>
      </c>
      <c r="K36">
        <v>23.814814814814799</v>
      </c>
      <c r="L36">
        <v>2.0094299296007598</v>
      </c>
      <c r="O36">
        <v>12.6041666666667</v>
      </c>
      <c r="P36">
        <v>1.9536520346268</v>
      </c>
    </row>
    <row r="37" spans="2:16" x14ac:dyDescent="0.3">
      <c r="D37" t="s">
        <v>35</v>
      </c>
      <c r="E37">
        <v>22.4166666666667</v>
      </c>
      <c r="F37">
        <v>2.9054546402700301</v>
      </c>
      <c r="G37">
        <v>12.6666666666667</v>
      </c>
      <c r="H37">
        <v>2.90975371237269</v>
      </c>
      <c r="I37">
        <v>29.5</v>
      </c>
      <c r="J37">
        <v>4.3011626335213098</v>
      </c>
      <c r="K37">
        <v>21.5277777777778</v>
      </c>
      <c r="L37">
        <v>0.99675399097195505</v>
      </c>
      <c r="O37">
        <v>8.8611111111111107</v>
      </c>
      <c r="P37">
        <v>2.89907392620982</v>
      </c>
    </row>
    <row r="38" spans="2:16" x14ac:dyDescent="0.3">
      <c r="D38" t="s">
        <v>36</v>
      </c>
      <c r="E38">
        <v>23.8888888888889</v>
      </c>
      <c r="F38">
        <v>2.5712081034235901</v>
      </c>
      <c r="G38">
        <v>11.7222222222222</v>
      </c>
      <c r="H38">
        <v>2.5873624493766698</v>
      </c>
      <c r="I38">
        <v>31.7222222222222</v>
      </c>
      <c r="J38">
        <v>4.0474614815269598</v>
      </c>
      <c r="K38">
        <v>22.4444444444444</v>
      </c>
      <c r="L38">
        <v>1.8837757592428901</v>
      </c>
      <c r="O38">
        <v>10.7222222222222</v>
      </c>
      <c r="P38">
        <v>2.50138850330061</v>
      </c>
    </row>
    <row r="39" spans="2:16" x14ac:dyDescent="0.3">
      <c r="D39" t="s">
        <v>37</v>
      </c>
      <c r="E39">
        <v>24.1666666666667</v>
      </c>
      <c r="F39">
        <v>3.78318648760539</v>
      </c>
      <c r="G39">
        <v>13.5</v>
      </c>
      <c r="H39">
        <v>1.8371173070873801</v>
      </c>
      <c r="I39">
        <v>30.7777777777778</v>
      </c>
      <c r="J39">
        <v>4.6375580259921803</v>
      </c>
      <c r="K39">
        <v>22.814814814814799</v>
      </c>
      <c r="L39">
        <v>1.8036314534164399</v>
      </c>
      <c r="O39">
        <v>9.3148148148148202</v>
      </c>
      <c r="P39">
        <v>2.53783104633722</v>
      </c>
    </row>
    <row r="40" spans="2:16" x14ac:dyDescent="0.3">
      <c r="D40" t="s">
        <v>38</v>
      </c>
      <c r="E40">
        <v>24.1666666666667</v>
      </c>
      <c r="F40">
        <v>3.78318648760539</v>
      </c>
      <c r="G40">
        <v>13.5</v>
      </c>
      <c r="H40">
        <v>1.8371173070873801</v>
      </c>
      <c r="I40">
        <v>30.7777777777778</v>
      </c>
      <c r="J40">
        <v>4.6375580259921803</v>
      </c>
      <c r="K40">
        <v>22.814814814814799</v>
      </c>
      <c r="L40">
        <v>1.8036314534164399</v>
      </c>
      <c r="O40">
        <v>9.3148148148148202</v>
      </c>
      <c r="P40">
        <v>2.53783104633722</v>
      </c>
    </row>
    <row r="41" spans="2:16" x14ac:dyDescent="0.3">
      <c r="D41" t="s">
        <v>39</v>
      </c>
      <c r="E41">
        <v>30.1428571428571</v>
      </c>
      <c r="F41">
        <v>4.7933485661060002</v>
      </c>
      <c r="G41">
        <v>17.779761904761902</v>
      </c>
      <c r="H41">
        <v>2.4775279698259398</v>
      </c>
      <c r="I41">
        <v>38</v>
      </c>
      <c r="J41">
        <v>7.9214897588774296</v>
      </c>
      <c r="K41">
        <v>28.640873015873002</v>
      </c>
      <c r="L41">
        <v>3.7921535823179799</v>
      </c>
      <c r="O41">
        <v>10.8611111111111</v>
      </c>
      <c r="P41">
        <v>4.03332950719133</v>
      </c>
    </row>
    <row r="42" spans="2:16" x14ac:dyDescent="0.3">
      <c r="D42" t="s">
        <v>40</v>
      </c>
      <c r="E42">
        <v>24.625</v>
      </c>
      <c r="F42">
        <v>2.8099525500145601</v>
      </c>
      <c r="G42">
        <v>16.1458333333333</v>
      </c>
      <c r="H42">
        <v>2.11517335774951</v>
      </c>
      <c r="I42">
        <v>37.5</v>
      </c>
      <c r="J42">
        <v>3.3665016461206898</v>
      </c>
      <c r="K42">
        <v>26.0902777777778</v>
      </c>
      <c r="L42">
        <v>2.2128709495824999</v>
      </c>
      <c r="O42">
        <v>9.9444444444444393</v>
      </c>
      <c r="P42">
        <v>1.71233722304694</v>
      </c>
    </row>
    <row r="43" spans="2:16" x14ac:dyDescent="0.3">
      <c r="D43" t="s">
        <v>41</v>
      </c>
      <c r="E43">
        <v>23.285714285714299</v>
      </c>
      <c r="F43">
        <v>2.89909673946247</v>
      </c>
      <c r="G43">
        <v>13.8571428571429</v>
      </c>
      <c r="H43">
        <v>1.9208675495351399</v>
      </c>
      <c r="I43">
        <v>39.928571428571402</v>
      </c>
      <c r="J43">
        <v>3.81257318430929</v>
      </c>
      <c r="K43">
        <v>25.6904761904762</v>
      </c>
      <c r="L43">
        <v>1.4782092251192001</v>
      </c>
      <c r="O43">
        <v>11.8333333333333</v>
      </c>
      <c r="P43">
        <v>1.93708926351235</v>
      </c>
    </row>
    <row r="44" spans="2:16" x14ac:dyDescent="0.3">
      <c r="D44" t="s">
        <v>42</v>
      </c>
      <c r="E44">
        <v>24.714285714285701</v>
      </c>
      <c r="F44">
        <v>2.6903708365382002</v>
      </c>
      <c r="G44">
        <v>13.8095238095238</v>
      </c>
      <c r="H44">
        <v>1.9743519129553599</v>
      </c>
      <c r="I44">
        <v>36.857142857142897</v>
      </c>
      <c r="J44">
        <v>6.74360367134594</v>
      </c>
      <c r="K44">
        <v>25.126984126984102</v>
      </c>
      <c r="L44">
        <v>2.0136562536680702</v>
      </c>
      <c r="O44">
        <v>11.3174603174603</v>
      </c>
      <c r="P44">
        <v>1.58145251698939</v>
      </c>
    </row>
    <row r="45" spans="2:16" x14ac:dyDescent="0.3">
      <c r="D45" t="s">
        <v>43</v>
      </c>
      <c r="E45">
        <v>25</v>
      </c>
      <c r="F45">
        <v>4.0926763859362296</v>
      </c>
      <c r="G45">
        <v>11.6666666666667</v>
      </c>
      <c r="H45">
        <v>2.46644143115812</v>
      </c>
      <c r="I45">
        <v>36.5</v>
      </c>
      <c r="J45">
        <v>6.5574385243020004</v>
      </c>
      <c r="K45">
        <v>24.3888888888889</v>
      </c>
      <c r="L45">
        <v>2.8349668493717899</v>
      </c>
      <c r="O45">
        <v>12.7222222222222</v>
      </c>
      <c r="P45">
        <v>5.0726207705170996</v>
      </c>
    </row>
    <row r="46" spans="2:16" x14ac:dyDescent="0.3">
      <c r="D46" t="s">
        <v>44</v>
      </c>
      <c r="E46">
        <v>23.428571428571399</v>
      </c>
      <c r="F46">
        <v>1.9456912102680299</v>
      </c>
      <c r="G46">
        <v>14.9285714285714</v>
      </c>
      <c r="H46">
        <v>2.5401537261317402</v>
      </c>
      <c r="I46">
        <v>34.5</v>
      </c>
      <c r="J46">
        <v>4.6457866215887798</v>
      </c>
      <c r="K46">
        <v>24.285714285714299</v>
      </c>
      <c r="L46">
        <v>1.1575608363913701</v>
      </c>
      <c r="O46">
        <v>9.3571428571428594</v>
      </c>
      <c r="P46">
        <v>2.88101797118042</v>
      </c>
    </row>
    <row r="47" spans="2:16" x14ac:dyDescent="0.3">
      <c r="D47" t="s">
        <v>45</v>
      </c>
      <c r="E47">
        <v>26.5</v>
      </c>
      <c r="F47">
        <v>0</v>
      </c>
      <c r="G47">
        <v>13.5</v>
      </c>
      <c r="H47">
        <v>0</v>
      </c>
      <c r="I47">
        <v>35.5</v>
      </c>
      <c r="J47">
        <v>0</v>
      </c>
      <c r="K47">
        <v>25.166666666666668</v>
      </c>
      <c r="L47">
        <v>0</v>
      </c>
      <c r="O47">
        <v>11.6666666666667</v>
      </c>
      <c r="P47">
        <v>0</v>
      </c>
    </row>
    <row r="48" spans="2:16" x14ac:dyDescent="0.3">
      <c r="D48" t="s">
        <v>46</v>
      </c>
      <c r="E48">
        <v>45.5</v>
      </c>
      <c r="F48">
        <v>0</v>
      </c>
      <c r="G48">
        <v>26.5</v>
      </c>
      <c r="H48">
        <v>0</v>
      </c>
      <c r="I48">
        <v>46.5</v>
      </c>
      <c r="J48">
        <v>0</v>
      </c>
      <c r="K48">
        <v>39.5</v>
      </c>
      <c r="L48">
        <v>0</v>
      </c>
      <c r="O48">
        <v>13</v>
      </c>
      <c r="P48">
        <v>0</v>
      </c>
    </row>
    <row r="49" spans="2:16" x14ac:dyDescent="0.3">
      <c r="D49" t="s">
        <v>47</v>
      </c>
      <c r="E49">
        <v>30</v>
      </c>
      <c r="F49">
        <v>0</v>
      </c>
      <c r="G49">
        <v>15.5</v>
      </c>
      <c r="H49">
        <v>0</v>
      </c>
      <c r="I49">
        <v>41.5</v>
      </c>
      <c r="J49">
        <v>0</v>
      </c>
      <c r="K49">
        <v>29</v>
      </c>
      <c r="L49">
        <v>0</v>
      </c>
      <c r="O49">
        <v>13.5</v>
      </c>
      <c r="P49">
        <v>0</v>
      </c>
    </row>
    <row r="50" spans="2:16" x14ac:dyDescent="0.3">
      <c r="D50" t="s">
        <v>48</v>
      </c>
      <c r="E50">
        <v>31.5</v>
      </c>
      <c r="F50">
        <v>0</v>
      </c>
      <c r="G50">
        <v>18</v>
      </c>
      <c r="H50">
        <v>0</v>
      </c>
      <c r="I50">
        <v>42</v>
      </c>
      <c r="J50">
        <v>0</v>
      </c>
      <c r="K50">
        <v>30.5</v>
      </c>
      <c r="L50">
        <v>0</v>
      </c>
      <c r="O50">
        <v>12.5</v>
      </c>
      <c r="P50">
        <v>0</v>
      </c>
    </row>
    <row r="51" spans="2:16" x14ac:dyDescent="0.3">
      <c r="D51" t="s">
        <v>49</v>
      </c>
      <c r="E51">
        <v>26</v>
      </c>
      <c r="F51">
        <v>2.1602468994692869</v>
      </c>
      <c r="G51">
        <v>14</v>
      </c>
      <c r="H51">
        <v>1.2247448713915889</v>
      </c>
      <c r="I51">
        <v>37.166666666666664</v>
      </c>
      <c r="J51">
        <v>4.0892813821284326</v>
      </c>
      <c r="K51">
        <v>25.722222222222225</v>
      </c>
      <c r="L51">
        <v>1.2196943555611197</v>
      </c>
      <c r="O51">
        <v>11.722222222222221</v>
      </c>
      <c r="P51">
        <v>0.69832250499869608</v>
      </c>
    </row>
    <row r="52" spans="2:16" x14ac:dyDescent="0.3">
      <c r="D52" t="s">
        <v>50</v>
      </c>
      <c r="E52">
        <v>23.5</v>
      </c>
      <c r="F52">
        <v>0</v>
      </c>
      <c r="G52">
        <v>13.5</v>
      </c>
      <c r="H52">
        <v>0</v>
      </c>
      <c r="I52">
        <v>35</v>
      </c>
      <c r="J52">
        <v>0</v>
      </c>
      <c r="K52">
        <v>24</v>
      </c>
      <c r="L52">
        <v>0</v>
      </c>
      <c r="O52">
        <v>10.5</v>
      </c>
      <c r="P52">
        <v>0</v>
      </c>
    </row>
    <row r="53" spans="2:16" x14ac:dyDescent="0.3">
      <c r="D53" t="s">
        <v>57</v>
      </c>
      <c r="E53">
        <v>16</v>
      </c>
      <c r="F53">
        <v>0</v>
      </c>
      <c r="G53">
        <v>13.5</v>
      </c>
      <c r="H53">
        <v>0</v>
      </c>
      <c r="I53">
        <v>24.5</v>
      </c>
      <c r="J53">
        <v>0</v>
      </c>
      <c r="K53">
        <v>18</v>
      </c>
      <c r="L53">
        <v>0</v>
      </c>
      <c r="O53">
        <v>4.5</v>
      </c>
      <c r="P53">
        <v>0</v>
      </c>
    </row>
    <row r="54" spans="2:16" x14ac:dyDescent="0.3">
      <c r="D54" t="s">
        <v>58</v>
      </c>
      <c r="E54">
        <v>48.5</v>
      </c>
      <c r="F54">
        <v>0</v>
      </c>
      <c r="G54">
        <v>26.5</v>
      </c>
      <c r="H54">
        <v>0</v>
      </c>
      <c r="I54">
        <v>32</v>
      </c>
      <c r="J54">
        <v>0</v>
      </c>
      <c r="K54">
        <v>35.666666666666664</v>
      </c>
      <c r="L54">
        <v>0</v>
      </c>
      <c r="O54">
        <v>9.1666666666666696</v>
      </c>
      <c r="P54">
        <v>0</v>
      </c>
    </row>
    <row r="55" spans="2:16" x14ac:dyDescent="0.3">
      <c r="D55" t="s">
        <v>59</v>
      </c>
      <c r="E55">
        <v>30.5</v>
      </c>
      <c r="F55">
        <v>0</v>
      </c>
      <c r="G55">
        <v>15.5</v>
      </c>
      <c r="H55">
        <v>0</v>
      </c>
      <c r="I55">
        <v>37</v>
      </c>
      <c r="J55">
        <v>0</v>
      </c>
      <c r="K55">
        <v>27.666666666666668</v>
      </c>
      <c r="L55">
        <v>0</v>
      </c>
      <c r="O55">
        <v>12.166666666666666</v>
      </c>
      <c r="P55">
        <v>0</v>
      </c>
    </row>
    <row r="56" spans="2:16" x14ac:dyDescent="0.3">
      <c r="D56" t="s">
        <v>60</v>
      </c>
      <c r="E56">
        <v>23</v>
      </c>
      <c r="F56">
        <v>0</v>
      </c>
      <c r="G56">
        <v>18</v>
      </c>
      <c r="H56">
        <v>0</v>
      </c>
      <c r="I56">
        <v>36.5</v>
      </c>
      <c r="J56">
        <v>0</v>
      </c>
      <c r="K56">
        <v>25.833333333333332</v>
      </c>
      <c r="L56">
        <v>0</v>
      </c>
      <c r="O56">
        <v>7.833333333333333</v>
      </c>
      <c r="P56">
        <v>0</v>
      </c>
    </row>
    <row r="57" spans="2:16" x14ac:dyDescent="0.3">
      <c r="D57" t="s">
        <v>61</v>
      </c>
      <c r="E57">
        <v>16.166666666666668</v>
      </c>
      <c r="F57">
        <v>4.2491829279939877</v>
      </c>
      <c r="G57">
        <v>14</v>
      </c>
      <c r="H57">
        <v>1.2247448713915889</v>
      </c>
      <c r="I57">
        <v>16.833333333333332</v>
      </c>
      <c r="J57">
        <v>4.7842333648024411</v>
      </c>
      <c r="K57">
        <v>15.666666666666666</v>
      </c>
      <c r="L57">
        <v>3.39934634239519</v>
      </c>
      <c r="O57">
        <v>1.8333333333333333</v>
      </c>
      <c r="P57">
        <v>2.1213203435596419</v>
      </c>
    </row>
    <row r="58" spans="2:16" x14ac:dyDescent="0.3">
      <c r="D58" t="s">
        <v>62</v>
      </c>
      <c r="E58">
        <v>13.5</v>
      </c>
      <c r="F58">
        <v>0</v>
      </c>
      <c r="G58">
        <v>13.5</v>
      </c>
      <c r="H58">
        <v>0</v>
      </c>
      <c r="I58">
        <v>14</v>
      </c>
      <c r="J58">
        <v>0</v>
      </c>
      <c r="K58">
        <v>13.666666666666666</v>
      </c>
      <c r="L58">
        <v>0</v>
      </c>
      <c r="O58">
        <v>0.16666666666666666</v>
      </c>
      <c r="P58">
        <v>0</v>
      </c>
    </row>
    <row r="59" spans="2:16" x14ac:dyDescent="0.3">
      <c r="C59">
        <v>0.2</v>
      </c>
    </row>
    <row r="60" spans="2:16" x14ac:dyDescent="0.3">
      <c r="D60" t="s">
        <v>34</v>
      </c>
      <c r="E60">
        <v>26</v>
      </c>
      <c r="F60">
        <v>0</v>
      </c>
      <c r="G60">
        <v>13</v>
      </c>
      <c r="H60">
        <v>0</v>
      </c>
      <c r="I60">
        <v>38.5</v>
      </c>
      <c r="J60">
        <v>0</v>
      </c>
      <c r="K60">
        <v>25.833333333333332</v>
      </c>
      <c r="L60">
        <v>0</v>
      </c>
      <c r="O60">
        <v>12.833333333333332</v>
      </c>
      <c r="P60">
        <v>0</v>
      </c>
    </row>
    <row r="61" spans="2:16" x14ac:dyDescent="0.3">
      <c r="D61" t="s">
        <v>41</v>
      </c>
      <c r="E61">
        <v>22</v>
      </c>
      <c r="F61">
        <v>0</v>
      </c>
      <c r="G61">
        <v>12</v>
      </c>
      <c r="H61">
        <v>0</v>
      </c>
      <c r="I61">
        <v>32.5</v>
      </c>
      <c r="J61">
        <v>0</v>
      </c>
      <c r="K61">
        <v>22.166666666666668</v>
      </c>
      <c r="L61">
        <v>0</v>
      </c>
      <c r="O61">
        <v>10.166666666666666</v>
      </c>
      <c r="P61">
        <v>0</v>
      </c>
    </row>
    <row r="62" spans="2:16" x14ac:dyDescent="0.3">
      <c r="D62" t="s">
        <v>42</v>
      </c>
      <c r="E62">
        <v>22</v>
      </c>
      <c r="F62">
        <v>0</v>
      </c>
      <c r="G62">
        <v>17</v>
      </c>
      <c r="H62">
        <v>0</v>
      </c>
      <c r="I62">
        <v>36.5</v>
      </c>
      <c r="J62">
        <v>0</v>
      </c>
      <c r="K62">
        <v>25.166666666666668</v>
      </c>
      <c r="L62">
        <v>0</v>
      </c>
      <c r="O62">
        <v>8.1666666666666661</v>
      </c>
      <c r="P62">
        <v>0</v>
      </c>
    </row>
    <row r="63" spans="2:16" x14ac:dyDescent="0.3">
      <c r="B63" t="s">
        <v>52</v>
      </c>
    </row>
    <row r="64" spans="2:16" x14ac:dyDescent="0.3">
      <c r="C64">
        <v>0.05</v>
      </c>
    </row>
    <row r="65" spans="4:16" x14ac:dyDescent="0.3">
      <c r="D65" t="s">
        <v>33</v>
      </c>
      <c r="E65">
        <v>20.806451612903199</v>
      </c>
      <c r="F65">
        <v>3.3551370231995699</v>
      </c>
      <c r="G65">
        <v>18.0322580645161</v>
      </c>
      <c r="H65">
        <v>3.4003676271838601</v>
      </c>
      <c r="I65">
        <v>22.548387096774199</v>
      </c>
      <c r="J65">
        <v>2.671936996231</v>
      </c>
      <c r="K65">
        <v>20.629629629629601</v>
      </c>
      <c r="L65">
        <v>1.75352378912074</v>
      </c>
      <c r="O65">
        <v>3.3494623655914002</v>
      </c>
      <c r="P65">
        <v>1.97922302315537</v>
      </c>
    </row>
    <row r="66" spans="4:16" x14ac:dyDescent="0.3">
      <c r="D66" t="s">
        <v>34</v>
      </c>
      <c r="E66">
        <v>23.4838709677419</v>
      </c>
      <c r="F66">
        <v>3.0765691569957898</v>
      </c>
      <c r="G66">
        <v>19.338709677419399</v>
      </c>
      <c r="H66">
        <v>2.1213203435596402</v>
      </c>
      <c r="I66">
        <v>21.7258064516129</v>
      </c>
      <c r="J66">
        <v>2.6546773491249298</v>
      </c>
      <c r="K66">
        <v>21.870370370370399</v>
      </c>
      <c r="L66">
        <v>1.2184284555256299</v>
      </c>
      <c r="O66">
        <v>2.9032258064516099</v>
      </c>
      <c r="P66">
        <v>1.78873749888138</v>
      </c>
    </row>
    <row r="67" spans="4:16" x14ac:dyDescent="0.3">
      <c r="D67" t="s">
        <v>35</v>
      </c>
      <c r="E67">
        <v>21.1666666666667</v>
      </c>
      <c r="F67">
        <v>3.80350715349224</v>
      </c>
      <c r="G67">
        <v>16</v>
      </c>
      <c r="H67">
        <v>2.8635642126552701</v>
      </c>
      <c r="I67">
        <v>17.8333333333333</v>
      </c>
      <c r="J67">
        <v>2.69567554922076</v>
      </c>
      <c r="K67">
        <v>18.3333333333333</v>
      </c>
      <c r="L67">
        <v>2.4289915602982202</v>
      </c>
      <c r="O67">
        <v>3.1666666666666701</v>
      </c>
      <c r="P67">
        <v>1.0801234497346399</v>
      </c>
    </row>
    <row r="68" spans="4:16" x14ac:dyDescent="0.3">
      <c r="D68" t="s">
        <v>36</v>
      </c>
      <c r="E68">
        <v>21.7222222222222</v>
      </c>
      <c r="F68">
        <v>2.39936334148133</v>
      </c>
      <c r="G68">
        <v>16.5</v>
      </c>
      <c r="H68">
        <v>3.69966214673719</v>
      </c>
      <c r="I68">
        <v>20.0555555555556</v>
      </c>
      <c r="J68">
        <v>2.1278575558006199</v>
      </c>
      <c r="K68">
        <v>19.425925925925899</v>
      </c>
      <c r="L68">
        <v>1.5163715626618</v>
      </c>
      <c r="O68">
        <v>3.3703703703703698</v>
      </c>
      <c r="P68">
        <v>1.95394504389655</v>
      </c>
    </row>
    <row r="69" spans="4:16" x14ac:dyDescent="0.3">
      <c r="D69" t="s">
        <v>37</v>
      </c>
      <c r="E69">
        <v>23.285714285714299</v>
      </c>
      <c r="F69">
        <v>3.7177181941923201</v>
      </c>
      <c r="G69">
        <v>18.6428571428571</v>
      </c>
      <c r="H69">
        <v>1.65111794738912</v>
      </c>
      <c r="I69">
        <v>17.8571428571429</v>
      </c>
      <c r="J69">
        <v>4.0999419275794402</v>
      </c>
      <c r="K69">
        <v>19.928571428571399</v>
      </c>
      <c r="L69">
        <v>2.53285292019571</v>
      </c>
      <c r="O69">
        <v>3.5</v>
      </c>
      <c r="P69">
        <v>0.96704973252940096</v>
      </c>
    </row>
    <row r="70" spans="4:16" x14ac:dyDescent="0.3">
      <c r="D70" t="s">
        <v>38</v>
      </c>
      <c r="E70">
        <v>23.8888888888889</v>
      </c>
      <c r="F70">
        <v>3.8550111687401301</v>
      </c>
      <c r="G70">
        <v>18.2222222222222</v>
      </c>
      <c r="H70">
        <v>4.4307950126861497</v>
      </c>
      <c r="I70">
        <v>19.1111111111111</v>
      </c>
      <c r="J70">
        <v>3.1797973380564901</v>
      </c>
      <c r="K70">
        <v>20.407407407407401</v>
      </c>
      <c r="L70">
        <v>2.4225662344905698</v>
      </c>
      <c r="O70">
        <v>3.9629629629629601</v>
      </c>
      <c r="P70">
        <v>1.7594541802347901</v>
      </c>
    </row>
    <row r="71" spans="4:16" x14ac:dyDescent="0.3">
      <c r="D71" t="s">
        <v>39</v>
      </c>
      <c r="E71">
        <v>28.3571428571429</v>
      </c>
      <c r="F71">
        <v>7.7605534903246696</v>
      </c>
      <c r="G71">
        <v>24.154761904761902</v>
      </c>
      <c r="H71">
        <v>1.5880256285165499</v>
      </c>
      <c r="I71">
        <v>41.5</v>
      </c>
      <c r="J71">
        <v>7.8687144227419203</v>
      </c>
      <c r="K71">
        <v>31.337301587301599</v>
      </c>
      <c r="L71">
        <v>5.0615915475973603</v>
      </c>
      <c r="O71">
        <v>8.6111111111111107</v>
      </c>
      <c r="P71">
        <v>3.29667340747541</v>
      </c>
    </row>
    <row r="72" spans="4:16" x14ac:dyDescent="0.3">
      <c r="D72" t="s">
        <v>40</v>
      </c>
      <c r="E72">
        <v>25.071428571428601</v>
      </c>
      <c r="F72">
        <v>5.2553827281224397</v>
      </c>
      <c r="G72">
        <v>21.529761904761902</v>
      </c>
      <c r="H72">
        <v>2.71747541277702</v>
      </c>
      <c r="I72">
        <v>40.071428571428598</v>
      </c>
      <c r="J72">
        <v>6.4383523476415103</v>
      </c>
      <c r="K72">
        <v>28.890873015873002</v>
      </c>
      <c r="L72">
        <v>3.53831930204796</v>
      </c>
      <c r="O72">
        <v>8.4682539682539701</v>
      </c>
      <c r="P72">
        <v>2.5567845561004798</v>
      </c>
    </row>
    <row r="73" spans="4:16" x14ac:dyDescent="0.3">
      <c r="D73" t="s">
        <v>41</v>
      </c>
      <c r="E73">
        <v>23.1428571428571</v>
      </c>
      <c r="F73">
        <v>3.1716752370827299</v>
      </c>
      <c r="G73">
        <v>19.619047619047599</v>
      </c>
      <c r="H73">
        <v>2.4095235154338202</v>
      </c>
      <c r="I73">
        <v>34</v>
      </c>
      <c r="J73">
        <v>3.2403703492039302</v>
      </c>
      <c r="K73">
        <v>25.587301587301599</v>
      </c>
      <c r="L73">
        <v>2.6211233657370498</v>
      </c>
      <c r="O73">
        <v>5.9682539682539701</v>
      </c>
      <c r="P73">
        <v>1.05925625300199</v>
      </c>
    </row>
    <row r="74" spans="4:16" x14ac:dyDescent="0.3">
      <c r="D74" t="s">
        <v>42</v>
      </c>
      <c r="E74">
        <v>25.1428571428571</v>
      </c>
      <c r="F74">
        <v>3.03746448146978</v>
      </c>
      <c r="G74">
        <v>23.654761904761902</v>
      </c>
      <c r="H74">
        <v>1.24692081061169</v>
      </c>
      <c r="I74">
        <v>34.642857142857103</v>
      </c>
      <c r="J74">
        <v>4.6700667885506499</v>
      </c>
      <c r="K74">
        <v>27.813492063492099</v>
      </c>
      <c r="L74">
        <v>2.3672015287257202</v>
      </c>
      <c r="O74">
        <v>4.5337301587301599</v>
      </c>
      <c r="P74">
        <v>1.7422273217248001</v>
      </c>
    </row>
    <row r="75" spans="4:16" x14ac:dyDescent="0.3">
      <c r="D75" t="s">
        <v>43</v>
      </c>
      <c r="E75">
        <v>25.6666666666667</v>
      </c>
      <c r="F75">
        <v>2.3629078131262999</v>
      </c>
      <c r="G75">
        <v>18.3333333333333</v>
      </c>
      <c r="H75">
        <v>5.2993710318615497</v>
      </c>
      <c r="I75">
        <v>24.5</v>
      </c>
      <c r="J75">
        <v>3.77491721763537</v>
      </c>
      <c r="K75">
        <v>22.8333333333333</v>
      </c>
      <c r="L75">
        <v>2.6666666666666701</v>
      </c>
      <c r="O75">
        <v>4.5</v>
      </c>
      <c r="P75">
        <v>2.6822461565718498</v>
      </c>
    </row>
    <row r="76" spans="4:16" x14ac:dyDescent="0.3">
      <c r="D76" t="s">
        <v>44</v>
      </c>
      <c r="E76">
        <v>22.0833333333333</v>
      </c>
      <c r="F76">
        <v>2.7095510083160801</v>
      </c>
      <c r="G76">
        <v>17.0833333333333</v>
      </c>
      <c r="H76">
        <v>2.51826659960114</v>
      </c>
      <c r="I76">
        <v>18.25</v>
      </c>
      <c r="J76">
        <v>2.8240042492885902</v>
      </c>
      <c r="K76">
        <v>19.1388888888889</v>
      </c>
      <c r="L76">
        <v>1.41192015302513</v>
      </c>
      <c r="O76">
        <v>3.2222222222222201</v>
      </c>
      <c r="P76">
        <v>1.9682667690316</v>
      </c>
    </row>
    <row r="77" spans="4:16" x14ac:dyDescent="0.3">
      <c r="D77" t="s">
        <v>45</v>
      </c>
      <c r="E77">
        <v>19</v>
      </c>
      <c r="F77">
        <v>0</v>
      </c>
      <c r="G77">
        <v>21.5</v>
      </c>
      <c r="H77">
        <v>0</v>
      </c>
      <c r="I77">
        <v>20.5</v>
      </c>
      <c r="J77">
        <v>0</v>
      </c>
      <c r="K77">
        <v>20.333333333333332</v>
      </c>
      <c r="L77">
        <v>0</v>
      </c>
      <c r="O77">
        <v>1.3333333333333299</v>
      </c>
      <c r="P77">
        <v>0</v>
      </c>
    </row>
    <row r="78" spans="4:16" x14ac:dyDescent="0.3">
      <c r="D78" t="s">
        <v>46</v>
      </c>
      <c r="E78">
        <v>19.5</v>
      </c>
      <c r="F78">
        <v>0</v>
      </c>
      <c r="G78">
        <v>17</v>
      </c>
      <c r="H78">
        <v>0</v>
      </c>
      <c r="I78">
        <v>22.5</v>
      </c>
      <c r="J78">
        <v>0</v>
      </c>
      <c r="K78">
        <v>19.666666666666668</v>
      </c>
      <c r="L78">
        <v>0</v>
      </c>
      <c r="O78">
        <v>2.6666666666666701</v>
      </c>
      <c r="P78">
        <v>0</v>
      </c>
    </row>
    <row r="79" spans="4:16" x14ac:dyDescent="0.3">
      <c r="D79" t="s">
        <v>47</v>
      </c>
      <c r="E79">
        <v>20</v>
      </c>
      <c r="F79">
        <v>0</v>
      </c>
      <c r="G79">
        <v>17</v>
      </c>
      <c r="H79">
        <v>0</v>
      </c>
      <c r="I79">
        <v>25</v>
      </c>
      <c r="J79">
        <v>0</v>
      </c>
      <c r="K79">
        <v>20.666666666666668</v>
      </c>
      <c r="L79">
        <v>0</v>
      </c>
      <c r="O79">
        <v>3.6666666666666665</v>
      </c>
      <c r="P79">
        <v>0</v>
      </c>
    </row>
    <row r="80" spans="4:16" x14ac:dyDescent="0.3">
      <c r="D80" t="s">
        <v>48</v>
      </c>
      <c r="E80">
        <v>20.5</v>
      </c>
      <c r="F80">
        <v>3</v>
      </c>
      <c r="G80">
        <v>18</v>
      </c>
      <c r="H80">
        <v>2.5</v>
      </c>
      <c r="I80">
        <v>24.75</v>
      </c>
      <c r="J80">
        <v>2.25</v>
      </c>
      <c r="K80">
        <v>21.083333333333336</v>
      </c>
      <c r="L80">
        <v>0.58333333333333393</v>
      </c>
      <c r="O80">
        <v>4.583333333333333</v>
      </c>
      <c r="P80">
        <v>0.41666666666666696</v>
      </c>
    </row>
    <row r="81" spans="1:16" x14ac:dyDescent="0.3">
      <c r="D81" t="s">
        <v>49</v>
      </c>
      <c r="E81">
        <v>23.166666666666668</v>
      </c>
      <c r="F81">
        <v>2.3921166824012206</v>
      </c>
      <c r="G81">
        <v>21.666666666666668</v>
      </c>
      <c r="H81">
        <v>2.0949675149960894</v>
      </c>
      <c r="I81">
        <v>22.666666666666668</v>
      </c>
      <c r="J81">
        <v>4.4032816045409691</v>
      </c>
      <c r="K81">
        <v>22.5</v>
      </c>
      <c r="L81">
        <v>2.2484562605386738</v>
      </c>
      <c r="O81">
        <v>2.333333333333333</v>
      </c>
      <c r="P81">
        <v>1.0801234497346435</v>
      </c>
    </row>
    <row r="82" spans="1:16" x14ac:dyDescent="0.3">
      <c r="D82" t="s">
        <v>50</v>
      </c>
      <c r="E82">
        <v>28</v>
      </c>
      <c r="F82">
        <v>3</v>
      </c>
      <c r="G82">
        <v>19.25</v>
      </c>
      <c r="H82">
        <v>0.25</v>
      </c>
      <c r="I82">
        <v>23</v>
      </c>
      <c r="J82">
        <v>2</v>
      </c>
      <c r="K82">
        <v>23.416666666666664</v>
      </c>
      <c r="L82">
        <v>1.5833333333333339</v>
      </c>
      <c r="O82">
        <v>4.1666666666666661</v>
      </c>
      <c r="P82">
        <v>1.8333333333333341</v>
      </c>
    </row>
    <row r="83" spans="1:16" x14ac:dyDescent="0.3">
      <c r="D83" t="s">
        <v>57</v>
      </c>
      <c r="E83">
        <v>21</v>
      </c>
      <c r="F83">
        <v>0</v>
      </c>
      <c r="G83">
        <v>20.5</v>
      </c>
      <c r="H83">
        <v>0</v>
      </c>
      <c r="I83">
        <v>20.5</v>
      </c>
      <c r="J83">
        <v>0</v>
      </c>
      <c r="K83">
        <v>20.666666666666668</v>
      </c>
      <c r="L83">
        <v>0</v>
      </c>
      <c r="O83">
        <v>0.16666666666666666</v>
      </c>
      <c r="P83">
        <v>0</v>
      </c>
    </row>
    <row r="84" spans="1:16" x14ac:dyDescent="0.3">
      <c r="D84" t="s">
        <v>58</v>
      </c>
      <c r="E84">
        <v>21</v>
      </c>
      <c r="F84">
        <v>0</v>
      </c>
      <c r="G84">
        <v>21</v>
      </c>
      <c r="H84">
        <v>0</v>
      </c>
      <c r="I84">
        <v>22.5</v>
      </c>
      <c r="J84">
        <v>0</v>
      </c>
      <c r="K84">
        <v>21.5</v>
      </c>
      <c r="L84">
        <v>0</v>
      </c>
      <c r="O84">
        <v>0.5</v>
      </c>
      <c r="P84">
        <v>0</v>
      </c>
    </row>
    <row r="85" spans="1:16" x14ac:dyDescent="0.3">
      <c r="D85" t="s">
        <v>59</v>
      </c>
      <c r="E85">
        <v>37</v>
      </c>
      <c r="F85">
        <v>0</v>
      </c>
      <c r="G85">
        <v>39.5</v>
      </c>
      <c r="H85">
        <v>0</v>
      </c>
      <c r="I85">
        <v>25</v>
      </c>
      <c r="J85">
        <v>0</v>
      </c>
      <c r="K85">
        <v>33.833333333333336</v>
      </c>
      <c r="L85">
        <v>0</v>
      </c>
      <c r="O85">
        <v>8.8333333333333321</v>
      </c>
      <c r="P85">
        <v>0</v>
      </c>
    </row>
    <row r="86" spans="1:16" x14ac:dyDescent="0.3">
      <c r="D86" t="s">
        <v>60</v>
      </c>
      <c r="E86">
        <v>28</v>
      </c>
      <c r="F86">
        <v>1.5</v>
      </c>
      <c r="G86">
        <v>29</v>
      </c>
      <c r="H86">
        <v>3</v>
      </c>
      <c r="I86">
        <v>24.75</v>
      </c>
      <c r="J86">
        <v>2.25</v>
      </c>
      <c r="K86">
        <v>27.25</v>
      </c>
      <c r="L86">
        <v>0.75</v>
      </c>
      <c r="O86">
        <v>3</v>
      </c>
      <c r="P86">
        <v>2.5</v>
      </c>
    </row>
    <row r="87" spans="1:16" x14ac:dyDescent="0.3">
      <c r="D87" t="s">
        <v>61</v>
      </c>
      <c r="E87">
        <v>31.666666666666668</v>
      </c>
      <c r="F87">
        <v>5.1370116691408141</v>
      </c>
      <c r="G87">
        <v>28.333333333333332</v>
      </c>
      <c r="H87">
        <v>3.39934634239519</v>
      </c>
      <c r="I87">
        <v>22.666666666666668</v>
      </c>
      <c r="J87">
        <v>4.4032816045409691</v>
      </c>
      <c r="K87">
        <v>27.555555555555557</v>
      </c>
      <c r="L87">
        <v>3.381138678822857</v>
      </c>
      <c r="O87">
        <v>4.8888888888888884</v>
      </c>
      <c r="P87">
        <v>3.6675083209108901</v>
      </c>
    </row>
    <row r="88" spans="1:16" x14ac:dyDescent="0.3">
      <c r="D88" t="s">
        <v>62</v>
      </c>
      <c r="E88">
        <v>27.75</v>
      </c>
      <c r="F88">
        <v>6.25</v>
      </c>
      <c r="G88">
        <v>27.75</v>
      </c>
      <c r="H88">
        <v>6.75</v>
      </c>
      <c r="I88">
        <v>23</v>
      </c>
      <c r="J88">
        <v>2</v>
      </c>
      <c r="K88">
        <v>26.166666666666668</v>
      </c>
      <c r="L88">
        <v>5.0000000000000115</v>
      </c>
      <c r="O88">
        <v>3.1666666666666665</v>
      </c>
      <c r="P88">
        <v>2.9999999999999996</v>
      </c>
    </row>
    <row r="89" spans="1:16" x14ac:dyDescent="0.3">
      <c r="C89">
        <v>0.2</v>
      </c>
    </row>
    <row r="90" spans="1:16" x14ac:dyDescent="0.3">
      <c r="D90" t="s">
        <v>34</v>
      </c>
      <c r="E90">
        <v>25.5</v>
      </c>
      <c r="F90">
        <v>0</v>
      </c>
      <c r="G90">
        <v>15.5</v>
      </c>
      <c r="H90">
        <v>0</v>
      </c>
      <c r="I90">
        <v>20</v>
      </c>
      <c r="J90">
        <v>0</v>
      </c>
      <c r="K90">
        <v>20.333333333333332</v>
      </c>
      <c r="L90">
        <v>0</v>
      </c>
      <c r="O90">
        <v>4.833333333333333</v>
      </c>
      <c r="P90">
        <v>0</v>
      </c>
    </row>
    <row r="91" spans="1:16" x14ac:dyDescent="0.3">
      <c r="D91" t="s">
        <v>41</v>
      </c>
      <c r="E91">
        <v>20</v>
      </c>
      <c r="F91">
        <v>0</v>
      </c>
      <c r="G91">
        <v>14.5</v>
      </c>
      <c r="H91">
        <v>0</v>
      </c>
      <c r="I91">
        <v>19.5</v>
      </c>
      <c r="J91">
        <v>0</v>
      </c>
      <c r="K91">
        <v>18</v>
      </c>
      <c r="L91">
        <v>0</v>
      </c>
      <c r="O91">
        <v>3.5</v>
      </c>
      <c r="P91">
        <v>0</v>
      </c>
    </row>
    <row r="92" spans="1:16" x14ac:dyDescent="0.3">
      <c r="D92" t="s">
        <v>42</v>
      </c>
      <c r="E92">
        <v>18</v>
      </c>
      <c r="F92">
        <v>0</v>
      </c>
      <c r="G92">
        <v>15</v>
      </c>
      <c r="H92">
        <v>0</v>
      </c>
      <c r="I92">
        <v>28</v>
      </c>
      <c r="J92">
        <v>0</v>
      </c>
      <c r="K92">
        <v>20.333333333333332</v>
      </c>
      <c r="L92">
        <v>0</v>
      </c>
      <c r="O92">
        <v>5.333333333333333</v>
      </c>
      <c r="P92">
        <v>0</v>
      </c>
    </row>
    <row r="93" spans="1:16" x14ac:dyDescent="0.3">
      <c r="A93" t="s">
        <v>53</v>
      </c>
    </row>
    <row r="94" spans="1:16" x14ac:dyDescent="0.3">
      <c r="B94" t="s">
        <v>54</v>
      </c>
    </row>
    <row r="95" spans="1:16" x14ac:dyDescent="0.3">
      <c r="C95">
        <v>0.05</v>
      </c>
    </row>
    <row r="96" spans="1:16" x14ac:dyDescent="0.3">
      <c r="D96" t="s">
        <v>33</v>
      </c>
      <c r="E96">
        <v>10.346153846153801</v>
      </c>
      <c r="F96">
        <v>3.0493624105886599</v>
      </c>
      <c r="G96">
        <v>16.076923076923102</v>
      </c>
      <c r="H96">
        <v>3.0527765140023702</v>
      </c>
      <c r="I96">
        <v>23.692307692307701</v>
      </c>
      <c r="J96">
        <v>4.1660255917083902</v>
      </c>
      <c r="K96">
        <v>16.574074074074101</v>
      </c>
      <c r="L96">
        <v>1.89317324570986</v>
      </c>
      <c r="O96">
        <v>5.0833333333333304</v>
      </c>
      <c r="P96">
        <v>2.3681919967209901</v>
      </c>
    </row>
    <row r="97" spans="4:16" x14ac:dyDescent="0.3">
      <c r="D97" t="s">
        <v>34</v>
      </c>
      <c r="E97">
        <v>11.846153846153801</v>
      </c>
      <c r="F97">
        <v>1.8948028334836799</v>
      </c>
      <c r="G97">
        <v>15.4230769230769</v>
      </c>
      <c r="H97">
        <v>2.0069324297987201</v>
      </c>
      <c r="I97">
        <v>30.961538461538499</v>
      </c>
      <c r="J97">
        <v>4.8966890959671998</v>
      </c>
      <c r="K97">
        <v>19.685185185185201</v>
      </c>
      <c r="L97">
        <v>2.0840739424336299</v>
      </c>
      <c r="O97">
        <v>7.9102564102564097</v>
      </c>
      <c r="P97">
        <v>1.63244786743284</v>
      </c>
    </row>
    <row r="98" spans="4:16" x14ac:dyDescent="0.3">
      <c r="D98" t="s">
        <v>35</v>
      </c>
      <c r="E98">
        <v>11</v>
      </c>
      <c r="F98">
        <v>0.5</v>
      </c>
      <c r="G98">
        <v>14</v>
      </c>
      <c r="H98">
        <v>2.7838821814150099</v>
      </c>
      <c r="I98">
        <v>18.1666666666667</v>
      </c>
      <c r="J98">
        <v>2.8431203515386598</v>
      </c>
      <c r="K98">
        <v>14.3888888888889</v>
      </c>
      <c r="L98">
        <v>0.41943524640393098</v>
      </c>
      <c r="O98">
        <v>3.3888888888888902</v>
      </c>
      <c r="P98">
        <v>0.91792842454768298</v>
      </c>
    </row>
    <row r="99" spans="4:16" x14ac:dyDescent="0.3">
      <c r="D99" t="s">
        <v>36</v>
      </c>
      <c r="E99">
        <v>10</v>
      </c>
      <c r="F99">
        <v>1.62018517460197</v>
      </c>
      <c r="G99">
        <v>13.1666666666667</v>
      </c>
      <c r="H99">
        <v>2.92617497767991</v>
      </c>
      <c r="I99">
        <v>22.8333333333333</v>
      </c>
      <c r="J99">
        <v>3.8810436740650101</v>
      </c>
      <c r="K99">
        <v>15.3333333333333</v>
      </c>
      <c r="L99">
        <v>2.1424933553637402</v>
      </c>
      <c r="O99">
        <v>5.3333333333333304</v>
      </c>
      <c r="P99">
        <v>1.3869430814244399</v>
      </c>
    </row>
    <row r="100" spans="4:16" x14ac:dyDescent="0.3">
      <c r="D100" t="s">
        <v>37</v>
      </c>
      <c r="E100">
        <v>10.6666666666667</v>
      </c>
      <c r="F100">
        <v>1.6072751268321599</v>
      </c>
      <c r="G100">
        <v>16.1666666666667</v>
      </c>
      <c r="H100">
        <v>2.0207259421636898</v>
      </c>
      <c r="I100">
        <v>22.5</v>
      </c>
      <c r="J100">
        <v>5.6347138347923202</v>
      </c>
      <c r="K100">
        <v>16.4444444444444</v>
      </c>
      <c r="L100">
        <v>2.0838888148345598</v>
      </c>
      <c r="O100">
        <v>5.7777777777777803</v>
      </c>
      <c r="P100">
        <v>2.39405126960169</v>
      </c>
    </row>
    <row r="101" spans="4:16" x14ac:dyDescent="0.3">
      <c r="D101" t="s">
        <v>38</v>
      </c>
      <c r="E101">
        <v>8.6875</v>
      </c>
      <c r="F101">
        <v>1.2229209763045701</v>
      </c>
      <c r="G101">
        <v>16.4375</v>
      </c>
      <c r="H101">
        <v>2.9813407817864199</v>
      </c>
      <c r="I101">
        <v>28.9375</v>
      </c>
      <c r="J101">
        <v>3.4271760553385202</v>
      </c>
      <c r="K101">
        <v>18.0208333333333</v>
      </c>
      <c r="L101">
        <v>1.74446403284928</v>
      </c>
      <c r="O101">
        <v>9.3333333333333304</v>
      </c>
      <c r="P101">
        <v>1.79284291400159</v>
      </c>
    </row>
    <row r="102" spans="4:16" x14ac:dyDescent="0.3">
      <c r="D102" t="s">
        <v>39</v>
      </c>
      <c r="E102">
        <v>23.25</v>
      </c>
      <c r="F102">
        <v>6.7175144212721998</v>
      </c>
      <c r="G102">
        <v>21</v>
      </c>
      <c r="H102">
        <v>0.70710678118654802</v>
      </c>
      <c r="I102">
        <v>24.75</v>
      </c>
      <c r="J102">
        <v>3.1819805153394598</v>
      </c>
      <c r="K102">
        <v>23</v>
      </c>
      <c r="L102">
        <v>3.53553390593274</v>
      </c>
      <c r="O102">
        <v>3</v>
      </c>
      <c r="P102">
        <v>1.4142135623731</v>
      </c>
    </row>
    <row r="103" spans="4:16" x14ac:dyDescent="0.3">
      <c r="D103" t="s">
        <v>40</v>
      </c>
      <c r="E103">
        <v>22</v>
      </c>
      <c r="F103">
        <v>3.5</v>
      </c>
      <c r="G103">
        <v>20.25</v>
      </c>
      <c r="H103">
        <v>2.25</v>
      </c>
      <c r="I103">
        <v>25.25</v>
      </c>
      <c r="J103">
        <v>3.75</v>
      </c>
      <c r="K103">
        <v>22.5</v>
      </c>
      <c r="L103">
        <v>3.1666666666666745</v>
      </c>
      <c r="O103">
        <v>2.25</v>
      </c>
      <c r="P103">
        <v>0.91666666666666607</v>
      </c>
    </row>
    <row r="104" spans="4:16" x14ac:dyDescent="0.3">
      <c r="D104" t="s">
        <v>41</v>
      </c>
      <c r="E104">
        <v>16.5625</v>
      </c>
      <c r="F104">
        <v>3.6523750834217452</v>
      </c>
      <c r="G104">
        <v>16.625</v>
      </c>
      <c r="H104">
        <v>1.8498310733685928</v>
      </c>
      <c r="I104">
        <v>27.25</v>
      </c>
      <c r="J104">
        <v>3.4186985827943359</v>
      </c>
      <c r="K104">
        <v>20.145833333333332</v>
      </c>
      <c r="L104">
        <v>1.3266433729110811</v>
      </c>
      <c r="O104">
        <v>5.145833333333333</v>
      </c>
      <c r="P104">
        <v>1.2786643965047628</v>
      </c>
    </row>
    <row r="105" spans="4:16" x14ac:dyDescent="0.3">
      <c r="D105" t="s">
        <v>42</v>
      </c>
      <c r="E105">
        <v>15.893790832183692</v>
      </c>
      <c r="F105">
        <v>0.27792858785653818</v>
      </c>
      <c r="G105">
        <v>16.490634167419881</v>
      </c>
      <c r="H105">
        <v>1.4496161147209081</v>
      </c>
      <c r="I105">
        <v>30.201776299097727</v>
      </c>
      <c r="J105">
        <v>0.73395457731637204</v>
      </c>
      <c r="K105">
        <v>20.448547979797979</v>
      </c>
      <c r="L105">
        <v>0.12818695514442738</v>
      </c>
      <c r="O105">
        <v>4.7539148351648342</v>
      </c>
      <c r="P105">
        <v>0.1372248076908337</v>
      </c>
    </row>
    <row r="106" spans="4:16" x14ac:dyDescent="0.3">
      <c r="D106" t="s">
        <v>43</v>
      </c>
      <c r="E106">
        <v>10.5</v>
      </c>
      <c r="F106" t="e">
        <v>#DIV/0!</v>
      </c>
      <c r="G106">
        <v>12</v>
      </c>
      <c r="H106" t="e">
        <v>#DIV/0!</v>
      </c>
      <c r="I106">
        <v>21.5</v>
      </c>
      <c r="J106" t="e">
        <v>#DIV/0!</v>
      </c>
      <c r="K106">
        <v>14.6666666666667</v>
      </c>
      <c r="L106" t="e">
        <v>#DIV/0!</v>
      </c>
      <c r="O106">
        <v>4.1666666666666696</v>
      </c>
      <c r="P106" t="e">
        <v>#DIV/0!</v>
      </c>
    </row>
    <row r="107" spans="4:16" x14ac:dyDescent="0.3">
      <c r="D107" t="s">
        <v>44</v>
      </c>
      <c r="E107">
        <v>8.5833333333333304</v>
      </c>
      <c r="F107">
        <v>1.46344342790101</v>
      </c>
      <c r="G107">
        <v>15.25</v>
      </c>
      <c r="H107">
        <v>1.86413518823072</v>
      </c>
      <c r="I107">
        <v>24.1666666666667</v>
      </c>
      <c r="J107">
        <v>2.2286019533929</v>
      </c>
      <c r="K107">
        <v>16</v>
      </c>
      <c r="L107">
        <v>1.33749350984926</v>
      </c>
      <c r="O107">
        <v>7.4166666666666696</v>
      </c>
      <c r="P107">
        <v>1.1820415484331399</v>
      </c>
    </row>
    <row r="108" spans="4:16" x14ac:dyDescent="0.3">
      <c r="D108" t="s">
        <v>45</v>
      </c>
      <c r="E108">
        <v>12.5</v>
      </c>
      <c r="F108">
        <v>0</v>
      </c>
      <c r="G108">
        <v>19</v>
      </c>
      <c r="H108">
        <v>0</v>
      </c>
      <c r="I108">
        <v>29</v>
      </c>
      <c r="J108">
        <v>0</v>
      </c>
      <c r="K108">
        <v>20.166666666666668</v>
      </c>
      <c r="L108">
        <v>0</v>
      </c>
      <c r="O108">
        <v>7.6666666666666661</v>
      </c>
      <c r="P108">
        <v>0</v>
      </c>
    </row>
    <row r="109" spans="4:16" x14ac:dyDescent="0.3">
      <c r="D109" t="s">
        <v>46</v>
      </c>
      <c r="E109">
        <v>41.5</v>
      </c>
      <c r="F109">
        <v>0</v>
      </c>
      <c r="G109">
        <v>28</v>
      </c>
      <c r="H109">
        <v>22</v>
      </c>
      <c r="I109">
        <v>13.5</v>
      </c>
      <c r="J109">
        <v>0</v>
      </c>
      <c r="K109">
        <v>34.5</v>
      </c>
      <c r="L109">
        <v>0</v>
      </c>
      <c r="O109">
        <v>21</v>
      </c>
      <c r="P109">
        <v>0</v>
      </c>
    </row>
    <row r="110" spans="4:16" x14ac:dyDescent="0.3">
      <c r="D110" t="s">
        <v>47</v>
      </c>
      <c r="E110">
        <v>10</v>
      </c>
      <c r="F110">
        <v>0</v>
      </c>
      <c r="G110">
        <v>28</v>
      </c>
      <c r="H110">
        <v>22</v>
      </c>
      <c r="I110">
        <v>25</v>
      </c>
      <c r="J110">
        <v>0</v>
      </c>
      <c r="K110">
        <v>19.833333333333332</v>
      </c>
      <c r="L110">
        <v>0</v>
      </c>
      <c r="O110">
        <v>9.8333333333333321</v>
      </c>
      <c r="P110">
        <v>0</v>
      </c>
    </row>
    <row r="111" spans="4:16" x14ac:dyDescent="0.3">
      <c r="D111" t="s">
        <v>48</v>
      </c>
      <c r="E111">
        <v>25.5</v>
      </c>
      <c r="F111">
        <v>0</v>
      </c>
      <c r="G111">
        <v>28</v>
      </c>
      <c r="H111">
        <v>22</v>
      </c>
      <c r="I111">
        <v>22</v>
      </c>
      <c r="J111">
        <v>0</v>
      </c>
      <c r="K111">
        <v>25.833333333333332</v>
      </c>
      <c r="L111">
        <v>0</v>
      </c>
      <c r="O111">
        <v>3.8333333333333299</v>
      </c>
      <c r="P111">
        <v>0</v>
      </c>
    </row>
    <row r="112" spans="4:16" x14ac:dyDescent="0.3">
      <c r="D112" t="s">
        <v>49</v>
      </c>
    </row>
    <row r="113" spans="2:16" x14ac:dyDescent="0.3">
      <c r="D113" t="s">
        <v>50</v>
      </c>
    </row>
    <row r="114" spans="2:16" x14ac:dyDescent="0.3">
      <c r="D114" t="s">
        <v>57</v>
      </c>
      <c r="E114">
        <v>12.5</v>
      </c>
      <c r="F114">
        <v>0</v>
      </c>
      <c r="G114">
        <v>13.5</v>
      </c>
      <c r="H114">
        <v>0</v>
      </c>
      <c r="I114">
        <v>13.5</v>
      </c>
      <c r="J114">
        <v>0</v>
      </c>
      <c r="K114">
        <v>13.166666666666666</v>
      </c>
      <c r="L114">
        <v>0</v>
      </c>
      <c r="O114">
        <v>0.66666666666666663</v>
      </c>
      <c r="P114">
        <v>0</v>
      </c>
    </row>
    <row r="115" spans="2:16" x14ac:dyDescent="0.3">
      <c r="D115" t="s">
        <v>58</v>
      </c>
      <c r="E115">
        <v>41.5</v>
      </c>
      <c r="F115">
        <v>0</v>
      </c>
      <c r="G115">
        <v>28</v>
      </c>
      <c r="H115">
        <v>22</v>
      </c>
      <c r="I115">
        <v>52.5</v>
      </c>
      <c r="J115">
        <v>0</v>
      </c>
      <c r="K115">
        <v>46.666666666666664</v>
      </c>
      <c r="L115">
        <v>0</v>
      </c>
      <c r="O115">
        <v>5.1666666666666661</v>
      </c>
      <c r="P115">
        <v>0</v>
      </c>
    </row>
    <row r="116" spans="2:16" x14ac:dyDescent="0.3">
      <c r="D116" t="s">
        <v>59</v>
      </c>
      <c r="E116">
        <v>10</v>
      </c>
      <c r="F116">
        <v>0</v>
      </c>
      <c r="G116">
        <v>28</v>
      </c>
      <c r="H116">
        <v>22</v>
      </c>
      <c r="I116">
        <v>26.5</v>
      </c>
      <c r="J116">
        <v>0</v>
      </c>
      <c r="K116">
        <v>17.833333333333332</v>
      </c>
      <c r="L116">
        <v>0</v>
      </c>
      <c r="O116">
        <v>7.833333333333333</v>
      </c>
      <c r="P116">
        <v>0</v>
      </c>
    </row>
    <row r="117" spans="2:16" x14ac:dyDescent="0.3">
      <c r="D117" t="s">
        <v>60</v>
      </c>
      <c r="E117">
        <v>25.5</v>
      </c>
      <c r="F117">
        <v>0</v>
      </c>
      <c r="G117">
        <v>28</v>
      </c>
      <c r="H117">
        <v>22</v>
      </c>
      <c r="I117">
        <v>45</v>
      </c>
      <c r="J117">
        <v>0</v>
      </c>
      <c r="K117">
        <v>33.666666666666664</v>
      </c>
      <c r="L117">
        <v>0</v>
      </c>
      <c r="O117">
        <v>8.1666666666666661</v>
      </c>
      <c r="P117">
        <v>0</v>
      </c>
    </row>
    <row r="118" spans="2:16" x14ac:dyDescent="0.3">
      <c r="D118" t="s">
        <v>61</v>
      </c>
    </row>
    <row r="119" spans="2:16" x14ac:dyDescent="0.3">
      <c r="D119" t="s">
        <v>62</v>
      </c>
    </row>
    <row r="120" spans="2:16" x14ac:dyDescent="0.3">
      <c r="C120">
        <v>0.2</v>
      </c>
    </row>
    <row r="121" spans="2:16" x14ac:dyDescent="0.3">
      <c r="D121" t="s">
        <v>34</v>
      </c>
      <c r="E121">
        <v>13.5</v>
      </c>
      <c r="F121">
        <v>0</v>
      </c>
      <c r="G121">
        <v>11.5</v>
      </c>
      <c r="H121">
        <v>0</v>
      </c>
      <c r="I121">
        <v>15.5</v>
      </c>
      <c r="J121">
        <v>0</v>
      </c>
      <c r="K121">
        <v>13.5</v>
      </c>
      <c r="L121">
        <v>0</v>
      </c>
      <c r="O121">
        <v>2</v>
      </c>
      <c r="P121">
        <v>0</v>
      </c>
    </row>
    <row r="122" spans="2:16" x14ac:dyDescent="0.3">
      <c r="D122" t="s">
        <v>41</v>
      </c>
      <c r="E122">
        <v>10</v>
      </c>
      <c r="F122">
        <v>0</v>
      </c>
      <c r="G122">
        <v>11</v>
      </c>
      <c r="H122">
        <v>0</v>
      </c>
      <c r="I122">
        <v>24</v>
      </c>
      <c r="J122">
        <v>0</v>
      </c>
      <c r="K122">
        <v>15</v>
      </c>
      <c r="L122">
        <v>0</v>
      </c>
      <c r="O122">
        <v>5</v>
      </c>
      <c r="P122">
        <v>0</v>
      </c>
    </row>
    <row r="123" spans="2:16" x14ac:dyDescent="0.3">
      <c r="D123" t="s">
        <v>42</v>
      </c>
      <c r="E123">
        <v>17</v>
      </c>
      <c r="F123">
        <v>0</v>
      </c>
      <c r="G123">
        <v>20.5</v>
      </c>
      <c r="H123">
        <v>0</v>
      </c>
      <c r="I123">
        <v>18.5</v>
      </c>
      <c r="J123">
        <v>0</v>
      </c>
      <c r="K123">
        <v>18.666666666666668</v>
      </c>
      <c r="L123">
        <v>0</v>
      </c>
      <c r="O123">
        <v>1.6666666666666665</v>
      </c>
      <c r="P123">
        <v>0</v>
      </c>
    </row>
    <row r="124" spans="2:16" x14ac:dyDescent="0.3">
      <c r="B124" t="s">
        <v>55</v>
      </c>
    </row>
    <row r="125" spans="2:16" x14ac:dyDescent="0.3">
      <c r="C125">
        <v>0.05</v>
      </c>
    </row>
    <row r="126" spans="2:16" x14ac:dyDescent="0.3">
      <c r="D126" t="s">
        <v>33</v>
      </c>
      <c r="E126">
        <v>18.384615384615401</v>
      </c>
      <c r="F126">
        <v>3.5920436770420499</v>
      </c>
      <c r="G126">
        <v>10.461538461538501</v>
      </c>
      <c r="H126">
        <v>1.3228756555323</v>
      </c>
      <c r="I126">
        <v>24.923076923076898</v>
      </c>
      <c r="J126">
        <v>4.3581635746710701</v>
      </c>
      <c r="K126">
        <v>18.129629629629601</v>
      </c>
      <c r="L126">
        <v>1.67866054774868</v>
      </c>
      <c r="O126">
        <v>7.7692307692307701</v>
      </c>
      <c r="P126">
        <v>2.34376483850953</v>
      </c>
    </row>
    <row r="127" spans="2:16" x14ac:dyDescent="0.3">
      <c r="D127" t="s">
        <v>34</v>
      </c>
      <c r="E127">
        <v>19.038461538461501</v>
      </c>
      <c r="F127">
        <v>2.7838821814150099</v>
      </c>
      <c r="G127">
        <v>9.7692307692307701</v>
      </c>
      <c r="H127">
        <v>2.00173535824405</v>
      </c>
      <c r="I127">
        <v>31.307692307692299</v>
      </c>
      <c r="J127">
        <v>4.4137024402160598</v>
      </c>
      <c r="K127">
        <v>19.592592592592599</v>
      </c>
      <c r="L127">
        <v>1.00730357580382</v>
      </c>
      <c r="O127">
        <v>10.2692307692308</v>
      </c>
      <c r="P127">
        <v>2.0282021567398001</v>
      </c>
    </row>
    <row r="128" spans="2:16" x14ac:dyDescent="0.3">
      <c r="D128" t="s">
        <v>35</v>
      </c>
      <c r="E128">
        <v>14.3333333333333</v>
      </c>
      <c r="F128">
        <v>3.6170890690351198</v>
      </c>
      <c r="G128">
        <v>9</v>
      </c>
      <c r="H128">
        <v>1.7320508075688801</v>
      </c>
      <c r="I128">
        <v>20</v>
      </c>
      <c r="J128">
        <v>5.26782687642637</v>
      </c>
      <c r="K128">
        <v>14.4444444444444</v>
      </c>
      <c r="L128">
        <v>0.85526690657448001</v>
      </c>
      <c r="O128">
        <v>5.4444444444444402</v>
      </c>
      <c r="P128">
        <v>1.75066125073208</v>
      </c>
    </row>
    <row r="129" spans="4:16" x14ac:dyDescent="0.3">
      <c r="D129" t="s">
        <v>36</v>
      </c>
      <c r="E129">
        <v>16.0555555555556</v>
      </c>
      <c r="F129">
        <v>3.36753289186279</v>
      </c>
      <c r="G129">
        <v>10.4444444444444</v>
      </c>
      <c r="H129">
        <v>2.2561643951134802</v>
      </c>
      <c r="I129">
        <v>26.2777777777778</v>
      </c>
      <c r="J129">
        <v>5.87957859412088</v>
      </c>
      <c r="K129">
        <v>17.592592592592599</v>
      </c>
      <c r="L129">
        <v>2.3660079938919201</v>
      </c>
      <c r="O129">
        <v>7.4814814814814801</v>
      </c>
      <c r="P129">
        <v>3.4221951658382102</v>
      </c>
    </row>
    <row r="130" spans="4:16" x14ac:dyDescent="0.3">
      <c r="D130" t="s">
        <v>37</v>
      </c>
      <c r="E130">
        <v>17.2222222222222</v>
      </c>
      <c r="F130">
        <v>3.15348132140408</v>
      </c>
      <c r="G130">
        <v>9.1666666666666696</v>
      </c>
      <c r="H130">
        <v>2.5860201081971499</v>
      </c>
      <c r="I130">
        <v>28</v>
      </c>
      <c r="J130">
        <v>3.9764934301467201</v>
      </c>
      <c r="K130">
        <v>18.129629629629601</v>
      </c>
      <c r="L130">
        <v>2.16470709106878</v>
      </c>
      <c r="O130">
        <v>8.9629629629629601</v>
      </c>
      <c r="P130">
        <v>1.66620363938543</v>
      </c>
    </row>
    <row r="131" spans="4:16" x14ac:dyDescent="0.3">
      <c r="D131" t="s">
        <v>38</v>
      </c>
      <c r="E131">
        <v>17.2222222222222</v>
      </c>
      <c r="F131">
        <v>3.15348132140408</v>
      </c>
      <c r="G131">
        <v>9.1666666666666696</v>
      </c>
      <c r="H131">
        <v>2.5860201081971499</v>
      </c>
      <c r="I131">
        <v>28</v>
      </c>
      <c r="J131">
        <v>3.9764934301467201</v>
      </c>
      <c r="K131">
        <v>18.129629629629601</v>
      </c>
      <c r="L131">
        <v>2.16470709106878</v>
      </c>
      <c r="O131">
        <v>8.9629629629629601</v>
      </c>
      <c r="P131">
        <v>1.66620363938543</v>
      </c>
    </row>
    <row r="132" spans="4:16" x14ac:dyDescent="0.3">
      <c r="D132" t="s">
        <v>39</v>
      </c>
      <c r="E132">
        <v>29.5</v>
      </c>
      <c r="F132">
        <v>4</v>
      </c>
      <c r="G132">
        <v>21</v>
      </c>
      <c r="H132">
        <v>2.5</v>
      </c>
      <c r="I132">
        <v>31.5</v>
      </c>
      <c r="J132">
        <v>1</v>
      </c>
      <c r="K132">
        <v>27.333333333333336</v>
      </c>
      <c r="L132">
        <v>1.8333333333333339</v>
      </c>
      <c r="O132">
        <v>6.333333333333333</v>
      </c>
      <c r="P132">
        <v>0.66666666666667085</v>
      </c>
    </row>
    <row r="133" spans="4:16" x14ac:dyDescent="0.3">
      <c r="D133" t="s">
        <v>40</v>
      </c>
      <c r="E133">
        <v>34.25</v>
      </c>
      <c r="F133">
        <v>0.25</v>
      </c>
      <c r="G133">
        <v>27.75</v>
      </c>
      <c r="H133">
        <v>9.25</v>
      </c>
      <c r="I133">
        <v>25.5</v>
      </c>
      <c r="J133">
        <v>2.5</v>
      </c>
      <c r="K133">
        <v>29.166666666666664</v>
      </c>
      <c r="L133">
        <v>2.1666666666666661</v>
      </c>
      <c r="O133">
        <v>8.4166666666666661</v>
      </c>
      <c r="P133">
        <v>8.3333333333333925E-2</v>
      </c>
    </row>
    <row r="134" spans="4:16" x14ac:dyDescent="0.3">
      <c r="D134" t="s">
        <v>41</v>
      </c>
      <c r="E134">
        <v>21.857142857142858</v>
      </c>
      <c r="F134">
        <v>3.1927852340895728</v>
      </c>
      <c r="G134">
        <v>16.142857142857142</v>
      </c>
      <c r="H134">
        <v>2.8374320094344578</v>
      </c>
      <c r="I134">
        <v>30.714285714285715</v>
      </c>
      <c r="J134">
        <v>3.8946588229187387</v>
      </c>
      <c r="K134">
        <v>22.904761904761905</v>
      </c>
      <c r="L134">
        <v>2.1359677611434096</v>
      </c>
      <c r="O134">
        <v>6.7619047619047619</v>
      </c>
      <c r="P134">
        <v>2.0880558719208224</v>
      </c>
    </row>
    <row r="135" spans="4:16" x14ac:dyDescent="0.3">
      <c r="D135" t="s">
        <v>42</v>
      </c>
      <c r="E135">
        <v>22.392857142857142</v>
      </c>
      <c r="F135">
        <v>3.2851319359707141</v>
      </c>
      <c r="G135">
        <v>16.821428571428573</v>
      </c>
      <c r="H135">
        <v>3.0741267218579029</v>
      </c>
      <c r="I135">
        <v>30.821428571428573</v>
      </c>
      <c r="J135">
        <v>4.5261428819420964</v>
      </c>
      <c r="K135">
        <v>23.345238095238095</v>
      </c>
      <c r="L135">
        <v>2.1422287438389267</v>
      </c>
      <c r="O135">
        <v>6.333333333333333</v>
      </c>
      <c r="P135">
        <v>6.8809523809523805</v>
      </c>
    </row>
    <row r="136" spans="4:16" x14ac:dyDescent="0.3">
      <c r="D136" t="s">
        <v>43</v>
      </c>
      <c r="E136">
        <v>21.5</v>
      </c>
      <c r="F136" t="e">
        <v>#DIV/0!</v>
      </c>
      <c r="G136">
        <v>14</v>
      </c>
      <c r="H136" t="e">
        <v>#DIV/0!</v>
      </c>
      <c r="I136">
        <v>28.5</v>
      </c>
      <c r="J136" t="e">
        <v>#DIV/0!</v>
      </c>
      <c r="K136">
        <v>21.3333333333333</v>
      </c>
      <c r="L136" t="e">
        <v>#DIV/0!</v>
      </c>
      <c r="O136">
        <v>7.3333333333333304</v>
      </c>
      <c r="P136" t="e">
        <v>#DIV/0!</v>
      </c>
    </row>
    <row r="137" spans="4:16" x14ac:dyDescent="0.3">
      <c r="D137" t="s">
        <v>44</v>
      </c>
      <c r="E137">
        <v>18.5</v>
      </c>
      <c r="F137" t="e">
        <v>#DIV/0!</v>
      </c>
      <c r="G137">
        <v>9</v>
      </c>
      <c r="H137" t="e">
        <v>#DIV/0!</v>
      </c>
      <c r="I137">
        <v>28</v>
      </c>
      <c r="J137" t="e">
        <v>#DIV/0!</v>
      </c>
      <c r="K137">
        <v>18.5</v>
      </c>
      <c r="L137" t="e">
        <v>#DIV/0!</v>
      </c>
      <c r="O137">
        <v>9.5</v>
      </c>
      <c r="P137" t="e">
        <v>#DIV/0!</v>
      </c>
    </row>
    <row r="138" spans="4:16" x14ac:dyDescent="0.3">
      <c r="D138" t="s">
        <v>45</v>
      </c>
    </row>
    <row r="139" spans="4:16" x14ac:dyDescent="0.3">
      <c r="D139" t="s">
        <v>46</v>
      </c>
    </row>
    <row r="140" spans="4:16" x14ac:dyDescent="0.3">
      <c r="D140" t="s">
        <v>47</v>
      </c>
    </row>
    <row r="141" spans="4:16" x14ac:dyDescent="0.3">
      <c r="D141" t="s">
        <v>48</v>
      </c>
    </row>
    <row r="142" spans="4:16" x14ac:dyDescent="0.3">
      <c r="D142" t="s">
        <v>49</v>
      </c>
    </row>
    <row r="143" spans="4:16" x14ac:dyDescent="0.3">
      <c r="D143" t="s">
        <v>50</v>
      </c>
    </row>
    <row r="144" spans="4:16" x14ac:dyDescent="0.3">
      <c r="D144" t="s">
        <v>57</v>
      </c>
    </row>
    <row r="145" spans="2:16" x14ac:dyDescent="0.3">
      <c r="D145" t="s">
        <v>58</v>
      </c>
    </row>
    <row r="146" spans="2:16" x14ac:dyDescent="0.3">
      <c r="D146" t="s">
        <v>59</v>
      </c>
    </row>
    <row r="147" spans="2:16" x14ac:dyDescent="0.3">
      <c r="D147" t="s">
        <v>60</v>
      </c>
    </row>
    <row r="148" spans="2:16" x14ac:dyDescent="0.3">
      <c r="D148" t="s">
        <v>61</v>
      </c>
    </row>
    <row r="149" spans="2:16" x14ac:dyDescent="0.3">
      <c r="D149" t="s">
        <v>62</v>
      </c>
    </row>
    <row r="150" spans="2:16" x14ac:dyDescent="0.3">
      <c r="C150">
        <v>0.2</v>
      </c>
    </row>
    <row r="151" spans="2:16" x14ac:dyDescent="0.3">
      <c r="D151" t="s">
        <v>34</v>
      </c>
      <c r="E151">
        <v>22.25</v>
      </c>
      <c r="F151">
        <v>2.75</v>
      </c>
      <c r="G151">
        <v>16.75</v>
      </c>
      <c r="H151">
        <v>0.25</v>
      </c>
      <c r="I151">
        <v>19.25</v>
      </c>
      <c r="J151">
        <v>1.25</v>
      </c>
      <c r="K151">
        <v>19.416666666666664</v>
      </c>
      <c r="L151">
        <v>1.4166666666666661</v>
      </c>
      <c r="O151">
        <v>2.6666666666666665</v>
      </c>
      <c r="P151">
        <v>1.1666666666666665</v>
      </c>
    </row>
    <row r="152" spans="2:16" x14ac:dyDescent="0.3">
      <c r="D152" t="s">
        <v>41</v>
      </c>
      <c r="E152">
        <v>12.5</v>
      </c>
      <c r="F152">
        <v>0</v>
      </c>
      <c r="G152">
        <v>10</v>
      </c>
      <c r="H152">
        <v>0</v>
      </c>
      <c r="I152">
        <v>17.5</v>
      </c>
      <c r="J152">
        <v>0</v>
      </c>
      <c r="K152">
        <v>13.333333333333334</v>
      </c>
      <c r="L152">
        <v>0</v>
      </c>
      <c r="O152">
        <v>3.333333333333333</v>
      </c>
      <c r="P152">
        <v>0</v>
      </c>
    </row>
    <row r="153" spans="2:16" x14ac:dyDescent="0.3">
      <c r="D153" t="s">
        <v>42</v>
      </c>
      <c r="E153">
        <v>20</v>
      </c>
      <c r="F153">
        <v>0</v>
      </c>
      <c r="G153">
        <v>16.5</v>
      </c>
      <c r="H153">
        <v>0</v>
      </c>
      <c r="I153">
        <v>20</v>
      </c>
      <c r="J153">
        <v>0</v>
      </c>
      <c r="K153">
        <v>18.833333333333332</v>
      </c>
      <c r="L153">
        <v>0</v>
      </c>
      <c r="O153">
        <v>2.333333333333333</v>
      </c>
      <c r="P153">
        <v>0</v>
      </c>
    </row>
    <row r="154" spans="2:16" x14ac:dyDescent="0.3">
      <c r="B154" t="s">
        <v>56</v>
      </c>
    </row>
    <row r="155" spans="2:16" x14ac:dyDescent="0.3">
      <c r="C155">
        <v>0.05</v>
      </c>
    </row>
    <row r="156" spans="2:16" x14ac:dyDescent="0.3">
      <c r="D156" t="s">
        <v>33</v>
      </c>
      <c r="E156">
        <v>24.45</v>
      </c>
      <c r="F156">
        <v>3.5531676008879698</v>
      </c>
      <c r="G156">
        <v>24.45</v>
      </c>
      <c r="H156">
        <v>5.2980604417507804</v>
      </c>
      <c r="I156">
        <v>8.3000000000000007</v>
      </c>
      <c r="J156">
        <v>1.35810325249756</v>
      </c>
      <c r="K156">
        <v>19.462962962963001</v>
      </c>
      <c r="L156">
        <v>2.5789987529855898</v>
      </c>
      <c r="O156">
        <v>10.766666666666699</v>
      </c>
      <c r="P156">
        <v>3.56959035585905</v>
      </c>
    </row>
    <row r="157" spans="2:16" x14ac:dyDescent="0.3">
      <c r="D157" t="s">
        <v>34</v>
      </c>
      <c r="E157">
        <v>30.1</v>
      </c>
      <c r="F157">
        <v>3.6666666666666701</v>
      </c>
      <c r="G157">
        <v>28.3</v>
      </c>
      <c r="H157">
        <v>5.8363087649643797</v>
      </c>
      <c r="I157">
        <v>8.9499999999999993</v>
      </c>
      <c r="J157">
        <v>1.62361051706101</v>
      </c>
      <c r="K157">
        <v>22.2222222222222</v>
      </c>
      <c r="L157">
        <v>2.8722813232690099</v>
      </c>
      <c r="O157">
        <v>13.5</v>
      </c>
      <c r="P157">
        <v>3.0631219449089402</v>
      </c>
    </row>
    <row r="158" spans="2:16" x14ac:dyDescent="0.3">
      <c r="D158" t="s">
        <v>35</v>
      </c>
      <c r="E158">
        <v>19</v>
      </c>
      <c r="F158">
        <v>2.1213203435596402</v>
      </c>
      <c r="G158">
        <v>16.5</v>
      </c>
      <c r="H158">
        <v>0.70710678118654802</v>
      </c>
      <c r="I158">
        <v>7</v>
      </c>
      <c r="J158">
        <v>0.70710678118654802</v>
      </c>
      <c r="K158">
        <v>14.1666666666667</v>
      </c>
      <c r="L158">
        <v>0.70710678118654802</v>
      </c>
      <c r="O158">
        <v>7.1666666666666696</v>
      </c>
      <c r="P158">
        <v>0</v>
      </c>
    </row>
    <row r="159" spans="2:16" x14ac:dyDescent="0.3">
      <c r="D159" t="s">
        <v>36</v>
      </c>
      <c r="E159">
        <v>21.1666666666667</v>
      </c>
      <c r="F159">
        <v>3.4003676271838601</v>
      </c>
      <c r="G159">
        <v>21.4444444444444</v>
      </c>
      <c r="H159">
        <v>3.6007329500780498</v>
      </c>
      <c r="I159">
        <v>9.3888888888888893</v>
      </c>
      <c r="J159">
        <v>2.1473497877875198</v>
      </c>
      <c r="K159">
        <v>17.3333333333333</v>
      </c>
      <c r="L159">
        <v>1.6287350238076701</v>
      </c>
      <c r="O159">
        <v>7.9444444444444402</v>
      </c>
      <c r="P159">
        <v>2.8161242081192999</v>
      </c>
    </row>
    <row r="160" spans="2:16" x14ac:dyDescent="0.3">
      <c r="D160" t="s">
        <v>37</v>
      </c>
      <c r="E160">
        <v>28.5</v>
      </c>
      <c r="F160">
        <v>5.26782687642637</v>
      </c>
      <c r="G160">
        <v>22.5</v>
      </c>
      <c r="H160">
        <v>2.1794494717703401</v>
      </c>
      <c r="I160">
        <v>9.6666666666666696</v>
      </c>
      <c r="J160">
        <v>3.2145502536643198</v>
      </c>
      <c r="K160">
        <v>20.2222222222222</v>
      </c>
      <c r="L160">
        <v>2.9876288132775</v>
      </c>
      <c r="O160">
        <v>10.5555555555556</v>
      </c>
      <c r="P160">
        <v>2.5239592648001201</v>
      </c>
    </row>
    <row r="161" spans="4:16" x14ac:dyDescent="0.3">
      <c r="D161" t="s">
        <v>38</v>
      </c>
      <c r="E161">
        <v>29.5</v>
      </c>
      <c r="F161">
        <v>3.0822070014844898</v>
      </c>
      <c r="G161">
        <v>24.3888888888889</v>
      </c>
      <c r="H161">
        <v>2.7360758598969999</v>
      </c>
      <c r="I161">
        <v>9.8888888888888893</v>
      </c>
      <c r="J161">
        <v>2.5590254221306798</v>
      </c>
      <c r="K161">
        <v>21.259259259259299</v>
      </c>
      <c r="L161">
        <v>1.70398045256278</v>
      </c>
      <c r="O161">
        <v>11.3703703703704</v>
      </c>
      <c r="P161">
        <v>2.2388268532899902</v>
      </c>
    </row>
    <row r="162" spans="4:16" x14ac:dyDescent="0.3">
      <c r="D162" t="s">
        <v>39</v>
      </c>
      <c r="E162">
        <v>26.1875</v>
      </c>
      <c r="F162">
        <v>3.9365078114999341</v>
      </c>
      <c r="G162">
        <v>20.0625</v>
      </c>
      <c r="H162">
        <v>3.8522517765587443</v>
      </c>
      <c r="I162">
        <v>19.4375</v>
      </c>
      <c r="J162">
        <v>7.2862777705766888</v>
      </c>
      <c r="K162">
        <v>21.895833333333332</v>
      </c>
      <c r="L162">
        <v>4.40559737089586</v>
      </c>
      <c r="O162">
        <v>4.083333333333333</v>
      </c>
      <c r="P162">
        <v>1.609433992985664</v>
      </c>
    </row>
    <row r="163" spans="4:16" x14ac:dyDescent="0.3">
      <c r="D163" t="s">
        <v>40</v>
      </c>
      <c r="E163">
        <v>25.375</v>
      </c>
      <c r="F163">
        <v>3.0388114452858046</v>
      </c>
      <c r="G163">
        <v>22.25</v>
      </c>
      <c r="H163">
        <v>3.3166247903553998</v>
      </c>
      <c r="I163">
        <v>18.3125</v>
      </c>
      <c r="J163">
        <v>4.6833314798335595</v>
      </c>
      <c r="K163">
        <v>21.979166666666668</v>
      </c>
      <c r="L163">
        <v>1.2539866980510155</v>
      </c>
      <c r="O163">
        <v>4.8541666666666661</v>
      </c>
      <c r="P163">
        <v>3.9488372937134582</v>
      </c>
    </row>
    <row r="164" spans="4:16" x14ac:dyDescent="0.3">
      <c r="D164" t="s">
        <v>41</v>
      </c>
      <c r="E164">
        <v>31.5</v>
      </c>
      <c r="F164">
        <v>5.5045435778091543</v>
      </c>
      <c r="G164">
        <v>28.7</v>
      </c>
      <c r="H164">
        <v>5.9938857735751583</v>
      </c>
      <c r="I164">
        <v>19.100000000000001</v>
      </c>
      <c r="J164">
        <v>5.2763623833091673</v>
      </c>
      <c r="K164">
        <v>26.433333333333334</v>
      </c>
      <c r="L164">
        <v>4.6215277256031477</v>
      </c>
      <c r="O164">
        <v>7.3666666666666663</v>
      </c>
      <c r="P164">
        <v>3.472217777774933</v>
      </c>
    </row>
    <row r="165" spans="4:16" x14ac:dyDescent="0.3">
      <c r="D165" t="s">
        <v>42</v>
      </c>
      <c r="E165">
        <v>30.5</v>
      </c>
      <c r="F165">
        <v>5.8979415295265758</v>
      </c>
      <c r="G165">
        <v>28.964285714285715</v>
      </c>
      <c r="H165">
        <v>5.1041449742701612</v>
      </c>
      <c r="I165">
        <v>17.214285714285715</v>
      </c>
      <c r="J165">
        <v>4.9739115310153386</v>
      </c>
      <c r="K165">
        <v>25.559523809523807</v>
      </c>
      <c r="L165">
        <v>4.3863999515715992</v>
      </c>
      <c r="O165">
        <v>8.4880952380952372</v>
      </c>
      <c r="P165">
        <v>3.0831494705246421</v>
      </c>
    </row>
    <row r="166" spans="4:16" x14ac:dyDescent="0.3">
      <c r="D166" t="s">
        <v>43</v>
      </c>
      <c r="E166">
        <v>22.5</v>
      </c>
      <c r="F166" t="e">
        <v>#DIV/0!</v>
      </c>
      <c r="G166">
        <v>21.5</v>
      </c>
      <c r="H166" t="e">
        <v>#DIV/0!</v>
      </c>
      <c r="I166">
        <v>9.5</v>
      </c>
      <c r="J166" t="e">
        <v>#DIV/0!</v>
      </c>
      <c r="K166">
        <v>17.8333333333333</v>
      </c>
      <c r="L166" t="e">
        <v>#DIV/0!</v>
      </c>
      <c r="O166">
        <v>8.3333333333333304</v>
      </c>
      <c r="P166" t="e">
        <v>#DIV/0!</v>
      </c>
    </row>
    <row r="167" spans="4:16" x14ac:dyDescent="0.3">
      <c r="D167" t="s">
        <v>44</v>
      </c>
      <c r="E167">
        <v>22.5</v>
      </c>
      <c r="F167">
        <v>4.4534630719624602</v>
      </c>
      <c r="G167">
        <v>22.285714285714299</v>
      </c>
      <c r="H167">
        <v>2.9560269346024599</v>
      </c>
      <c r="I167">
        <v>9.21428571428571</v>
      </c>
      <c r="J167">
        <v>2.9980152164549199</v>
      </c>
      <c r="K167">
        <v>18</v>
      </c>
      <c r="L167">
        <v>2.5276251480171799</v>
      </c>
      <c r="O167">
        <v>8.78571428571429</v>
      </c>
      <c r="P167">
        <v>2.5362451936947399</v>
      </c>
    </row>
    <row r="168" spans="4:16" x14ac:dyDescent="0.3">
      <c r="D168" t="s">
        <v>45</v>
      </c>
    </row>
    <row r="169" spans="4:16" x14ac:dyDescent="0.3">
      <c r="D169" t="s">
        <v>46</v>
      </c>
    </row>
    <row r="170" spans="4:16" x14ac:dyDescent="0.3">
      <c r="D170" t="s">
        <v>47</v>
      </c>
    </row>
    <row r="171" spans="4:16" x14ac:dyDescent="0.3">
      <c r="D171" t="s">
        <v>48</v>
      </c>
    </row>
    <row r="172" spans="4:16" x14ac:dyDescent="0.3">
      <c r="D172" t="s">
        <v>49</v>
      </c>
    </row>
    <row r="173" spans="4:16" x14ac:dyDescent="0.3">
      <c r="D173" t="s">
        <v>50</v>
      </c>
    </row>
    <row r="174" spans="4:16" x14ac:dyDescent="0.3">
      <c r="D174" t="s">
        <v>57</v>
      </c>
    </row>
    <row r="175" spans="4:16" x14ac:dyDescent="0.3">
      <c r="D175" t="s">
        <v>58</v>
      </c>
    </row>
    <row r="176" spans="4:16" x14ac:dyDescent="0.3">
      <c r="D176" t="s">
        <v>59</v>
      </c>
    </row>
    <row r="177" spans="3:16" x14ac:dyDescent="0.3">
      <c r="D177" t="s">
        <v>60</v>
      </c>
    </row>
    <row r="178" spans="3:16" x14ac:dyDescent="0.3">
      <c r="D178" t="s">
        <v>61</v>
      </c>
    </row>
    <row r="179" spans="3:16" x14ac:dyDescent="0.3">
      <c r="D179" t="s">
        <v>62</v>
      </c>
    </row>
    <row r="180" spans="3:16" x14ac:dyDescent="0.3">
      <c r="C180">
        <v>0.2</v>
      </c>
    </row>
    <row r="181" spans="3:16" x14ac:dyDescent="0.3">
      <c r="D181" t="s">
        <v>34</v>
      </c>
      <c r="E181">
        <v>18.5</v>
      </c>
      <c r="F181">
        <v>0.5</v>
      </c>
      <c r="G181">
        <v>14.25</v>
      </c>
      <c r="H181">
        <v>4.25</v>
      </c>
      <c r="I181">
        <v>11.25</v>
      </c>
      <c r="J181">
        <v>0.75</v>
      </c>
      <c r="K181">
        <v>14.666666666666668</v>
      </c>
      <c r="L181">
        <v>1.8333333333333264</v>
      </c>
      <c r="O181">
        <v>3.6666666666666701</v>
      </c>
      <c r="P181">
        <v>0.83333333333333448</v>
      </c>
    </row>
    <row r="182" spans="3:16" x14ac:dyDescent="0.3">
      <c r="D182" t="s">
        <v>41</v>
      </c>
      <c r="E182">
        <v>21</v>
      </c>
      <c r="F182">
        <v>0</v>
      </c>
      <c r="G182">
        <v>20.5</v>
      </c>
      <c r="H182">
        <v>0</v>
      </c>
      <c r="I182">
        <v>11</v>
      </c>
      <c r="J182">
        <v>0</v>
      </c>
      <c r="K182">
        <v>17.5</v>
      </c>
      <c r="L182">
        <v>0</v>
      </c>
      <c r="O182">
        <v>6.5</v>
      </c>
      <c r="P182">
        <v>0</v>
      </c>
    </row>
    <row r="183" spans="3:16" x14ac:dyDescent="0.3">
      <c r="D183" t="s">
        <v>42</v>
      </c>
      <c r="E183">
        <v>18.5</v>
      </c>
      <c r="F183">
        <v>0</v>
      </c>
      <c r="G183">
        <v>14</v>
      </c>
      <c r="H183">
        <v>0</v>
      </c>
      <c r="I183">
        <v>8</v>
      </c>
      <c r="J183">
        <v>0</v>
      </c>
      <c r="K183">
        <v>13.5</v>
      </c>
      <c r="L183">
        <v>0</v>
      </c>
      <c r="O183">
        <v>5.5</v>
      </c>
      <c r="P1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B4FE-C2E1-4034-9922-B105975FF79E}">
  <dimension ref="B2:M6"/>
  <sheetViews>
    <sheetView workbookViewId="0">
      <selection activeCell="B2" sqref="B2:M2"/>
    </sheetView>
  </sheetViews>
  <sheetFormatPr defaultRowHeight="14.4" x14ac:dyDescent="0.3"/>
  <cols>
    <col min="12" max="12" width="9.21875" bestFit="1" customWidth="1"/>
  </cols>
  <sheetData>
    <row r="2" spans="2:13" x14ac:dyDescent="0.3">
      <c r="B2">
        <v>24</v>
      </c>
      <c r="C2">
        <v>13</v>
      </c>
      <c r="D2">
        <f>AVERAGE(B2,C2)</f>
        <v>18.5</v>
      </c>
      <c r="E2">
        <v>11</v>
      </c>
      <c r="F2">
        <v>17</v>
      </c>
      <c r="G2">
        <f>AVERAGE(E2,F2)</f>
        <v>14</v>
      </c>
      <c r="H2">
        <v>8</v>
      </c>
      <c r="I2">
        <v>8</v>
      </c>
      <c r="J2">
        <f>AVERAGE(H2,I2)</f>
        <v>8</v>
      </c>
      <c r="K2">
        <f>AVERAGE(D2,G2,J2)</f>
        <v>13.5</v>
      </c>
      <c r="L2">
        <f>MIN(D2,G2,J2)</f>
        <v>8</v>
      </c>
      <c r="M2">
        <f>K2-L2</f>
        <v>5.5</v>
      </c>
    </row>
    <row r="4" spans="2:13" x14ac:dyDescent="0.3">
      <c r="B4">
        <v>25</v>
      </c>
      <c r="C4">
        <v>19</v>
      </c>
      <c r="D4">
        <f>AVERAGE(B4,C4)</f>
        <v>22</v>
      </c>
      <c r="E4">
        <v>15</v>
      </c>
      <c r="F4">
        <v>22</v>
      </c>
      <c r="G4">
        <f>AVERAGE(E4,F4)</f>
        <v>18.5</v>
      </c>
      <c r="H4">
        <v>19</v>
      </c>
      <c r="I4">
        <v>5</v>
      </c>
      <c r="J4">
        <f>AVERAGE(H4,I4)</f>
        <v>12</v>
      </c>
      <c r="K4">
        <f>AVERAGE(D4,G4,J4)</f>
        <v>17.5</v>
      </c>
      <c r="L4">
        <f>MIN(D4,G4,J4)</f>
        <v>12</v>
      </c>
      <c r="M4">
        <f>K4-L4</f>
        <v>5.5</v>
      </c>
    </row>
    <row r="6" spans="2:13" x14ac:dyDescent="0.3">
      <c r="B6">
        <v>20</v>
      </c>
      <c r="C6">
        <v>13</v>
      </c>
      <c r="D6">
        <f>AVERAGE(B6,C6)</f>
        <v>16.5</v>
      </c>
      <c r="E6">
        <v>23</v>
      </c>
      <c r="F6">
        <v>25</v>
      </c>
      <c r="G6">
        <f>AVERAGE(E6,F6)</f>
        <v>24</v>
      </c>
      <c r="H6">
        <v>12</v>
      </c>
      <c r="I6">
        <v>5</v>
      </c>
      <c r="J6">
        <f>AVERAGE(H6,I6)</f>
        <v>8.5</v>
      </c>
      <c r="K6">
        <f>AVERAGE(D6,G6,J6)</f>
        <v>16.333333333333332</v>
      </c>
      <c r="L6">
        <f>MIN(D6,G6,J6)</f>
        <v>8.5</v>
      </c>
      <c r="M6">
        <f>K6-L6</f>
        <v>7.8333333333333321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DataAnalysis</vt:lpstr>
      <vt:lpstr>Calcoli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2025-09-03T08:49:35Z</dcterms:created>
  <dcterms:modified xsi:type="dcterms:W3CDTF">2025-09-04T16:50:53Z</dcterms:modified>
</cp:coreProperties>
</file>