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Utente\Desktop\CultureAwarenessTest\DataAnalysis\TryingToPackStuffBetter\MLT\LF\0.05\"/>
    </mc:Choice>
  </mc:AlternateContent>
  <xr:revisionPtr revIDLastSave="0" documentId="13_ncr:1_{97BD2C04-8DD7-44F1-8089-848D6D323F5C}" xr6:coauthVersionLast="47" xr6:coauthVersionMax="47" xr10:uidLastSave="{00000000-0000-0000-0000-000000000000}"/>
  <bookViews>
    <workbookView xWindow="-108" yWindow="-108" windowWidth="23256" windowHeight="12456" firstSheet="10" activeTab="10" xr2:uid="{00000000-000D-0000-FFFF-FFFF00000000}"/>
  </bookViews>
  <sheets>
    <sheet name="Foglio1" sheetId="1" r:id="rId1"/>
    <sheet name="PARBS_STDAUG" sheetId="20" r:id="rId2"/>
    <sheet name="MIT_DIFF_ONLYMIN_STDAUG" sheetId="19" r:id="rId3"/>
    <sheet name="MIT_DIFF_ONLYMIN_NOAUG" sheetId="18" r:id="rId4"/>
    <sheet name="MIT_PARBS_DIFF_ONLYMIN_STDAUG" sheetId="17" r:id="rId5"/>
    <sheet name="MIT_DIFF_STDAUG" sheetId="16" r:id="rId6"/>
    <sheet name="MIT_DIFF_NOAUG" sheetId="15" r:id="rId7"/>
    <sheet name="MIT_PARBS_STDAUG" sheetId="14" r:id="rId8"/>
    <sheet name="MIT_PARBS_NOAUG" sheetId="13" r:id="rId9"/>
    <sheet name="MIT_STDAUG" sheetId="12" r:id="rId10"/>
    <sheet name="MIT_NOAUG" sheetId="11" r:id="rId1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F12" i="12" l="1"/>
  <c r="AE12" i="12"/>
  <c r="AB12" i="12"/>
  <c r="AA12" i="12"/>
  <c r="Z12" i="12"/>
  <c r="Y12" i="12"/>
  <c r="X12" i="12"/>
  <c r="W12" i="12"/>
  <c r="V12" i="12"/>
  <c r="U12" i="12"/>
  <c r="Q10" i="12"/>
  <c r="R10" i="12"/>
  <c r="S10" i="12"/>
  <c r="T10" i="12"/>
  <c r="AC10" i="12"/>
  <c r="AD10" i="12"/>
  <c r="Q11" i="12"/>
  <c r="T11" i="12" s="1"/>
  <c r="R11" i="12"/>
  <c r="S11" i="12"/>
  <c r="Q12" i="12"/>
  <c r="AC12" i="12" s="1"/>
  <c r="R12" i="12"/>
  <c r="S12" i="12"/>
  <c r="T12" i="12"/>
  <c r="AD12" i="12" s="1"/>
  <c r="Q13" i="12"/>
  <c r="R13" i="12"/>
  <c r="S13" i="12"/>
  <c r="T13" i="12"/>
  <c r="AC13" i="12"/>
  <c r="AD13" i="12"/>
  <c r="AF12" i="17"/>
  <c r="AE12" i="17"/>
  <c r="AB12" i="17"/>
  <c r="AA12" i="17"/>
  <c r="Z12" i="17"/>
  <c r="Y12" i="17"/>
  <c r="X12" i="17"/>
  <c r="W12" i="17"/>
  <c r="V12" i="17"/>
  <c r="U12" i="17"/>
  <c r="Y4" i="17"/>
  <c r="X4" i="17"/>
  <c r="V4" i="17"/>
  <c r="Q12" i="17"/>
  <c r="T12" i="17" s="1"/>
  <c r="R12" i="17"/>
  <c r="S12" i="17"/>
  <c r="Q13" i="17"/>
  <c r="R13" i="17"/>
  <c r="S13" i="17"/>
  <c r="T13" i="17"/>
  <c r="AC13" i="17"/>
  <c r="AD13" i="17"/>
  <c r="AC3" i="20"/>
  <c r="AD3" i="20"/>
  <c r="AC4" i="20"/>
  <c r="AD4" i="20"/>
  <c r="Q3" i="20"/>
  <c r="R3" i="20"/>
  <c r="S3" i="20"/>
  <c r="T3" i="20"/>
  <c r="Q4" i="20"/>
  <c r="R4" i="20"/>
  <c r="S4" i="20"/>
  <c r="T4" i="20"/>
  <c r="AC2" i="20"/>
  <c r="Z2" i="20"/>
  <c r="Y2" i="20"/>
  <c r="S2" i="20"/>
  <c r="R2" i="20"/>
  <c r="X2" i="20" s="1"/>
  <c r="Q2" i="20"/>
  <c r="V2" i="20" s="1"/>
  <c r="AF15" i="19"/>
  <c r="AE15" i="19"/>
  <c r="AF4" i="19"/>
  <c r="AB15" i="19"/>
  <c r="AA15" i="19"/>
  <c r="Z15" i="19"/>
  <c r="Y15" i="19"/>
  <c r="X15" i="19"/>
  <c r="W15" i="19"/>
  <c r="V15" i="19"/>
  <c r="U15" i="19"/>
  <c r="V9" i="19"/>
  <c r="X9" i="19"/>
  <c r="Q15" i="19"/>
  <c r="R15" i="19"/>
  <c r="S15" i="19"/>
  <c r="T15" i="19"/>
  <c r="AC15" i="19"/>
  <c r="AD15" i="19"/>
  <c r="Q16" i="19"/>
  <c r="AC16" i="19" s="1"/>
  <c r="R16" i="19"/>
  <c r="S16" i="19"/>
  <c r="T16" i="19"/>
  <c r="AD16" i="19" s="1"/>
  <c r="Q17" i="19"/>
  <c r="R17" i="19"/>
  <c r="S17" i="19"/>
  <c r="T17" i="19"/>
  <c r="AC17" i="19"/>
  <c r="AD17" i="19"/>
  <c r="AF22" i="16"/>
  <c r="AE22" i="16"/>
  <c r="AB22" i="16"/>
  <c r="AA22" i="16"/>
  <c r="Z22" i="16"/>
  <c r="Y22" i="16"/>
  <c r="X22" i="16"/>
  <c r="W22" i="16"/>
  <c r="V22" i="16"/>
  <c r="U22" i="16"/>
  <c r="Q22" i="16"/>
  <c r="U13" i="16" s="1"/>
  <c r="R22" i="16"/>
  <c r="S22" i="16"/>
  <c r="T22" i="16"/>
  <c r="AC22" i="16"/>
  <c r="AD22" i="16"/>
  <c r="Q23" i="16"/>
  <c r="R23" i="16"/>
  <c r="S23" i="16"/>
  <c r="Q24" i="16"/>
  <c r="R24" i="16"/>
  <c r="S24" i="16"/>
  <c r="Z9" i="19"/>
  <c r="Y9" i="19"/>
  <c r="W9" i="19"/>
  <c r="Q9" i="19"/>
  <c r="R9" i="19"/>
  <c r="S9" i="19"/>
  <c r="T9" i="19"/>
  <c r="AC9" i="19"/>
  <c r="AD9" i="19" s="1"/>
  <c r="Q10" i="19"/>
  <c r="AC10" i="19" s="1"/>
  <c r="R10" i="19"/>
  <c r="S10" i="19"/>
  <c r="T10" i="19"/>
  <c r="AD10" i="19" s="1"/>
  <c r="Z13" i="16"/>
  <c r="Y13" i="16"/>
  <c r="X13" i="16"/>
  <c r="W13" i="16"/>
  <c r="V13" i="16"/>
  <c r="Q13" i="16"/>
  <c r="R13" i="16"/>
  <c r="S13" i="16"/>
  <c r="T13" i="16"/>
  <c r="AC13" i="16"/>
  <c r="AD13" i="16"/>
  <c r="Q14" i="16"/>
  <c r="R14" i="16"/>
  <c r="S14" i="16"/>
  <c r="T14" i="16"/>
  <c r="AD14" i="16" s="1"/>
  <c r="AC14" i="16"/>
  <c r="Q15" i="16"/>
  <c r="R15" i="16"/>
  <c r="S15" i="16"/>
  <c r="T15" i="16"/>
  <c r="AC15" i="16"/>
  <c r="AD15" i="16"/>
  <c r="Q16" i="16"/>
  <c r="R16" i="16"/>
  <c r="S16" i="16"/>
  <c r="T16" i="16"/>
  <c r="AC16" i="16"/>
  <c r="AD16" i="16"/>
  <c r="AF4" i="17"/>
  <c r="AE4" i="17"/>
  <c r="AB4" i="17"/>
  <c r="AA4" i="17"/>
  <c r="Z4" i="17"/>
  <c r="W4" i="17"/>
  <c r="U4" i="17"/>
  <c r="Q5" i="17"/>
  <c r="R5" i="17"/>
  <c r="T5" i="17" s="1"/>
  <c r="S5" i="17"/>
  <c r="Q6" i="17"/>
  <c r="T6" i="17" s="1"/>
  <c r="R6" i="17"/>
  <c r="S6" i="17"/>
  <c r="AD4" i="17"/>
  <c r="AC4" i="17"/>
  <c r="T4" i="17"/>
  <c r="S4" i="17"/>
  <c r="R4" i="17"/>
  <c r="Q4" i="17"/>
  <c r="AE4" i="19"/>
  <c r="AB4" i="19"/>
  <c r="AA4" i="19"/>
  <c r="Z4" i="19"/>
  <c r="Y4" i="19"/>
  <c r="X4" i="19"/>
  <c r="W4" i="19"/>
  <c r="V4" i="19"/>
  <c r="U4" i="19"/>
  <c r="AD5" i="19"/>
  <c r="AD6" i="19"/>
  <c r="AD7" i="19"/>
  <c r="AD4" i="19"/>
  <c r="Q6" i="19"/>
  <c r="T6" i="19" s="1"/>
  <c r="R6" i="19"/>
  <c r="S6" i="19"/>
  <c r="AC6" i="19"/>
  <c r="Q7" i="19"/>
  <c r="R7" i="19"/>
  <c r="S7" i="19"/>
  <c r="T7" i="19"/>
  <c r="AC7" i="19"/>
  <c r="AF4" i="16"/>
  <c r="AE4" i="16"/>
  <c r="AB4" i="16"/>
  <c r="AA4" i="16"/>
  <c r="Z4" i="16"/>
  <c r="Y4" i="16"/>
  <c r="X4" i="16"/>
  <c r="W4" i="16"/>
  <c r="U4" i="16"/>
  <c r="V4" i="16"/>
  <c r="AD5" i="16"/>
  <c r="AD6" i="16"/>
  <c r="AD7" i="16"/>
  <c r="AD8" i="16"/>
  <c r="AD9" i="16"/>
  <c r="AD10" i="16"/>
  <c r="AD11" i="16"/>
  <c r="AD4" i="16"/>
  <c r="Q6" i="16"/>
  <c r="R6" i="16"/>
  <c r="S6" i="16"/>
  <c r="T6" i="16"/>
  <c r="AC6" i="16"/>
  <c r="Q7" i="16"/>
  <c r="R7" i="16"/>
  <c r="S7" i="16"/>
  <c r="T7" i="16"/>
  <c r="AC7" i="16"/>
  <c r="Q8" i="16"/>
  <c r="AC8" i="16" s="1"/>
  <c r="R8" i="16"/>
  <c r="S8" i="16"/>
  <c r="T8" i="16"/>
  <c r="Q9" i="16"/>
  <c r="R9" i="16"/>
  <c r="S9" i="16"/>
  <c r="T9" i="16"/>
  <c r="AC9" i="16"/>
  <c r="Q10" i="16"/>
  <c r="R10" i="16"/>
  <c r="S10" i="16"/>
  <c r="T10" i="16"/>
  <c r="AC10" i="16"/>
  <c r="Q11" i="16"/>
  <c r="T11" i="16" s="1"/>
  <c r="R11" i="16"/>
  <c r="S11" i="16"/>
  <c r="AF4" i="14"/>
  <c r="AE4" i="14"/>
  <c r="AB4" i="14"/>
  <c r="AA4" i="14"/>
  <c r="Z4" i="14"/>
  <c r="Y4" i="14"/>
  <c r="X4" i="14"/>
  <c r="W4" i="14"/>
  <c r="V4" i="14"/>
  <c r="U4" i="14"/>
  <c r="Q5" i="14"/>
  <c r="T5" i="14" s="1"/>
  <c r="R5" i="14"/>
  <c r="S5" i="14"/>
  <c r="Q6" i="14"/>
  <c r="R6" i="14"/>
  <c r="S6" i="14"/>
  <c r="T6" i="14"/>
  <c r="AC6" i="14"/>
  <c r="AD6" i="14"/>
  <c r="Q7" i="14"/>
  <c r="R7" i="14"/>
  <c r="S7" i="14"/>
  <c r="T7" i="14"/>
  <c r="AD7" i="14" s="1"/>
  <c r="AC7" i="14"/>
  <c r="Q8" i="14"/>
  <c r="T8" i="14" s="1"/>
  <c r="R8" i="14"/>
  <c r="S8" i="14"/>
  <c r="AD4" i="14"/>
  <c r="AC4" i="14"/>
  <c r="T4" i="14"/>
  <c r="S4" i="14"/>
  <c r="R4" i="14"/>
  <c r="Q4" i="14"/>
  <c r="AF4" i="13"/>
  <c r="AE4" i="13"/>
  <c r="AB4" i="13"/>
  <c r="AA4" i="13"/>
  <c r="Z4" i="13"/>
  <c r="Y4" i="13"/>
  <c r="X4" i="13"/>
  <c r="W4" i="13"/>
  <c r="V4" i="13"/>
  <c r="U4" i="13"/>
  <c r="Q5" i="13"/>
  <c r="R5" i="13"/>
  <c r="S5" i="13"/>
  <c r="T5" i="13"/>
  <c r="AC5" i="13"/>
  <c r="AD5" i="13"/>
  <c r="Q6" i="13"/>
  <c r="R6" i="13"/>
  <c r="S6" i="13"/>
  <c r="T6" i="13"/>
  <c r="AC6" i="13"/>
  <c r="AD6" i="13"/>
  <c r="Q7" i="13"/>
  <c r="AC7" i="13" s="1"/>
  <c r="R7" i="13"/>
  <c r="S7" i="13"/>
  <c r="T7" i="13"/>
  <c r="AD7" i="13" s="1"/>
  <c r="Q8" i="13"/>
  <c r="R8" i="13"/>
  <c r="S8" i="13"/>
  <c r="T8" i="13"/>
  <c r="AC8" i="13"/>
  <c r="AD8" i="13"/>
  <c r="Q9" i="13"/>
  <c r="R9" i="13"/>
  <c r="S9" i="13"/>
  <c r="T9" i="13"/>
  <c r="AC9" i="13"/>
  <c r="AD9" i="13"/>
  <c r="AF4" i="12"/>
  <c r="AE4" i="12"/>
  <c r="AB4" i="12"/>
  <c r="AA4" i="12"/>
  <c r="Z4" i="12"/>
  <c r="Y4" i="12"/>
  <c r="X4" i="12"/>
  <c r="W4" i="12"/>
  <c r="V4" i="12"/>
  <c r="U4" i="12"/>
  <c r="Q5" i="12"/>
  <c r="T5" i="12" s="1"/>
  <c r="R5" i="12"/>
  <c r="S5" i="12"/>
  <c r="Q6" i="12"/>
  <c r="R6" i="12"/>
  <c r="S6" i="12"/>
  <c r="T6" i="12"/>
  <c r="AC6" i="12"/>
  <c r="AD6" i="12"/>
  <c r="Q7" i="12"/>
  <c r="R7" i="12"/>
  <c r="S7" i="12"/>
  <c r="T7" i="12"/>
  <c r="AD7" i="12" s="1"/>
  <c r="AC7" i="12"/>
  <c r="Q8" i="12"/>
  <c r="R8" i="12"/>
  <c r="S8" i="12"/>
  <c r="T8" i="12"/>
  <c r="AC8" i="12"/>
  <c r="AD8" i="12"/>
  <c r="Q9" i="12"/>
  <c r="R9" i="12"/>
  <c r="S9" i="12"/>
  <c r="T9" i="12"/>
  <c r="AC9" i="12"/>
  <c r="AD9" i="12"/>
  <c r="AD4" i="12"/>
  <c r="T4" i="12"/>
  <c r="AF4" i="11"/>
  <c r="AE4" i="11"/>
  <c r="AB4" i="11"/>
  <c r="AA4" i="11"/>
  <c r="Z4" i="11"/>
  <c r="Y4" i="11"/>
  <c r="X4" i="11"/>
  <c r="W4" i="11"/>
  <c r="V4" i="11"/>
  <c r="U4" i="11"/>
  <c r="Q5" i="11"/>
  <c r="R5" i="11"/>
  <c r="S5" i="11"/>
  <c r="T5" i="11"/>
  <c r="AC5" i="11"/>
  <c r="AD5" i="11"/>
  <c r="Q6" i="11"/>
  <c r="AC6" i="11" s="1"/>
  <c r="R6" i="11"/>
  <c r="S6" i="11"/>
  <c r="T6" i="11"/>
  <c r="Q7" i="11"/>
  <c r="R7" i="11"/>
  <c r="S7" i="11"/>
  <c r="T7" i="11"/>
  <c r="AC7" i="11"/>
  <c r="AD7" i="11"/>
  <c r="Q8" i="11"/>
  <c r="R8" i="11"/>
  <c r="S8" i="11"/>
  <c r="T8" i="11"/>
  <c r="AC8" i="11"/>
  <c r="AD8" i="11"/>
  <c r="Q9" i="11"/>
  <c r="T9" i="11" s="1"/>
  <c r="R9" i="11"/>
  <c r="S9" i="11"/>
  <c r="Q10" i="11"/>
  <c r="R10" i="11"/>
  <c r="S10" i="11"/>
  <c r="T10" i="11"/>
  <c r="AC10" i="11"/>
  <c r="AD10" i="11"/>
  <c r="AD4" i="11"/>
  <c r="AC4" i="11"/>
  <c r="Q5" i="19"/>
  <c r="R5" i="19"/>
  <c r="S5" i="19"/>
  <c r="S4" i="19"/>
  <c r="R4" i="19"/>
  <c r="Q4" i="19"/>
  <c r="Z4" i="18"/>
  <c r="Y4" i="18"/>
  <c r="X4" i="18"/>
  <c r="W4" i="18"/>
  <c r="V4" i="18"/>
  <c r="U4" i="18"/>
  <c r="Q5" i="18"/>
  <c r="T5" i="18" s="1"/>
  <c r="R5" i="18"/>
  <c r="S5" i="18"/>
  <c r="S4" i="18"/>
  <c r="R4" i="18"/>
  <c r="Q4" i="18"/>
  <c r="AC4" i="18" s="1"/>
  <c r="Q5" i="16"/>
  <c r="R5" i="16"/>
  <c r="S5" i="16"/>
  <c r="S4" i="16"/>
  <c r="R4" i="16"/>
  <c r="Q4" i="16"/>
  <c r="AF4" i="15"/>
  <c r="Z4" i="15"/>
  <c r="X4" i="15"/>
  <c r="Y4" i="15"/>
  <c r="W4" i="15"/>
  <c r="V4" i="15"/>
  <c r="Q5" i="15"/>
  <c r="R5" i="15"/>
  <c r="S5" i="15"/>
  <c r="T5" i="15"/>
  <c r="AC5" i="15"/>
  <c r="AD5" i="15"/>
  <c r="S4" i="15"/>
  <c r="R4" i="15"/>
  <c r="Q4" i="15"/>
  <c r="U4" i="15" s="1"/>
  <c r="S4" i="13"/>
  <c r="R4" i="13"/>
  <c r="Q4" i="13"/>
  <c r="T4" i="13" s="1"/>
  <c r="S4" i="12"/>
  <c r="R4" i="12"/>
  <c r="Q4" i="12"/>
  <c r="AC4" i="12" s="1"/>
  <c r="S4" i="11"/>
  <c r="R4" i="11"/>
  <c r="Q4" i="11"/>
  <c r="AC11" i="12" l="1"/>
  <c r="AD11" i="12" s="1"/>
  <c r="AD12" i="17"/>
  <c r="AC12" i="17"/>
  <c r="T2" i="20"/>
  <c r="U2" i="20"/>
  <c r="W2" i="20"/>
  <c r="U9" i="19"/>
  <c r="T23" i="16"/>
  <c r="T24" i="16"/>
  <c r="AB13" i="16"/>
  <c r="AA13" i="16"/>
  <c r="AC23" i="16"/>
  <c r="AD23" i="16" s="1"/>
  <c r="AC24" i="16"/>
  <c r="AD24" i="16" s="1"/>
  <c r="AD5" i="17"/>
  <c r="AC6" i="17"/>
  <c r="AD6" i="17" s="1"/>
  <c r="AC5" i="17"/>
  <c r="AC5" i="19"/>
  <c r="T4" i="19"/>
  <c r="AC4" i="19"/>
  <c r="T5" i="19"/>
  <c r="AC11" i="16"/>
  <c r="T5" i="16"/>
  <c r="AC8" i="14"/>
  <c r="AD8" i="14" s="1"/>
  <c r="AC5" i="14"/>
  <c r="AD5" i="14" s="1"/>
  <c r="AD4" i="13"/>
  <c r="AC4" i="13"/>
  <c r="AC5" i="12"/>
  <c r="AD5" i="12" s="1"/>
  <c r="AD6" i="11"/>
  <c r="AC9" i="11"/>
  <c r="AD9" i="11" s="1"/>
  <c r="T4" i="11"/>
  <c r="T4" i="15"/>
  <c r="AC4" i="15"/>
  <c r="T4" i="16"/>
  <c r="AC4" i="16"/>
  <c r="T4" i="18"/>
  <c r="AC5" i="18"/>
  <c r="AD5" i="18" s="1"/>
  <c r="AC5" i="16"/>
  <c r="AD2" i="20" l="1"/>
  <c r="AB2" i="20"/>
  <c r="AA2" i="20"/>
  <c r="AB9" i="19"/>
  <c r="AA9" i="19"/>
  <c r="AE13" i="16"/>
  <c r="AF13" i="16"/>
  <c r="AD4" i="15"/>
  <c r="AE4" i="15" s="1"/>
  <c r="AB4" i="15"/>
  <c r="AA4" i="15"/>
  <c r="AD4" i="18"/>
  <c r="AB4" i="18"/>
  <c r="AA4" i="18"/>
  <c r="AF2" i="20" l="1"/>
  <c r="AE2" i="20"/>
  <c r="AF9" i="19"/>
  <c r="AE9" i="19"/>
  <c r="AF4" i="18"/>
  <c r="AE4" i="18"/>
</calcChain>
</file>

<file path=xl/sharedStrings.xml><?xml version="1.0" encoding="utf-8"?>
<sst xmlns="http://schemas.openxmlformats.org/spreadsheetml/2006/main" count="237" uniqueCount="36">
  <si>
    <t>ERR</t>
  </si>
  <si>
    <t>BAL</t>
  </si>
  <si>
    <t>NOAUG</t>
  </si>
  <si>
    <t>ERR0</t>
  </si>
  <si>
    <t>STD0</t>
  </si>
  <si>
    <t>ERR1</t>
  </si>
  <si>
    <t>STD1</t>
  </si>
  <si>
    <t>ERR2</t>
  </si>
  <si>
    <t>STD2</t>
  </si>
  <si>
    <t>ERR_i_0</t>
  </si>
  <si>
    <t>ERR_i_1</t>
  </si>
  <si>
    <t>ERR_i_2</t>
  </si>
  <si>
    <t>CIC_i</t>
  </si>
  <si>
    <t>ERR_i</t>
  </si>
  <si>
    <t>ERR_STD</t>
  </si>
  <si>
    <t>MIN_ERR_i</t>
  </si>
  <si>
    <t>CIC</t>
  </si>
  <si>
    <t>CIC_STD</t>
  </si>
  <si>
    <t>g=0.0001</t>
  </si>
  <si>
    <t>c0</t>
  </si>
  <si>
    <t>c2</t>
  </si>
  <si>
    <t>ERR0_STD</t>
  </si>
  <si>
    <t>ERR1_STD</t>
  </si>
  <si>
    <t>ERR2_STD</t>
  </si>
  <si>
    <t>DIFF</t>
  </si>
  <si>
    <t>DIFF Without retest</t>
  </si>
  <si>
    <t>ERR_0</t>
  </si>
  <si>
    <t>ERR_1</t>
  </si>
  <si>
    <t>ERR_2</t>
  </si>
  <si>
    <t>MIT</t>
  </si>
  <si>
    <t xml:space="preserve">c1 </t>
  </si>
  <si>
    <t>STDAUG</t>
  </si>
  <si>
    <t>PARBS</t>
  </si>
  <si>
    <t>ONLYMIN</t>
  </si>
  <si>
    <t>try3</t>
  </si>
  <si>
    <t>trt3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</si>
</sst>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20"/>
  <sheetViews>
    <sheetView workbookViewId="0">
      <selection activeCell="A2" sqref="A2:XFD17"/>
    </sheetView>
  </sheetViews>
  <sheetFormatPr defaultRowHeight="14.4" x14ac:dyDescent="0.3"/>
  <cols>
    <col min="1" max="1" width="9.88671875" customWidth="1"/>
  </cols>
  <sheetData>
    <row r="1" spans="1:27" x14ac:dyDescent="0.3">
      <c r="G1" t="s">
        <v>3</v>
      </c>
      <c r="H1" t="s">
        <v>4</v>
      </c>
      <c r="I1" t="s">
        <v>5</v>
      </c>
      <c r="J1" t="s">
        <v>6</v>
      </c>
      <c r="K1" t="s">
        <v>7</v>
      </c>
      <c r="L1" t="s">
        <v>8</v>
      </c>
      <c r="M1" t="s">
        <v>0</v>
      </c>
      <c r="N1" t="s">
        <v>14</v>
      </c>
      <c r="O1" t="s">
        <v>16</v>
      </c>
      <c r="P1" t="s">
        <v>17</v>
      </c>
    </row>
    <row r="2" spans="1:27" x14ac:dyDescent="0.3">
      <c r="A2" t="s">
        <v>29</v>
      </c>
    </row>
    <row r="3" spans="1:27" x14ac:dyDescent="0.3">
      <c r="B3" t="s">
        <v>1</v>
      </c>
    </row>
    <row r="4" spans="1:27" x14ac:dyDescent="0.3">
      <c r="C4" t="s">
        <v>2</v>
      </c>
      <c r="G4">
        <v>23.214285714285715</v>
      </c>
      <c r="H4">
        <v>2.6435005651777832</v>
      </c>
      <c r="I4">
        <v>11.071428571428571</v>
      </c>
      <c r="J4">
        <v>1.336306209562119</v>
      </c>
      <c r="K4">
        <v>35.642857142857146</v>
      </c>
      <c r="L4">
        <v>4.5434411125112195</v>
      </c>
      <c r="M4">
        <v>23.309523809523807</v>
      </c>
      <c r="N4">
        <v>1.5257923607235448</v>
      </c>
      <c r="O4">
        <v>12.238095238095239</v>
      </c>
      <c r="P4">
        <v>2.088010622527662</v>
      </c>
    </row>
    <row r="5" spans="1:27" x14ac:dyDescent="0.3">
      <c r="C5" t="s">
        <v>31</v>
      </c>
      <c r="F5" t="s">
        <v>18</v>
      </c>
      <c r="G5">
        <v>17.833333333333332</v>
      </c>
      <c r="H5">
        <v>3.125166662222457</v>
      </c>
      <c r="I5">
        <v>8.5833333333333339</v>
      </c>
      <c r="J5">
        <v>1.2416387021459434</v>
      </c>
      <c r="K5">
        <v>28.583333333333332</v>
      </c>
      <c r="L5">
        <v>3.6799003609699281</v>
      </c>
      <c r="M5">
        <v>18.333333333333332</v>
      </c>
      <c r="N5">
        <v>1.7763883459298975</v>
      </c>
      <c r="O5">
        <v>9.75</v>
      </c>
      <c r="P5">
        <v>1.0632758605157719</v>
      </c>
      <c r="Q5" t="s">
        <v>34</v>
      </c>
      <c r="R5">
        <v>20</v>
      </c>
      <c r="S5">
        <v>0</v>
      </c>
      <c r="T5">
        <v>10</v>
      </c>
      <c r="U5">
        <v>0</v>
      </c>
      <c r="V5">
        <v>29.5</v>
      </c>
      <c r="W5">
        <v>1.4142135623730951</v>
      </c>
      <c r="X5">
        <v>19.833333333333336</v>
      </c>
      <c r="Y5">
        <v>0.47140452079103251</v>
      </c>
      <c r="Z5">
        <v>9.8333333333333339</v>
      </c>
      <c r="AA5">
        <v>0.47140452079103251</v>
      </c>
    </row>
    <row r="6" spans="1:27" x14ac:dyDescent="0.3">
      <c r="C6" t="s">
        <v>24</v>
      </c>
    </row>
    <row r="7" spans="1:27" x14ac:dyDescent="0.3">
      <c r="D7" t="s">
        <v>31</v>
      </c>
      <c r="G7">
        <v>18.75</v>
      </c>
      <c r="H7">
        <v>1.7559422921421233</v>
      </c>
      <c r="I7">
        <v>10.5</v>
      </c>
      <c r="J7">
        <v>2.2730302828309759</v>
      </c>
      <c r="K7">
        <v>27.125</v>
      </c>
      <c r="L7">
        <v>1.9311050377094112</v>
      </c>
      <c r="M7">
        <v>18.791666666666664</v>
      </c>
      <c r="N7">
        <v>1.1252571722516165</v>
      </c>
      <c r="O7">
        <v>8.2916666666666661</v>
      </c>
      <c r="P7">
        <v>1.1970256348008435</v>
      </c>
    </row>
    <row r="8" spans="1:27" x14ac:dyDescent="0.3">
      <c r="F8" t="s">
        <v>34</v>
      </c>
      <c r="G8">
        <v>20.833333333333332</v>
      </c>
      <c r="H8">
        <v>3.0138568866708604</v>
      </c>
      <c r="I8">
        <v>9.6666666666666661</v>
      </c>
      <c r="J8">
        <v>1.5275252316519499</v>
      </c>
      <c r="K8">
        <v>30.666666666666668</v>
      </c>
      <c r="L8">
        <v>3.0550504633038935</v>
      </c>
      <c r="M8">
        <v>20.388888888888889</v>
      </c>
      <c r="N8">
        <v>1.9883922409081429</v>
      </c>
      <c r="O8">
        <v>10.7222222222222</v>
      </c>
      <c r="P8">
        <v>2.4286103327104773</v>
      </c>
    </row>
    <row r="9" spans="1:27" x14ac:dyDescent="0.3">
      <c r="D9" t="s">
        <v>33</v>
      </c>
    </row>
    <row r="10" spans="1:27" x14ac:dyDescent="0.3">
      <c r="E10" t="s">
        <v>31</v>
      </c>
      <c r="G10">
        <v>17.375</v>
      </c>
      <c r="H10">
        <v>2.75</v>
      </c>
      <c r="I10">
        <v>10.375</v>
      </c>
      <c r="J10">
        <v>3.4490336810958131</v>
      </c>
      <c r="K10">
        <v>28.625</v>
      </c>
      <c r="L10">
        <v>3.0103986446980739</v>
      </c>
      <c r="M10">
        <v>18.791666666666668</v>
      </c>
      <c r="N10">
        <v>2.5725581734055121</v>
      </c>
      <c r="O10">
        <v>8.4166666666666679</v>
      </c>
      <c r="P10">
        <v>1.6583123951776941</v>
      </c>
    </row>
    <row r="11" spans="1:27" x14ac:dyDescent="0.3">
      <c r="F11" t="s">
        <v>34</v>
      </c>
      <c r="G11">
        <v>17.5</v>
      </c>
      <c r="H11">
        <v>2.598076211353316</v>
      </c>
      <c r="I11">
        <v>10</v>
      </c>
      <c r="J11">
        <v>2.179449471770337</v>
      </c>
      <c r="K11">
        <v>30.333333333333332</v>
      </c>
      <c r="L11">
        <v>2.8431203515386634</v>
      </c>
      <c r="M11">
        <v>19.277777777777775</v>
      </c>
      <c r="N11">
        <v>1.8282758524338136</v>
      </c>
      <c r="O11">
        <v>9.2777777777777768</v>
      </c>
      <c r="P11">
        <v>2.219442706159791</v>
      </c>
    </row>
    <row r="13" spans="1:27" x14ac:dyDescent="0.3">
      <c r="B13" t="s">
        <v>32</v>
      </c>
    </row>
    <row r="14" spans="1:27" x14ac:dyDescent="0.3">
      <c r="C14" t="s">
        <v>2</v>
      </c>
      <c r="G14">
        <v>19.583333333333332</v>
      </c>
      <c r="H14">
        <v>2.3540744819709287</v>
      </c>
      <c r="I14">
        <v>13.916666666666666</v>
      </c>
      <c r="J14">
        <v>2.5380438661825075</v>
      </c>
      <c r="K14">
        <v>23</v>
      </c>
      <c r="L14">
        <v>5.196152422706632</v>
      </c>
      <c r="M14">
        <v>18.833333333333332</v>
      </c>
      <c r="N14">
        <v>1.8737959096740264</v>
      </c>
      <c r="O14">
        <v>4.916666666666667</v>
      </c>
      <c r="P14">
        <v>2.1337239225770932</v>
      </c>
    </row>
    <row r="15" spans="1:27" x14ac:dyDescent="0.3">
      <c r="C15" t="s">
        <v>31</v>
      </c>
      <c r="F15" t="s">
        <v>18</v>
      </c>
      <c r="G15">
        <v>21.1</v>
      </c>
      <c r="H15">
        <v>3.8307962618755846</v>
      </c>
      <c r="I15">
        <v>11.9</v>
      </c>
      <c r="J15">
        <v>3.7316216314090598</v>
      </c>
      <c r="K15">
        <v>24.4</v>
      </c>
      <c r="L15">
        <v>3.2093613071762355</v>
      </c>
      <c r="M15">
        <v>19.133333333333333</v>
      </c>
      <c r="N15">
        <v>1.8234582528810472</v>
      </c>
      <c r="O15">
        <v>7.2333333333333343</v>
      </c>
      <c r="P15">
        <v>3.1898275815473136</v>
      </c>
    </row>
    <row r="16" spans="1:27" x14ac:dyDescent="0.3">
      <c r="C16" t="s">
        <v>24</v>
      </c>
    </row>
    <row r="17" spans="4:16" x14ac:dyDescent="0.3">
      <c r="D17" t="s">
        <v>31</v>
      </c>
      <c r="F17" t="s">
        <v>34</v>
      </c>
      <c r="G17">
        <v>14.833333333333334</v>
      </c>
      <c r="H17">
        <v>1.2583057392117918</v>
      </c>
      <c r="I17">
        <v>10.166666666666666</v>
      </c>
      <c r="J17">
        <v>0.28867513459481292</v>
      </c>
      <c r="K17">
        <v>21.5</v>
      </c>
      <c r="L17">
        <v>3.5</v>
      </c>
      <c r="M17">
        <v>15.5</v>
      </c>
      <c r="N17">
        <v>1.0408329997330656</v>
      </c>
      <c r="O17">
        <v>5.333333333333333</v>
      </c>
      <c r="P17">
        <v>0.8660254037844386</v>
      </c>
    </row>
    <row r="18" spans="4:16" x14ac:dyDescent="0.3">
      <c r="D18" t="s">
        <v>33</v>
      </c>
    </row>
    <row r="19" spans="4:16" x14ac:dyDescent="0.3">
      <c r="E19" t="s">
        <v>31</v>
      </c>
      <c r="G19">
        <v>17.5</v>
      </c>
      <c r="H19">
        <v>4.2720018726587652</v>
      </c>
      <c r="I19">
        <v>12.333333333333334</v>
      </c>
      <c r="J19">
        <v>1.2583057392117918</v>
      </c>
      <c r="K19">
        <v>25.666666666666668</v>
      </c>
      <c r="L19">
        <v>5.7518113089124689</v>
      </c>
      <c r="M19">
        <v>18.5</v>
      </c>
      <c r="N19">
        <v>3.3706247360261101</v>
      </c>
      <c r="O19">
        <v>6.166666666666667</v>
      </c>
      <c r="P19">
        <v>2.3154073315749666</v>
      </c>
    </row>
    <row r="20" spans="4:16" x14ac:dyDescent="0.3">
      <c r="F20" t="s">
        <v>34</v>
      </c>
      <c r="G20">
        <v>20</v>
      </c>
      <c r="H20">
        <v>0.70710678118654757</v>
      </c>
      <c r="I20">
        <v>8.75</v>
      </c>
      <c r="J20">
        <v>0.35355339059327379</v>
      </c>
      <c r="K20">
        <v>23</v>
      </c>
      <c r="L20">
        <v>4.2426406871192848</v>
      </c>
      <c r="M20">
        <v>17.25</v>
      </c>
      <c r="N20">
        <v>1.2963624321753389</v>
      </c>
      <c r="O20">
        <v>8.5</v>
      </c>
      <c r="P20">
        <v>0.94280904158206502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986D54-7707-40F4-AFC2-8FFB01A635DF}">
  <dimension ref="B1:AF4"/>
  <sheetViews>
    <sheetView topLeftCell="N1" workbookViewId="0">
      <selection activeCell="Q1" sqref="Q1:AF2"/>
    </sheetView>
  </sheetViews>
  <sheetFormatPr defaultRowHeight="14.4" x14ac:dyDescent="0.3"/>
  <sheetData>
    <row r="1" spans="2:32" x14ac:dyDescent="0.3">
      <c r="Q1" t="s">
        <v>9</v>
      </c>
      <c r="R1" t="s">
        <v>10</v>
      </c>
      <c r="S1" t="s">
        <v>11</v>
      </c>
      <c r="T1" t="s">
        <v>13</v>
      </c>
      <c r="U1" t="s">
        <v>26</v>
      </c>
      <c r="V1" t="s">
        <v>21</v>
      </c>
      <c r="W1" t="s">
        <v>27</v>
      </c>
      <c r="X1" t="s">
        <v>22</v>
      </c>
      <c r="Y1" t="s">
        <v>28</v>
      </c>
      <c r="Z1" t="s">
        <v>23</v>
      </c>
      <c r="AA1" t="s">
        <v>0</v>
      </c>
      <c r="AB1" t="s">
        <v>14</v>
      </c>
      <c r="AC1" t="s">
        <v>15</v>
      </c>
      <c r="AD1" t="s">
        <v>12</v>
      </c>
      <c r="AE1" t="s">
        <v>16</v>
      </c>
      <c r="AF1" t="s">
        <v>17</v>
      </c>
    </row>
    <row r="2" spans="2:32" x14ac:dyDescent="0.3">
      <c r="B2">
        <v>86</v>
      </c>
      <c r="C2">
        <v>14</v>
      </c>
      <c r="D2">
        <v>13</v>
      </c>
      <c r="E2">
        <v>87</v>
      </c>
      <c r="G2">
        <v>96</v>
      </c>
      <c r="H2">
        <v>4</v>
      </c>
      <c r="I2">
        <v>17</v>
      </c>
      <c r="J2">
        <v>83</v>
      </c>
      <c r="L2">
        <v>85</v>
      </c>
      <c r="M2">
        <v>15</v>
      </c>
      <c r="N2">
        <v>35</v>
      </c>
      <c r="O2">
        <v>65</v>
      </c>
      <c r="Q2">
        <f t="shared" ref="Q2" si="0">AVERAGE(C2,D2)</f>
        <v>13.5</v>
      </c>
      <c r="R2">
        <f t="shared" ref="R2" si="1">AVERAGE(H2,I2)</f>
        <v>10.5</v>
      </c>
      <c r="S2">
        <f t="shared" ref="S2" si="2">AVERAGE(M2,N2)</f>
        <v>25</v>
      </c>
      <c r="T2">
        <f t="shared" ref="T2" si="3">AVERAGE(Q2:S2)</f>
        <v>16.333333333333332</v>
      </c>
      <c r="U2">
        <f>AVERAGE(Q2:Q5)</f>
        <v>14.833333333333334</v>
      </c>
      <c r="V2">
        <f>_xlfn.STDEV.S(Q2:Q5)</f>
        <v>1.2583057392117918</v>
      </c>
      <c r="W2">
        <f>AVERAGE(R2:R5)</f>
        <v>10.166666666666666</v>
      </c>
      <c r="X2">
        <f>_xlfn.STDEV.S(R2:R5)</f>
        <v>0.28867513459481292</v>
      </c>
      <c r="Y2">
        <f>AVERAGE(S2:S5)</f>
        <v>21.5</v>
      </c>
      <c r="Z2">
        <f>_xlfn.STDEV.S(S2:S5)</f>
        <v>3.5</v>
      </c>
      <c r="AA2">
        <f>AVERAGE(T2:T5)</f>
        <v>15.5</v>
      </c>
      <c r="AB2">
        <f>_xlfn.STDEV.S(T2:T5)</f>
        <v>1.0408329997330656</v>
      </c>
      <c r="AC2">
        <f t="shared" ref="AC2" si="4">MIN(Q2:S2)</f>
        <v>10.5</v>
      </c>
      <c r="AD2">
        <f t="shared" ref="AD2" si="5">(T2-AC2)</f>
        <v>5.8333333333333321</v>
      </c>
      <c r="AE2">
        <f>AVERAGE(AD2:AD5)</f>
        <v>5.333333333333333</v>
      </c>
      <c r="AF2">
        <f>_xlfn.STDEV.S(AD2:AD5)</f>
        <v>0.8660254037844386</v>
      </c>
    </row>
    <row r="3" spans="2:32" x14ac:dyDescent="0.3">
      <c r="B3">
        <v>87</v>
      </c>
      <c r="C3">
        <v>13</v>
      </c>
      <c r="D3">
        <v>19</v>
      </c>
      <c r="E3">
        <v>81</v>
      </c>
      <c r="G3">
        <v>95</v>
      </c>
      <c r="H3">
        <v>5</v>
      </c>
      <c r="I3">
        <v>15</v>
      </c>
      <c r="J3">
        <v>85</v>
      </c>
      <c r="L3">
        <v>91</v>
      </c>
      <c r="M3">
        <v>9</v>
      </c>
      <c r="N3">
        <v>34</v>
      </c>
      <c r="O3">
        <v>66</v>
      </c>
      <c r="Q3">
        <f t="shared" ref="Q3:Q4" si="6">AVERAGE(C3,D3)</f>
        <v>16</v>
      </c>
      <c r="R3">
        <f t="shared" ref="R3:R4" si="7">AVERAGE(H3,I3)</f>
        <v>10</v>
      </c>
      <c r="S3">
        <f t="shared" ref="S3:S4" si="8">AVERAGE(M3,N3)</f>
        <v>21.5</v>
      </c>
      <c r="T3">
        <f t="shared" ref="T3:T4" si="9">AVERAGE(Q3:S3)</f>
        <v>15.833333333333334</v>
      </c>
      <c r="AC3">
        <f t="shared" ref="AC3:AC4" si="10">MIN(Q3:S3)</f>
        <v>10</v>
      </c>
      <c r="AD3">
        <f t="shared" ref="AD3:AD4" si="11">(T3-AC3)</f>
        <v>5.8333333333333339</v>
      </c>
    </row>
    <row r="4" spans="2:32" x14ac:dyDescent="0.3">
      <c r="B4">
        <v>84</v>
      </c>
      <c r="C4">
        <v>16</v>
      </c>
      <c r="D4">
        <v>14</v>
      </c>
      <c r="E4">
        <v>86</v>
      </c>
      <c r="G4">
        <v>92</v>
      </c>
      <c r="H4">
        <v>8</v>
      </c>
      <c r="I4">
        <v>12</v>
      </c>
      <c r="J4">
        <v>88</v>
      </c>
      <c r="L4">
        <v>85</v>
      </c>
      <c r="M4">
        <v>15</v>
      </c>
      <c r="N4">
        <v>21</v>
      </c>
      <c r="O4">
        <v>79</v>
      </c>
      <c r="Q4">
        <f t="shared" si="6"/>
        <v>15</v>
      </c>
      <c r="R4">
        <f t="shared" si="7"/>
        <v>10</v>
      </c>
      <c r="S4">
        <f t="shared" si="8"/>
        <v>18</v>
      </c>
      <c r="T4">
        <f t="shared" si="9"/>
        <v>14.333333333333334</v>
      </c>
      <c r="AC4">
        <f t="shared" si="10"/>
        <v>10</v>
      </c>
      <c r="AD4">
        <f t="shared" si="11"/>
        <v>4.3333333333333339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0CE18A-8B26-4E93-B497-B59E55EFEC0E}">
  <dimension ref="A2:AF17"/>
  <sheetViews>
    <sheetView topLeftCell="M1" workbookViewId="0">
      <selection activeCell="Q15" sqref="Q15:AF15"/>
    </sheetView>
  </sheetViews>
  <sheetFormatPr defaultRowHeight="14.4" x14ac:dyDescent="0.3"/>
  <sheetData>
    <row r="2" spans="1:32" x14ac:dyDescent="0.3">
      <c r="A2" t="s">
        <v>25</v>
      </c>
      <c r="Q2" t="s">
        <v>9</v>
      </c>
      <c r="R2" t="s">
        <v>10</v>
      </c>
      <c r="S2" t="s">
        <v>11</v>
      </c>
      <c r="T2" t="s">
        <v>13</v>
      </c>
      <c r="U2" t="s">
        <v>26</v>
      </c>
      <c r="V2" t="s">
        <v>21</v>
      </c>
      <c r="W2" t="s">
        <v>27</v>
      </c>
      <c r="X2" t="s">
        <v>22</v>
      </c>
      <c r="Y2" t="s">
        <v>28</v>
      </c>
      <c r="Z2" t="s">
        <v>23</v>
      </c>
      <c r="AA2" t="s">
        <v>0</v>
      </c>
      <c r="AB2" t="s">
        <v>14</v>
      </c>
      <c r="AC2" t="s">
        <v>15</v>
      </c>
      <c r="AD2" t="s">
        <v>12</v>
      </c>
      <c r="AE2" t="s">
        <v>16</v>
      </c>
      <c r="AF2" t="s">
        <v>17</v>
      </c>
    </row>
    <row r="3" spans="1:32" x14ac:dyDescent="0.3">
      <c r="A3" t="s">
        <v>19</v>
      </c>
      <c r="F3" t="s">
        <v>30</v>
      </c>
      <c r="K3" t="s">
        <v>20</v>
      </c>
    </row>
    <row r="4" spans="1:32" x14ac:dyDescent="0.3">
      <c r="B4">
        <v>82</v>
      </c>
      <c r="C4">
        <v>18</v>
      </c>
      <c r="D4">
        <v>9</v>
      </c>
      <c r="E4">
        <v>91</v>
      </c>
      <c r="G4">
        <v>98</v>
      </c>
      <c r="H4">
        <v>2</v>
      </c>
      <c r="I4">
        <v>14</v>
      </c>
      <c r="J4">
        <v>86</v>
      </c>
      <c r="L4">
        <v>78</v>
      </c>
      <c r="M4">
        <v>22</v>
      </c>
      <c r="N4">
        <v>31</v>
      </c>
      <c r="O4">
        <v>69</v>
      </c>
      <c r="Q4">
        <f>AVERAGE(C4,D4)</f>
        <v>13.5</v>
      </c>
      <c r="R4">
        <f>AVERAGE(H4,I4)</f>
        <v>8</v>
      </c>
      <c r="S4">
        <f>AVERAGE(M4,N4)</f>
        <v>26.5</v>
      </c>
      <c r="T4">
        <f>AVERAGE(Q4:S4)</f>
        <v>16</v>
      </c>
      <c r="U4">
        <f>AVERAGE(Q4:Q7)</f>
        <v>17.375</v>
      </c>
      <c r="V4">
        <f>_xlfn.STDEV.S(Q4:Q7)</f>
        <v>2.75</v>
      </c>
      <c r="W4">
        <f>AVERAGE(R4:R7)</f>
        <v>10.375</v>
      </c>
      <c r="X4">
        <f>_xlfn.STDEV.S(R4:R7)</f>
        <v>3.4490336810958131</v>
      </c>
      <c r="Y4">
        <f>AVERAGE(S4:S7)</f>
        <v>28.625</v>
      </c>
      <c r="Z4">
        <f>_xlfn.STDEV.S(S4:S7)</f>
        <v>3.0103986446980739</v>
      </c>
      <c r="AA4">
        <f>AVERAGE(T4:T7)</f>
        <v>18.791666666666668</v>
      </c>
      <c r="AB4">
        <f>_xlfn.STDEV.S(T4:T7)</f>
        <v>2.5725581734055121</v>
      </c>
      <c r="AC4">
        <f>MIN(Q4:S4)</f>
        <v>8</v>
      </c>
      <c r="AD4">
        <f>(T4-AC4)</f>
        <v>8</v>
      </c>
      <c r="AE4">
        <f>AVERAGE(AD4:AD7)</f>
        <v>8.4166666666666679</v>
      </c>
      <c r="AF4">
        <f>_xlfn.STDEV.S(AD4:AD7)</f>
        <v>1.6583123951776941</v>
      </c>
    </row>
    <row r="5" spans="1:32" x14ac:dyDescent="0.3">
      <c r="B5">
        <v>81</v>
      </c>
      <c r="C5">
        <v>19</v>
      </c>
      <c r="D5">
        <v>17</v>
      </c>
      <c r="E5">
        <v>83</v>
      </c>
      <c r="G5">
        <v>95</v>
      </c>
      <c r="H5">
        <v>5</v>
      </c>
      <c r="I5">
        <v>13</v>
      </c>
      <c r="J5">
        <v>87</v>
      </c>
      <c r="L5">
        <v>79</v>
      </c>
      <c r="M5">
        <v>21</v>
      </c>
      <c r="N5">
        <v>31</v>
      </c>
      <c r="O5">
        <v>69</v>
      </c>
      <c r="Q5">
        <f t="shared" ref="Q5" si="0">AVERAGE(C5,D5)</f>
        <v>18</v>
      </c>
      <c r="R5">
        <f t="shared" ref="R5" si="1">AVERAGE(H5,I5)</f>
        <v>9</v>
      </c>
      <c r="S5">
        <f t="shared" ref="S5" si="2">AVERAGE(M5,N5)</f>
        <v>26</v>
      </c>
      <c r="T5">
        <f t="shared" ref="T5" si="3">AVERAGE(Q5:S5)</f>
        <v>17.666666666666668</v>
      </c>
      <c r="AC5">
        <f t="shared" ref="AC5" si="4">MIN(Q5:S5)</f>
        <v>9</v>
      </c>
      <c r="AD5">
        <f t="shared" ref="AD5:AD7" si="5">(T5-AC5)</f>
        <v>8.6666666666666679</v>
      </c>
    </row>
    <row r="6" spans="1:32" x14ac:dyDescent="0.3">
      <c r="B6">
        <v>69</v>
      </c>
      <c r="C6">
        <v>31</v>
      </c>
      <c r="D6">
        <v>9</v>
      </c>
      <c r="E6">
        <v>91</v>
      </c>
      <c r="G6">
        <v>92</v>
      </c>
      <c r="H6">
        <v>8</v>
      </c>
      <c r="I6">
        <v>10</v>
      </c>
      <c r="J6">
        <v>90</v>
      </c>
      <c r="L6">
        <v>76</v>
      </c>
      <c r="M6">
        <v>24</v>
      </c>
      <c r="N6">
        <v>35</v>
      </c>
      <c r="O6">
        <v>65</v>
      </c>
      <c r="Q6">
        <f t="shared" ref="Q6:Q7" si="6">AVERAGE(C6,D6)</f>
        <v>20</v>
      </c>
      <c r="R6">
        <f t="shared" ref="R6:R7" si="7">AVERAGE(H6,I6)</f>
        <v>9</v>
      </c>
      <c r="S6">
        <f t="shared" ref="S6:S7" si="8">AVERAGE(M6,N6)</f>
        <v>29.5</v>
      </c>
      <c r="T6">
        <f t="shared" ref="T6:T7" si="9">AVERAGE(Q6:S6)</f>
        <v>19.5</v>
      </c>
      <c r="AC6">
        <f t="shared" ref="AC6:AC7" si="10">MIN(Q6:S6)</f>
        <v>9</v>
      </c>
      <c r="AD6">
        <f t="shared" si="5"/>
        <v>10.5</v>
      </c>
    </row>
    <row r="7" spans="1:32" x14ac:dyDescent="0.3">
      <c r="A7" t="s">
        <v>19</v>
      </c>
      <c r="B7">
        <v>77</v>
      </c>
      <c r="C7">
        <v>23</v>
      </c>
      <c r="D7">
        <v>13</v>
      </c>
      <c r="E7">
        <v>87</v>
      </c>
      <c r="G7">
        <v>92</v>
      </c>
      <c r="H7">
        <v>8</v>
      </c>
      <c r="I7">
        <v>23</v>
      </c>
      <c r="J7">
        <v>77</v>
      </c>
      <c r="L7">
        <v>71</v>
      </c>
      <c r="M7">
        <v>29</v>
      </c>
      <c r="N7">
        <v>36</v>
      </c>
      <c r="O7">
        <v>64</v>
      </c>
      <c r="Q7">
        <f t="shared" si="6"/>
        <v>18</v>
      </c>
      <c r="R7">
        <f t="shared" si="7"/>
        <v>15.5</v>
      </c>
      <c r="S7">
        <f t="shared" si="8"/>
        <v>32.5</v>
      </c>
      <c r="T7">
        <f t="shared" si="9"/>
        <v>22</v>
      </c>
      <c r="AC7">
        <f t="shared" si="10"/>
        <v>15.5</v>
      </c>
      <c r="AD7">
        <f t="shared" si="5"/>
        <v>6.5</v>
      </c>
    </row>
    <row r="9" spans="1:32" x14ac:dyDescent="0.3">
      <c r="B9">
        <v>64</v>
      </c>
      <c r="C9">
        <v>36</v>
      </c>
      <c r="D9">
        <v>13</v>
      </c>
      <c r="E9">
        <v>87</v>
      </c>
      <c r="G9">
        <v>92</v>
      </c>
      <c r="H9">
        <v>8</v>
      </c>
      <c r="I9">
        <v>11</v>
      </c>
      <c r="J9">
        <v>89</v>
      </c>
      <c r="L9">
        <v>93</v>
      </c>
      <c r="M9">
        <v>7</v>
      </c>
      <c r="N9">
        <v>46</v>
      </c>
      <c r="O9">
        <v>54</v>
      </c>
      <c r="Q9">
        <f t="shared" ref="Q9:Q10" si="11">AVERAGE(C9,D9)</f>
        <v>24.5</v>
      </c>
      <c r="R9">
        <f t="shared" ref="R9:R10" si="12">AVERAGE(H9,I9)</f>
        <v>9.5</v>
      </c>
      <c r="S9">
        <f t="shared" ref="S9:S10" si="13">AVERAGE(M9,N9)</f>
        <v>26.5</v>
      </c>
      <c r="T9">
        <f t="shared" ref="T9:T10" si="14">AVERAGE(Q9:S9)</f>
        <v>20.166666666666668</v>
      </c>
      <c r="U9">
        <f>AVERAGE(Q9:Q12)</f>
        <v>22.25</v>
      </c>
      <c r="V9">
        <f>_xlfn.STDEV.S(Q9:Q12)</f>
        <v>3.1819805153394638</v>
      </c>
      <c r="W9">
        <f>AVERAGE(R9:R12)</f>
        <v>10.75</v>
      </c>
      <c r="X9">
        <f>_xlfn.STDEV.S(R9:R12)</f>
        <v>1.7677669529663689</v>
      </c>
      <c r="Y9">
        <f>AVERAGE(S9:S12)</f>
        <v>27</v>
      </c>
      <c r="Z9">
        <f>_xlfn.STDEV.S(S9:S12)</f>
        <v>0.70710678118654757</v>
      </c>
      <c r="AA9">
        <f>AVERAGE(T9:T12)</f>
        <v>20</v>
      </c>
      <c r="AB9">
        <f>_xlfn.STDEV.S(T9:T12)</f>
        <v>0.2357022603955175</v>
      </c>
      <c r="AC9">
        <f t="shared" ref="AC9:AC10" si="15">MIN(Q9:S9)</f>
        <v>9.5</v>
      </c>
      <c r="AD9">
        <f t="shared" ref="AD9:AD10" si="16">(T9-AC9)</f>
        <v>10.666666666666668</v>
      </c>
      <c r="AE9">
        <f>AVERAGE(AD9:AD12)</f>
        <v>9.25</v>
      </c>
      <c r="AF9">
        <f>_xlfn.STDEV.S(AD9:AD12)</f>
        <v>2.0034692133618837</v>
      </c>
    </row>
    <row r="10" spans="1:32" x14ac:dyDescent="0.3">
      <c r="B10">
        <v>82</v>
      </c>
      <c r="C10">
        <v>18</v>
      </c>
      <c r="D10">
        <v>22</v>
      </c>
      <c r="E10">
        <v>78</v>
      </c>
      <c r="G10">
        <v>89</v>
      </c>
      <c r="H10">
        <v>11</v>
      </c>
      <c r="I10">
        <v>13</v>
      </c>
      <c r="J10">
        <v>87</v>
      </c>
      <c r="L10">
        <v>75</v>
      </c>
      <c r="M10">
        <v>25</v>
      </c>
      <c r="N10">
        <v>30</v>
      </c>
      <c r="O10">
        <v>70</v>
      </c>
      <c r="Q10">
        <f t="shared" si="11"/>
        <v>20</v>
      </c>
      <c r="R10">
        <f t="shared" si="12"/>
        <v>12</v>
      </c>
      <c r="S10">
        <f t="shared" si="13"/>
        <v>27.5</v>
      </c>
      <c r="T10">
        <f t="shared" si="14"/>
        <v>19.833333333333332</v>
      </c>
      <c r="AC10">
        <f t="shared" si="15"/>
        <v>12</v>
      </c>
      <c r="AD10">
        <f t="shared" si="16"/>
        <v>7.8333333333333321</v>
      </c>
    </row>
    <row r="14" spans="1:32" x14ac:dyDescent="0.3">
      <c r="A14" t="s">
        <v>34</v>
      </c>
    </row>
    <row r="15" spans="1:32" x14ac:dyDescent="0.3">
      <c r="B15">
        <v>80</v>
      </c>
      <c r="C15">
        <v>20</v>
      </c>
      <c r="D15">
        <v>18</v>
      </c>
      <c r="E15">
        <v>82</v>
      </c>
      <c r="G15">
        <v>94</v>
      </c>
      <c r="H15">
        <v>6</v>
      </c>
      <c r="I15">
        <v>19</v>
      </c>
      <c r="J15">
        <v>81</v>
      </c>
      <c r="L15">
        <v>84</v>
      </c>
      <c r="M15">
        <v>16</v>
      </c>
      <c r="N15">
        <v>43</v>
      </c>
      <c r="O15">
        <v>57</v>
      </c>
      <c r="Q15">
        <f t="shared" ref="Q15:Q17" si="17">AVERAGE(C15,D15)</f>
        <v>19</v>
      </c>
      <c r="R15">
        <f t="shared" ref="R15:R17" si="18">AVERAGE(H15,I15)</f>
        <v>12.5</v>
      </c>
      <c r="S15">
        <f t="shared" ref="S15:S17" si="19">AVERAGE(M15,N15)</f>
        <v>29.5</v>
      </c>
      <c r="T15">
        <f t="shared" ref="T15:T17" si="20">AVERAGE(Q15:S15)</f>
        <v>20.333333333333332</v>
      </c>
      <c r="U15">
        <f>AVERAGE(Q15:Q18)</f>
        <v>17.5</v>
      </c>
      <c r="V15">
        <f>_xlfn.STDEV.S(Q15:Q18)</f>
        <v>2.598076211353316</v>
      </c>
      <c r="W15">
        <f>AVERAGE(R15:R18)</f>
        <v>10</v>
      </c>
      <c r="X15">
        <f>_xlfn.STDEV.S(R15:R18)</f>
        <v>2.179449471770337</v>
      </c>
      <c r="Y15">
        <f>AVERAGE(S15:S18)</f>
        <v>30.333333333333332</v>
      </c>
      <c r="Z15">
        <f>_xlfn.STDEV.S(S15:S18)</f>
        <v>2.8431203515386634</v>
      </c>
      <c r="AA15">
        <f>AVERAGE(T15:T18)</f>
        <v>19.277777777777775</v>
      </c>
      <c r="AB15">
        <f>_xlfn.STDEV.S(T15:T18)</f>
        <v>1.8282758524338136</v>
      </c>
      <c r="AC15">
        <f t="shared" ref="AC15:AC17" si="21">MIN(Q15:S15)</f>
        <v>12.5</v>
      </c>
      <c r="AD15">
        <f t="shared" ref="AD15:AD17" si="22">(T15-AC15)</f>
        <v>7.8333333333333321</v>
      </c>
      <c r="AE15">
        <f>AVERAGE(AD15:AD18)</f>
        <v>9.2777777777777768</v>
      </c>
      <c r="AF15">
        <f>_xlfn.STDEV.S(AD15:AD18)</f>
        <v>2.219442706159791</v>
      </c>
    </row>
    <row r="16" spans="1:32" x14ac:dyDescent="0.3">
      <c r="B16">
        <v>83</v>
      </c>
      <c r="C16">
        <v>17</v>
      </c>
      <c r="D16">
        <v>12</v>
      </c>
      <c r="E16">
        <v>88</v>
      </c>
      <c r="G16">
        <v>90</v>
      </c>
      <c r="H16">
        <v>10</v>
      </c>
      <c r="I16">
        <v>8</v>
      </c>
      <c r="J16">
        <v>92</v>
      </c>
      <c r="L16">
        <v>83</v>
      </c>
      <c r="M16">
        <v>17</v>
      </c>
      <c r="N16">
        <v>39</v>
      </c>
      <c r="O16">
        <v>61</v>
      </c>
      <c r="Q16">
        <f t="shared" si="17"/>
        <v>14.5</v>
      </c>
      <c r="R16">
        <f t="shared" si="18"/>
        <v>9</v>
      </c>
      <c r="S16">
        <f t="shared" si="19"/>
        <v>28</v>
      </c>
      <c r="T16">
        <f t="shared" si="20"/>
        <v>17.166666666666668</v>
      </c>
      <c r="AC16">
        <f t="shared" si="21"/>
        <v>9</v>
      </c>
      <c r="AD16">
        <f t="shared" si="22"/>
        <v>8.1666666666666679</v>
      </c>
    </row>
    <row r="17" spans="2:30" x14ac:dyDescent="0.3">
      <c r="B17">
        <v>84</v>
      </c>
      <c r="C17">
        <v>16</v>
      </c>
      <c r="D17">
        <v>22</v>
      </c>
      <c r="E17">
        <v>78</v>
      </c>
      <c r="G17">
        <v>97</v>
      </c>
      <c r="H17">
        <v>3</v>
      </c>
      <c r="I17">
        <v>14</v>
      </c>
      <c r="J17">
        <v>86</v>
      </c>
      <c r="L17">
        <v>72</v>
      </c>
      <c r="M17">
        <v>28</v>
      </c>
      <c r="N17">
        <v>39</v>
      </c>
      <c r="O17">
        <v>61</v>
      </c>
      <c r="Q17">
        <f t="shared" si="17"/>
        <v>19</v>
      </c>
      <c r="R17">
        <f t="shared" si="18"/>
        <v>8.5</v>
      </c>
      <c r="S17">
        <f t="shared" si="19"/>
        <v>33.5</v>
      </c>
      <c r="T17">
        <f t="shared" si="20"/>
        <v>20.333333333333332</v>
      </c>
      <c r="AC17">
        <f t="shared" si="21"/>
        <v>8.5</v>
      </c>
      <c r="AD17">
        <f t="shared" si="22"/>
        <v>11.833333333333332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557A7D-364E-47EE-A0F3-0D888512E587}">
  <dimension ref="A2:AF5"/>
  <sheetViews>
    <sheetView workbookViewId="0">
      <selection activeCell="B4" sqref="B4:O5"/>
    </sheetView>
  </sheetViews>
  <sheetFormatPr defaultRowHeight="14.4" x14ac:dyDescent="0.3"/>
  <sheetData>
    <row r="2" spans="1:32" x14ac:dyDescent="0.3">
      <c r="A2" t="s">
        <v>25</v>
      </c>
      <c r="Q2" t="s">
        <v>9</v>
      </c>
      <c r="R2" t="s">
        <v>10</v>
      </c>
      <c r="S2" t="s">
        <v>11</v>
      </c>
      <c r="T2" t="s">
        <v>13</v>
      </c>
      <c r="U2" t="s">
        <v>26</v>
      </c>
      <c r="V2" t="s">
        <v>21</v>
      </c>
      <c r="W2" t="s">
        <v>27</v>
      </c>
      <c r="X2" t="s">
        <v>22</v>
      </c>
      <c r="Y2" t="s">
        <v>28</v>
      </c>
      <c r="Z2" t="s">
        <v>23</v>
      </c>
      <c r="AA2" t="s">
        <v>0</v>
      </c>
      <c r="AB2" t="s">
        <v>14</v>
      </c>
      <c r="AC2" t="s">
        <v>15</v>
      </c>
      <c r="AD2" t="s">
        <v>12</v>
      </c>
      <c r="AE2" t="s">
        <v>16</v>
      </c>
      <c r="AF2" t="s">
        <v>17</v>
      </c>
    </row>
    <row r="3" spans="1:32" x14ac:dyDescent="0.3">
      <c r="A3" t="s">
        <v>19</v>
      </c>
      <c r="F3" t="s">
        <v>30</v>
      </c>
      <c r="K3" t="s">
        <v>20</v>
      </c>
    </row>
    <row r="4" spans="1:32" x14ac:dyDescent="0.3">
      <c r="Q4" t="e">
        <f>AVERAGE(C4,D4)</f>
        <v>#DIV/0!</v>
      </c>
      <c r="R4" t="e">
        <f>AVERAGE(H4,I4)</f>
        <v>#DIV/0!</v>
      </c>
      <c r="S4" t="e">
        <f>AVERAGE(M4,N4)</f>
        <v>#DIV/0!</v>
      </c>
      <c r="T4" t="e">
        <f>AVERAGE(Q4:S4)</f>
        <v>#DIV/0!</v>
      </c>
      <c r="U4" t="e">
        <f>AVERAGE(Q4,Q5)</f>
        <v>#DIV/0!</v>
      </c>
      <c r="V4" t="e">
        <f>_xlfn.STDEV.S(Q4,Q5)</f>
        <v>#DIV/0!</v>
      </c>
      <c r="W4" t="e">
        <f>AVERAGE(R4,R5)</f>
        <v>#DIV/0!</v>
      </c>
      <c r="X4" t="e">
        <f>_xlfn.STDEV.S(R4,R5)</f>
        <v>#DIV/0!</v>
      </c>
      <c r="Y4" t="e">
        <f>AVERAGE(S4,S5)</f>
        <v>#DIV/0!</v>
      </c>
      <c r="Z4" t="e">
        <f>_xlfn.STDEV.S(S4,S5)</f>
        <v>#DIV/0!</v>
      </c>
      <c r="AA4" t="e">
        <f>AVERAGE(T4,T5)</f>
        <v>#DIV/0!</v>
      </c>
      <c r="AB4" t="e">
        <f>_xlfn.STDEV.S(T4,T5)</f>
        <v>#DIV/0!</v>
      </c>
      <c r="AC4" t="e">
        <f>MIN(Q4:S4)</f>
        <v>#DIV/0!</v>
      </c>
      <c r="AD4" t="e">
        <f>(1/3)*(T4-AC4)</f>
        <v>#DIV/0!</v>
      </c>
      <c r="AE4" t="e">
        <f>AVERAGE(AD4,AD5)</f>
        <v>#DIV/0!</v>
      </c>
      <c r="AF4" t="e">
        <f>_xlfn.STDEV.S(AD4,AD5)</f>
        <v>#DIV/0!</v>
      </c>
    </row>
    <row r="5" spans="1:32" x14ac:dyDescent="0.3">
      <c r="Q5" t="e">
        <f>AVERAGE(C5,D5)</f>
        <v>#DIV/0!</v>
      </c>
      <c r="R5" t="e">
        <f>AVERAGE(H5,I5)</f>
        <v>#DIV/0!</v>
      </c>
      <c r="S5" t="e">
        <f>AVERAGE(M5,N5)</f>
        <v>#DIV/0!</v>
      </c>
      <c r="T5" t="e">
        <f>AVERAGE(Q5:S5)</f>
        <v>#DIV/0!</v>
      </c>
      <c r="AC5" t="e">
        <f>MIN(Q5:S5)</f>
        <v>#DIV/0!</v>
      </c>
      <c r="AD5" t="e">
        <f>(1/3)*(T5-AC5)</f>
        <v>#DIV/0!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B67D71-588A-4985-8ACA-35F7A9B1AF58}">
  <dimension ref="A2:AF13"/>
  <sheetViews>
    <sheetView topLeftCell="K1" workbookViewId="0">
      <selection activeCell="AF12" activeCellId="2" sqref="U12:AB12 AE12 AF12"/>
    </sheetView>
  </sheetViews>
  <sheetFormatPr defaultRowHeight="14.4" x14ac:dyDescent="0.3"/>
  <sheetData>
    <row r="2" spans="1:32" x14ac:dyDescent="0.3">
      <c r="A2" t="s">
        <v>25</v>
      </c>
      <c r="Q2" t="s">
        <v>9</v>
      </c>
      <c r="R2" t="s">
        <v>10</v>
      </c>
      <c r="S2" t="s">
        <v>11</v>
      </c>
      <c r="T2" t="s">
        <v>13</v>
      </c>
      <c r="U2" t="s">
        <v>26</v>
      </c>
      <c r="V2" t="s">
        <v>21</v>
      </c>
      <c r="W2" t="s">
        <v>27</v>
      </c>
      <c r="X2" t="s">
        <v>22</v>
      </c>
      <c r="Y2" t="s">
        <v>28</v>
      </c>
      <c r="Z2" t="s">
        <v>23</v>
      </c>
      <c r="AA2" t="s">
        <v>0</v>
      </c>
      <c r="AB2" t="s">
        <v>14</v>
      </c>
      <c r="AC2" t="s">
        <v>15</v>
      </c>
      <c r="AD2" t="s">
        <v>12</v>
      </c>
      <c r="AE2" t="s">
        <v>16</v>
      </c>
      <c r="AF2" t="s">
        <v>17</v>
      </c>
    </row>
    <row r="3" spans="1:32" x14ac:dyDescent="0.3">
      <c r="A3" t="s">
        <v>19</v>
      </c>
      <c r="F3" t="s">
        <v>30</v>
      </c>
      <c r="K3" t="s">
        <v>20</v>
      </c>
    </row>
    <row r="4" spans="1:32" x14ac:dyDescent="0.3">
      <c r="B4">
        <v>77</v>
      </c>
      <c r="C4">
        <v>23</v>
      </c>
      <c r="D4">
        <v>21</v>
      </c>
      <c r="E4">
        <v>79</v>
      </c>
      <c r="G4">
        <v>93</v>
      </c>
      <c r="H4">
        <v>7</v>
      </c>
      <c r="I4">
        <v>20</v>
      </c>
      <c r="J4">
        <v>80</v>
      </c>
      <c r="L4">
        <v>83</v>
      </c>
      <c r="M4">
        <v>17</v>
      </c>
      <c r="N4">
        <v>46</v>
      </c>
      <c r="O4">
        <v>54</v>
      </c>
      <c r="Q4">
        <f>AVERAGE(C4:D4)</f>
        <v>22</v>
      </c>
      <c r="R4">
        <f>AVERAGE(H4:I4)</f>
        <v>13.5</v>
      </c>
      <c r="S4">
        <f>AVERAGE(M4:N4)</f>
        <v>31.5</v>
      </c>
      <c r="T4">
        <f>AVERAGE(Q4:S4)</f>
        <v>22.333333333333332</v>
      </c>
      <c r="U4">
        <f>AVERAGE(Q4:Q6)</f>
        <v>17.5</v>
      </c>
      <c r="V4">
        <f>_xlfn.STDEV.S(Q4:Q6)</f>
        <v>4.2720018726587652</v>
      </c>
      <c r="W4">
        <f>AVERAGE(R4:R7)</f>
        <v>12.333333333333334</v>
      </c>
      <c r="X4">
        <f>_xlfn.STDEV.S(R4:R6)</f>
        <v>1.2583057392117918</v>
      </c>
      <c r="Y4">
        <f>AVERAGE(S4:S6)</f>
        <v>25.666666666666668</v>
      </c>
      <c r="Z4">
        <f>_xlfn.STDEV.S(S4:S6)</f>
        <v>5.7518113089124689</v>
      </c>
      <c r="AA4">
        <f>AVERAGE(T4:T6)</f>
        <v>18.5</v>
      </c>
      <c r="AB4">
        <f>_xlfn.STDEV.S(T4:T6)</f>
        <v>3.3706247360261101</v>
      </c>
      <c r="AC4">
        <f>MIN(Q4:S4)</f>
        <v>13.5</v>
      </c>
      <c r="AD4">
        <f>T4-AC4</f>
        <v>8.8333333333333321</v>
      </c>
      <c r="AE4">
        <f>AVERAGE(AD4:AD6)</f>
        <v>6.166666666666667</v>
      </c>
      <c r="AF4">
        <f>_xlfn.STDEV.S(AD4:AD6)</f>
        <v>2.3154073315749666</v>
      </c>
    </row>
    <row r="5" spans="1:32" x14ac:dyDescent="0.3">
      <c r="B5">
        <v>86</v>
      </c>
      <c r="C5">
        <v>14</v>
      </c>
      <c r="D5">
        <v>13</v>
      </c>
      <c r="E5">
        <v>87</v>
      </c>
      <c r="G5">
        <v>94</v>
      </c>
      <c r="H5">
        <v>6</v>
      </c>
      <c r="I5">
        <v>19</v>
      </c>
      <c r="J5">
        <v>81</v>
      </c>
      <c r="L5">
        <v>78</v>
      </c>
      <c r="M5">
        <v>22</v>
      </c>
      <c r="N5">
        <v>29</v>
      </c>
      <c r="O5">
        <v>71</v>
      </c>
      <c r="Q5">
        <f t="shared" ref="Q5:Q6" si="0">AVERAGE(C5:D5)</f>
        <v>13.5</v>
      </c>
      <c r="R5">
        <f t="shared" ref="R5:R6" si="1">AVERAGE(H5:I5)</f>
        <v>12.5</v>
      </c>
      <c r="S5">
        <f t="shared" ref="S5:S6" si="2">AVERAGE(M5:N5)</f>
        <v>25.5</v>
      </c>
      <c r="T5">
        <f t="shared" ref="T5:T6" si="3">AVERAGE(Q5:S5)</f>
        <v>17.166666666666668</v>
      </c>
      <c r="AC5">
        <f t="shared" ref="AC5:AC6" si="4">MIN(Q5:S5)</f>
        <v>12.5</v>
      </c>
      <c r="AD5">
        <f t="shared" ref="AD5:AD6" si="5">T5-AC5</f>
        <v>4.6666666666666679</v>
      </c>
    </row>
    <row r="6" spans="1:32" x14ac:dyDescent="0.3">
      <c r="B6">
        <v>74</v>
      </c>
      <c r="C6">
        <v>26</v>
      </c>
      <c r="D6">
        <v>8</v>
      </c>
      <c r="E6">
        <v>92</v>
      </c>
      <c r="G6">
        <v>94</v>
      </c>
      <c r="H6">
        <v>6</v>
      </c>
      <c r="I6">
        <v>16</v>
      </c>
      <c r="J6">
        <v>84</v>
      </c>
      <c r="L6">
        <v>77</v>
      </c>
      <c r="M6">
        <v>23</v>
      </c>
      <c r="N6">
        <v>17</v>
      </c>
      <c r="O6">
        <v>83</v>
      </c>
      <c r="Q6">
        <f t="shared" si="0"/>
        <v>17</v>
      </c>
      <c r="R6">
        <f t="shared" si="1"/>
        <v>11</v>
      </c>
      <c r="S6">
        <f t="shared" si="2"/>
        <v>20</v>
      </c>
      <c r="T6">
        <f t="shared" si="3"/>
        <v>16</v>
      </c>
      <c r="AC6">
        <f t="shared" si="4"/>
        <v>11</v>
      </c>
      <c r="AD6">
        <f t="shared" si="5"/>
        <v>5</v>
      </c>
    </row>
    <row r="7" spans="1:32" x14ac:dyDescent="0.3">
      <c r="A7" t="s">
        <v>19</v>
      </c>
    </row>
    <row r="11" spans="1:32" x14ac:dyDescent="0.3">
      <c r="A11" t="s">
        <v>35</v>
      </c>
    </row>
    <row r="12" spans="1:32" x14ac:dyDescent="0.3">
      <c r="B12">
        <v>79</v>
      </c>
      <c r="C12">
        <v>21</v>
      </c>
      <c r="D12">
        <v>18</v>
      </c>
      <c r="E12">
        <v>82</v>
      </c>
      <c r="G12">
        <v>97</v>
      </c>
      <c r="H12">
        <v>3</v>
      </c>
      <c r="I12">
        <v>15</v>
      </c>
      <c r="J12">
        <v>85</v>
      </c>
      <c r="L12">
        <v>92</v>
      </c>
      <c r="M12">
        <v>8</v>
      </c>
      <c r="N12">
        <v>44</v>
      </c>
      <c r="O12">
        <v>56</v>
      </c>
      <c r="Q12">
        <f t="shared" ref="Q12:Q13" si="6">AVERAGE(C12:D12)</f>
        <v>19.5</v>
      </c>
      <c r="R12">
        <f t="shared" ref="R12:R13" si="7">AVERAGE(H12:I12)</f>
        <v>9</v>
      </c>
      <c r="S12">
        <f t="shared" ref="S12:S13" si="8">AVERAGE(M12:N12)</f>
        <v>26</v>
      </c>
      <c r="T12">
        <f t="shared" ref="T12:T13" si="9">AVERAGE(Q12:S12)</f>
        <v>18.166666666666668</v>
      </c>
      <c r="U12">
        <f>AVERAGE(Q12:Q14)</f>
        <v>20</v>
      </c>
      <c r="V12">
        <f>_xlfn.STDEV.S(Q12:Q14)</f>
        <v>0.70710678118654757</v>
      </c>
      <c r="W12">
        <f>AVERAGE(R12:R15)</f>
        <v>8.75</v>
      </c>
      <c r="X12">
        <f>_xlfn.STDEV.S(R12:R14)</f>
        <v>0.35355339059327379</v>
      </c>
      <c r="Y12">
        <f>AVERAGE(S12:S14)</f>
        <v>23</v>
      </c>
      <c r="Z12">
        <f>_xlfn.STDEV.S(S12:S14)</f>
        <v>4.2426406871192848</v>
      </c>
      <c r="AA12">
        <f>AVERAGE(T12:T14)</f>
        <v>17.25</v>
      </c>
      <c r="AB12">
        <f>_xlfn.STDEV.S(T12:T14)</f>
        <v>1.2963624321753389</v>
      </c>
      <c r="AC12">
        <f t="shared" ref="AC12:AC13" si="10">MIN(Q12:S12)</f>
        <v>9</v>
      </c>
      <c r="AD12">
        <f t="shared" ref="AD12:AD13" si="11">T12-AC12</f>
        <v>9.1666666666666679</v>
      </c>
      <c r="AE12">
        <f>AVERAGE(AD12:AD14)</f>
        <v>8.5</v>
      </c>
      <c r="AF12">
        <f>_xlfn.STDEV.S(AD12:AD14)</f>
        <v>0.94280904158206502</v>
      </c>
    </row>
    <row r="13" spans="1:32" x14ac:dyDescent="0.3">
      <c r="B13">
        <v>71</v>
      </c>
      <c r="C13">
        <v>29</v>
      </c>
      <c r="D13">
        <v>12</v>
      </c>
      <c r="E13">
        <v>88</v>
      </c>
      <c r="G13">
        <v>89</v>
      </c>
      <c r="H13">
        <v>11</v>
      </c>
      <c r="I13">
        <v>6</v>
      </c>
      <c r="J13">
        <v>94</v>
      </c>
      <c r="L13">
        <v>86</v>
      </c>
      <c r="M13">
        <v>14</v>
      </c>
      <c r="N13">
        <v>26</v>
      </c>
      <c r="O13">
        <v>74</v>
      </c>
      <c r="Q13">
        <f t="shared" si="6"/>
        <v>20.5</v>
      </c>
      <c r="R13">
        <f t="shared" si="7"/>
        <v>8.5</v>
      </c>
      <c r="S13">
        <f t="shared" si="8"/>
        <v>20</v>
      </c>
      <c r="T13">
        <f t="shared" si="9"/>
        <v>16.333333333333332</v>
      </c>
      <c r="AC13">
        <f t="shared" si="10"/>
        <v>8.5</v>
      </c>
      <c r="AD13">
        <f t="shared" si="11"/>
        <v>7.8333333333333321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4C68C5-0EAB-4233-98F5-D346BC512EB4}">
  <dimension ref="A2:AF24"/>
  <sheetViews>
    <sheetView topLeftCell="M7" workbookViewId="0">
      <selection activeCell="AF22" activeCellId="2" sqref="U22:AB22 AE22 AF22"/>
    </sheetView>
  </sheetViews>
  <sheetFormatPr defaultRowHeight="14.4" x14ac:dyDescent="0.3"/>
  <sheetData>
    <row r="2" spans="1:32" x14ac:dyDescent="0.3">
      <c r="A2" t="s">
        <v>25</v>
      </c>
      <c r="Q2" t="s">
        <v>9</v>
      </c>
      <c r="R2" t="s">
        <v>10</v>
      </c>
      <c r="S2" t="s">
        <v>11</v>
      </c>
      <c r="T2" t="s">
        <v>13</v>
      </c>
      <c r="U2" t="s">
        <v>26</v>
      </c>
      <c r="V2" t="s">
        <v>21</v>
      </c>
      <c r="W2" t="s">
        <v>27</v>
      </c>
      <c r="X2" t="s">
        <v>22</v>
      </c>
      <c r="Y2" t="s">
        <v>28</v>
      </c>
      <c r="Z2" t="s">
        <v>23</v>
      </c>
      <c r="AA2" t="s">
        <v>0</v>
      </c>
      <c r="AB2" t="s">
        <v>14</v>
      </c>
      <c r="AC2" t="s">
        <v>15</v>
      </c>
      <c r="AD2" t="s">
        <v>12</v>
      </c>
      <c r="AE2" t="s">
        <v>16</v>
      </c>
      <c r="AF2" t="s">
        <v>17</v>
      </c>
    </row>
    <row r="3" spans="1:32" x14ac:dyDescent="0.3">
      <c r="A3" t="s">
        <v>19</v>
      </c>
      <c r="F3" t="s">
        <v>30</v>
      </c>
      <c r="K3" t="s">
        <v>20</v>
      </c>
    </row>
    <row r="4" spans="1:32" x14ac:dyDescent="0.3">
      <c r="B4">
        <v>72</v>
      </c>
      <c r="C4">
        <v>28</v>
      </c>
      <c r="D4">
        <v>14</v>
      </c>
      <c r="E4">
        <v>86</v>
      </c>
      <c r="G4">
        <v>96</v>
      </c>
      <c r="H4">
        <v>4</v>
      </c>
      <c r="I4">
        <v>14</v>
      </c>
      <c r="J4">
        <v>86</v>
      </c>
      <c r="L4">
        <v>82</v>
      </c>
      <c r="M4">
        <v>18</v>
      </c>
      <c r="N4">
        <v>39</v>
      </c>
      <c r="O4">
        <v>61</v>
      </c>
      <c r="Q4">
        <f>AVERAGE(C4,D4)</f>
        <v>21</v>
      </c>
      <c r="R4">
        <f>AVERAGE(H4,I4)</f>
        <v>9</v>
      </c>
      <c r="S4">
        <f>AVERAGE(M4,N4)</f>
        <v>28.5</v>
      </c>
      <c r="T4">
        <f>AVERAGE(Q4:S4)</f>
        <v>19.5</v>
      </c>
      <c r="U4">
        <f>AVERAGE(Q4:Q11)</f>
        <v>19.5625</v>
      </c>
      <c r="V4">
        <f>_xlfn.STDEV.S(Q4:Q11)</f>
        <v>3.2997564845216774</v>
      </c>
      <c r="W4">
        <f>AVERAGE(R4:R11)</f>
        <v>8.8125</v>
      </c>
      <c r="X4">
        <f>_xlfn.STDEV.S(R4:R11)</f>
        <v>2.0863074009907003</v>
      </c>
      <c r="Y4">
        <f>AVERAGE(S4:S11)</f>
        <v>27.4375</v>
      </c>
      <c r="Z4">
        <f>_xlfn.STDEV.S(S4:S11)</f>
        <v>1.2374368670764582</v>
      </c>
      <c r="AA4">
        <f>AVERAGE(T4:T11)</f>
        <v>18.604166666666668</v>
      </c>
      <c r="AB4">
        <f>_xlfn.STDEV.S(T4:T11)</f>
        <v>1.4473223771821069</v>
      </c>
      <c r="AC4">
        <f>MIN(Q4:S4)</f>
        <v>9</v>
      </c>
      <c r="AD4">
        <f>(T4-AC4)</f>
        <v>10.5</v>
      </c>
      <c r="AE4">
        <f>AVERAGE(AD4:AD11)</f>
        <v>9.7916666666666661</v>
      </c>
      <c r="AF4">
        <f>_xlfn.STDEV.S(AD4:AD11)</f>
        <v>1.6250763107845259</v>
      </c>
    </row>
    <row r="5" spans="1:32" x14ac:dyDescent="0.3">
      <c r="B5">
        <v>79</v>
      </c>
      <c r="C5">
        <v>21</v>
      </c>
      <c r="D5">
        <v>12</v>
      </c>
      <c r="E5">
        <v>88</v>
      </c>
      <c r="G5">
        <v>90</v>
      </c>
      <c r="H5">
        <v>10</v>
      </c>
      <c r="I5">
        <v>13</v>
      </c>
      <c r="J5">
        <v>87</v>
      </c>
      <c r="L5">
        <v>79</v>
      </c>
      <c r="M5">
        <v>21</v>
      </c>
      <c r="N5">
        <v>35</v>
      </c>
      <c r="O5">
        <v>65</v>
      </c>
      <c r="Q5">
        <f t="shared" ref="Q5" si="0">AVERAGE(C5,D5)</f>
        <v>16.5</v>
      </c>
      <c r="R5">
        <f t="shared" ref="R5" si="1">AVERAGE(H5,I5)</f>
        <v>11.5</v>
      </c>
      <c r="S5">
        <f t="shared" ref="S5" si="2">AVERAGE(M5,N5)</f>
        <v>28</v>
      </c>
      <c r="T5">
        <f t="shared" ref="T5" si="3">AVERAGE(Q5:S5)</f>
        <v>18.666666666666668</v>
      </c>
      <c r="AC5">
        <f t="shared" ref="AC5" si="4">MIN(Q5:S5)</f>
        <v>11.5</v>
      </c>
      <c r="AD5">
        <f t="shared" ref="AD5:AD11" si="5">(T5-AC5)</f>
        <v>7.1666666666666679</v>
      </c>
    </row>
    <row r="6" spans="1:32" x14ac:dyDescent="0.3">
      <c r="B6">
        <v>67</v>
      </c>
      <c r="C6">
        <v>33</v>
      </c>
      <c r="D6">
        <v>12</v>
      </c>
      <c r="E6">
        <v>88</v>
      </c>
      <c r="G6">
        <v>92</v>
      </c>
      <c r="H6">
        <v>8</v>
      </c>
      <c r="I6">
        <v>6</v>
      </c>
      <c r="J6">
        <v>94</v>
      </c>
      <c r="L6">
        <v>70</v>
      </c>
      <c r="M6">
        <v>30</v>
      </c>
      <c r="N6">
        <v>23</v>
      </c>
      <c r="O6">
        <v>77</v>
      </c>
      <c r="Q6">
        <f t="shared" ref="Q6:Q11" si="6">AVERAGE(C6,D6)</f>
        <v>22.5</v>
      </c>
      <c r="R6">
        <f t="shared" ref="R6:R11" si="7">AVERAGE(H6,I6)</f>
        <v>7</v>
      </c>
      <c r="S6">
        <f t="shared" ref="S6:S11" si="8">AVERAGE(M6,N6)</f>
        <v>26.5</v>
      </c>
      <c r="T6">
        <f t="shared" ref="T6:T11" si="9">AVERAGE(Q6:S6)</f>
        <v>18.666666666666668</v>
      </c>
      <c r="AC6">
        <f t="shared" ref="AC6:AC11" si="10">MIN(Q6:S6)</f>
        <v>7</v>
      </c>
      <c r="AD6">
        <f t="shared" si="5"/>
        <v>11.666666666666668</v>
      </c>
    </row>
    <row r="7" spans="1:32" x14ac:dyDescent="0.3">
      <c r="A7" t="s">
        <v>19</v>
      </c>
      <c r="B7">
        <v>75</v>
      </c>
      <c r="C7">
        <v>25</v>
      </c>
      <c r="D7">
        <v>17</v>
      </c>
      <c r="E7">
        <v>83</v>
      </c>
      <c r="G7">
        <v>95</v>
      </c>
      <c r="H7">
        <v>5</v>
      </c>
      <c r="I7">
        <v>10</v>
      </c>
      <c r="J7">
        <v>90</v>
      </c>
      <c r="L7">
        <v>86</v>
      </c>
      <c r="M7">
        <v>14</v>
      </c>
      <c r="N7">
        <v>40</v>
      </c>
      <c r="O7">
        <v>60</v>
      </c>
      <c r="Q7">
        <f t="shared" si="6"/>
        <v>21</v>
      </c>
      <c r="R7">
        <f t="shared" si="7"/>
        <v>7.5</v>
      </c>
      <c r="S7">
        <f t="shared" si="8"/>
        <v>27</v>
      </c>
      <c r="T7">
        <f t="shared" si="9"/>
        <v>18.5</v>
      </c>
      <c r="AC7">
        <f t="shared" si="10"/>
        <v>7.5</v>
      </c>
      <c r="AD7">
        <f t="shared" si="5"/>
        <v>11</v>
      </c>
    </row>
    <row r="8" spans="1:32" x14ac:dyDescent="0.3">
      <c r="B8">
        <v>82</v>
      </c>
      <c r="C8">
        <v>18</v>
      </c>
      <c r="D8">
        <v>14</v>
      </c>
      <c r="E8">
        <v>86</v>
      </c>
      <c r="G8">
        <v>97</v>
      </c>
      <c r="H8">
        <v>3</v>
      </c>
      <c r="I8">
        <v>9</v>
      </c>
      <c r="J8">
        <v>91</v>
      </c>
      <c r="L8">
        <v>83</v>
      </c>
      <c r="M8">
        <v>17</v>
      </c>
      <c r="N8">
        <v>42</v>
      </c>
      <c r="O8">
        <v>58</v>
      </c>
      <c r="Q8">
        <f t="shared" si="6"/>
        <v>16</v>
      </c>
      <c r="R8">
        <f t="shared" si="7"/>
        <v>6</v>
      </c>
      <c r="S8">
        <f t="shared" si="8"/>
        <v>29.5</v>
      </c>
      <c r="T8">
        <f t="shared" si="9"/>
        <v>17.166666666666668</v>
      </c>
      <c r="AC8">
        <f t="shared" si="10"/>
        <v>6</v>
      </c>
      <c r="AD8">
        <f t="shared" si="5"/>
        <v>11.166666666666668</v>
      </c>
    </row>
    <row r="9" spans="1:32" x14ac:dyDescent="0.3">
      <c r="B9">
        <v>89</v>
      </c>
      <c r="C9">
        <v>11</v>
      </c>
      <c r="D9">
        <v>19</v>
      </c>
      <c r="E9">
        <v>81</v>
      </c>
      <c r="G9">
        <v>97</v>
      </c>
      <c r="H9">
        <v>3</v>
      </c>
      <c r="I9">
        <v>14</v>
      </c>
      <c r="J9">
        <v>86</v>
      </c>
      <c r="L9">
        <v>91</v>
      </c>
      <c r="M9">
        <v>9</v>
      </c>
      <c r="N9">
        <v>42</v>
      </c>
      <c r="O9">
        <v>58</v>
      </c>
      <c r="Q9">
        <f t="shared" si="6"/>
        <v>15</v>
      </c>
      <c r="R9">
        <f t="shared" si="7"/>
        <v>8.5</v>
      </c>
      <c r="S9">
        <f t="shared" si="8"/>
        <v>25.5</v>
      </c>
      <c r="T9">
        <f t="shared" si="9"/>
        <v>16.333333333333332</v>
      </c>
      <c r="AC9">
        <f t="shared" si="10"/>
        <v>8.5</v>
      </c>
      <c r="AD9">
        <f t="shared" si="5"/>
        <v>7.8333333333333321</v>
      </c>
    </row>
    <row r="10" spans="1:32" x14ac:dyDescent="0.3">
      <c r="B10">
        <v>67</v>
      </c>
      <c r="C10">
        <v>33</v>
      </c>
      <c r="D10">
        <v>15</v>
      </c>
      <c r="E10">
        <v>85</v>
      </c>
      <c r="G10">
        <v>93</v>
      </c>
      <c r="H10">
        <v>7</v>
      </c>
      <c r="I10">
        <v>17</v>
      </c>
      <c r="J10">
        <v>83</v>
      </c>
      <c r="L10">
        <v>81</v>
      </c>
      <c r="M10">
        <v>19</v>
      </c>
      <c r="N10">
        <v>36</v>
      </c>
      <c r="O10">
        <v>64</v>
      </c>
      <c r="Q10">
        <f t="shared" si="6"/>
        <v>24</v>
      </c>
      <c r="R10">
        <f t="shared" si="7"/>
        <v>12</v>
      </c>
      <c r="S10">
        <f t="shared" si="8"/>
        <v>27.5</v>
      </c>
      <c r="T10">
        <f t="shared" si="9"/>
        <v>21.166666666666668</v>
      </c>
      <c r="AC10">
        <f t="shared" si="10"/>
        <v>12</v>
      </c>
      <c r="AD10">
        <f t="shared" si="5"/>
        <v>9.1666666666666679</v>
      </c>
    </row>
    <row r="11" spans="1:32" x14ac:dyDescent="0.3">
      <c r="B11">
        <v>69</v>
      </c>
      <c r="C11">
        <v>31</v>
      </c>
      <c r="D11">
        <v>10</v>
      </c>
      <c r="E11">
        <v>90</v>
      </c>
      <c r="G11">
        <v>92</v>
      </c>
      <c r="H11">
        <v>8</v>
      </c>
      <c r="I11">
        <v>10</v>
      </c>
      <c r="J11">
        <v>90</v>
      </c>
      <c r="L11">
        <v>79</v>
      </c>
      <c r="M11">
        <v>21</v>
      </c>
      <c r="N11">
        <v>33</v>
      </c>
      <c r="O11">
        <v>67</v>
      </c>
      <c r="Q11">
        <f t="shared" si="6"/>
        <v>20.5</v>
      </c>
      <c r="R11">
        <f t="shared" si="7"/>
        <v>9</v>
      </c>
      <c r="S11">
        <f t="shared" si="8"/>
        <v>27</v>
      </c>
      <c r="T11">
        <f t="shared" si="9"/>
        <v>18.833333333333332</v>
      </c>
      <c r="AC11">
        <f t="shared" si="10"/>
        <v>9</v>
      </c>
      <c r="AD11">
        <f t="shared" si="5"/>
        <v>9.8333333333333321</v>
      </c>
    </row>
    <row r="13" spans="1:32" x14ac:dyDescent="0.3">
      <c r="B13">
        <v>79</v>
      </c>
      <c r="C13">
        <v>21</v>
      </c>
      <c r="D13">
        <v>20</v>
      </c>
      <c r="E13">
        <v>80</v>
      </c>
      <c r="G13">
        <v>94</v>
      </c>
      <c r="H13">
        <v>6</v>
      </c>
      <c r="I13">
        <v>18</v>
      </c>
      <c r="J13">
        <v>82</v>
      </c>
      <c r="L13">
        <v>81</v>
      </c>
      <c r="M13">
        <v>19</v>
      </c>
      <c r="N13">
        <v>35</v>
      </c>
      <c r="O13">
        <v>65</v>
      </c>
      <c r="Q13">
        <f t="shared" ref="Q13:Q16" si="11">AVERAGE(C13,D13)</f>
        <v>20.5</v>
      </c>
      <c r="R13">
        <f t="shared" ref="R13:R16" si="12">AVERAGE(H13,I13)</f>
        <v>12</v>
      </c>
      <c r="S13">
        <f t="shared" ref="S13:S16" si="13">AVERAGE(M13,N13)</f>
        <v>27</v>
      </c>
      <c r="T13">
        <f t="shared" ref="T13:T16" si="14">AVERAGE(Q13:S13)</f>
        <v>19.833333333333332</v>
      </c>
      <c r="U13">
        <f>AVERAGE(Q13:Q22)</f>
        <v>18.600000000000001</v>
      </c>
      <c r="V13">
        <f>_xlfn.STDEV.S(Q13:Q22)</f>
        <v>1.5572411502397436</v>
      </c>
      <c r="W13">
        <f>AVERAGE(R13:R22)</f>
        <v>10.6</v>
      </c>
      <c r="X13">
        <f>_xlfn.STDEV.S(R13:R22)</f>
        <v>1.9811612756158978</v>
      </c>
      <c r="Y13">
        <f>AVERAGE(S13:S22)</f>
        <v>27.3</v>
      </c>
      <c r="Z13">
        <f>_xlfn.STDEV.S(S13:S22)</f>
        <v>1.7175564037317668</v>
      </c>
      <c r="AA13">
        <f>AVERAGE(T13:T22)</f>
        <v>18.833333333333332</v>
      </c>
      <c r="AB13">
        <f>_xlfn.STDEV.S(T13:T22)</f>
        <v>0.97894501037256099</v>
      </c>
      <c r="AC13">
        <f t="shared" ref="AC13:AC16" si="15">MIN(Q13:S13)</f>
        <v>12</v>
      </c>
      <c r="AD13">
        <f t="shared" ref="AD13:AD16" si="16">(T13-AC13)</f>
        <v>7.8333333333333321</v>
      </c>
      <c r="AE13">
        <f>AVERAGE(AD13:AD22)</f>
        <v>8.2333333333333325</v>
      </c>
      <c r="AF13">
        <f>_xlfn.STDEV.S(AD13:AD22)</f>
        <v>1.0448285345771593</v>
      </c>
    </row>
    <row r="14" spans="1:32" x14ac:dyDescent="0.3">
      <c r="B14">
        <v>78</v>
      </c>
      <c r="C14">
        <v>22</v>
      </c>
      <c r="D14">
        <v>13</v>
      </c>
      <c r="E14">
        <v>87</v>
      </c>
      <c r="G14">
        <v>96</v>
      </c>
      <c r="H14">
        <v>4</v>
      </c>
      <c r="I14">
        <v>16</v>
      </c>
      <c r="J14">
        <v>84</v>
      </c>
      <c r="L14">
        <v>93</v>
      </c>
      <c r="M14">
        <v>7</v>
      </c>
      <c r="N14">
        <v>49</v>
      </c>
      <c r="O14">
        <v>51</v>
      </c>
      <c r="Q14">
        <f t="shared" si="11"/>
        <v>17.5</v>
      </c>
      <c r="R14">
        <f t="shared" si="12"/>
        <v>10</v>
      </c>
      <c r="S14">
        <f t="shared" si="13"/>
        <v>28</v>
      </c>
      <c r="T14">
        <f t="shared" si="14"/>
        <v>18.5</v>
      </c>
      <c r="AC14">
        <f t="shared" si="15"/>
        <v>10</v>
      </c>
      <c r="AD14">
        <f t="shared" si="16"/>
        <v>8.5</v>
      </c>
    </row>
    <row r="15" spans="1:32" x14ac:dyDescent="0.3">
      <c r="B15">
        <v>69</v>
      </c>
      <c r="C15">
        <v>31</v>
      </c>
      <c r="D15">
        <v>9</v>
      </c>
      <c r="E15">
        <v>91</v>
      </c>
      <c r="G15">
        <v>94</v>
      </c>
      <c r="H15">
        <v>6</v>
      </c>
      <c r="I15">
        <v>9</v>
      </c>
      <c r="J15">
        <v>91</v>
      </c>
      <c r="L15">
        <v>80</v>
      </c>
      <c r="M15">
        <v>20</v>
      </c>
      <c r="N15">
        <v>29</v>
      </c>
      <c r="O15">
        <v>71</v>
      </c>
      <c r="Q15">
        <f t="shared" si="11"/>
        <v>20</v>
      </c>
      <c r="R15">
        <f t="shared" si="12"/>
        <v>7.5</v>
      </c>
      <c r="S15">
        <f t="shared" si="13"/>
        <v>24.5</v>
      </c>
      <c r="T15">
        <f t="shared" si="14"/>
        <v>17.333333333333332</v>
      </c>
      <c r="AC15">
        <f t="shared" si="15"/>
        <v>7.5</v>
      </c>
      <c r="AD15">
        <f t="shared" si="16"/>
        <v>9.8333333333333321</v>
      </c>
    </row>
    <row r="16" spans="1:32" x14ac:dyDescent="0.3">
      <c r="B16">
        <v>83</v>
      </c>
      <c r="C16">
        <v>17</v>
      </c>
      <c r="D16">
        <v>17</v>
      </c>
      <c r="E16">
        <v>83</v>
      </c>
      <c r="G16">
        <v>89</v>
      </c>
      <c r="H16">
        <v>11</v>
      </c>
      <c r="I16">
        <v>14</v>
      </c>
      <c r="J16">
        <v>86</v>
      </c>
      <c r="L16">
        <v>93</v>
      </c>
      <c r="M16">
        <v>7</v>
      </c>
      <c r="N16">
        <v>51</v>
      </c>
      <c r="O16">
        <v>49</v>
      </c>
      <c r="Q16">
        <f t="shared" si="11"/>
        <v>17</v>
      </c>
      <c r="R16">
        <f t="shared" si="12"/>
        <v>12.5</v>
      </c>
      <c r="S16">
        <f t="shared" si="13"/>
        <v>29</v>
      </c>
      <c r="T16">
        <f t="shared" si="14"/>
        <v>19.5</v>
      </c>
      <c r="AC16">
        <f t="shared" si="15"/>
        <v>12.5</v>
      </c>
      <c r="AD16">
        <f t="shared" si="16"/>
        <v>7</v>
      </c>
    </row>
    <row r="21" spans="1:32" x14ac:dyDescent="0.3">
      <c r="A21" t="s">
        <v>34</v>
      </c>
    </row>
    <row r="22" spans="1:32" x14ac:dyDescent="0.3">
      <c r="B22">
        <v>88</v>
      </c>
      <c r="C22">
        <v>12</v>
      </c>
      <c r="D22">
        <v>24</v>
      </c>
      <c r="E22">
        <v>76</v>
      </c>
      <c r="G22">
        <v>97</v>
      </c>
      <c r="H22">
        <v>3</v>
      </c>
      <c r="I22">
        <v>19</v>
      </c>
      <c r="J22">
        <v>81</v>
      </c>
      <c r="L22">
        <v>80</v>
      </c>
      <c r="M22">
        <v>20</v>
      </c>
      <c r="N22">
        <v>36</v>
      </c>
      <c r="O22">
        <v>64</v>
      </c>
      <c r="Q22">
        <f>AVERAGE(C22,D22)</f>
        <v>18</v>
      </c>
      <c r="R22">
        <f>AVERAGE(H22,I22)</f>
        <v>11</v>
      </c>
      <c r="S22">
        <f>AVERAGE(M22,N22)</f>
        <v>28</v>
      </c>
      <c r="T22">
        <f>AVERAGE(Q22:S22)</f>
        <v>19</v>
      </c>
      <c r="U22">
        <f>AVERAGE(Q22:Q31)</f>
        <v>20.833333333333332</v>
      </c>
      <c r="V22">
        <f>_xlfn.STDEV.S(Q22:Q31)</f>
        <v>3.0138568866708604</v>
      </c>
      <c r="W22">
        <f>AVERAGE(R22:R31)</f>
        <v>9.6666666666666661</v>
      </c>
      <c r="X22">
        <f>_xlfn.STDEV.S(R22:R31)</f>
        <v>1.5275252316519499</v>
      </c>
      <c r="Y22">
        <f>AVERAGE(S22:S31)</f>
        <v>30.666666666666668</v>
      </c>
      <c r="Z22">
        <f>_xlfn.STDEV.S(S22:S31)</f>
        <v>3.0550504633038935</v>
      </c>
      <c r="AA22">
        <f>AVERAGE(T22:T31)</f>
        <v>20.388888888888889</v>
      </c>
      <c r="AB22">
        <f>_xlfn.STDEV.S(T22:T31)</f>
        <v>1.9883922409081429</v>
      </c>
      <c r="AC22">
        <f>MIN(Q22:S22)</f>
        <v>11</v>
      </c>
      <c r="AD22">
        <f>(T22-AC22)</f>
        <v>8</v>
      </c>
      <c r="AE22">
        <f>AVERAGE(AD22:AD31)</f>
        <v>10.722222222222223</v>
      </c>
      <c r="AF22">
        <f>_xlfn.STDEV.S(AD22:AD31)</f>
        <v>2.4286103327104773</v>
      </c>
    </row>
    <row r="23" spans="1:32" x14ac:dyDescent="0.3">
      <c r="B23">
        <v>74</v>
      </c>
      <c r="C23">
        <v>26</v>
      </c>
      <c r="D23">
        <v>15</v>
      </c>
      <c r="E23">
        <v>85</v>
      </c>
      <c r="G23">
        <v>96</v>
      </c>
      <c r="H23">
        <v>4</v>
      </c>
      <c r="I23">
        <v>12</v>
      </c>
      <c r="J23">
        <v>88</v>
      </c>
      <c r="L23">
        <v>84</v>
      </c>
      <c r="M23">
        <v>16</v>
      </c>
      <c r="N23">
        <v>44</v>
      </c>
      <c r="O23">
        <v>56</v>
      </c>
      <c r="Q23">
        <f>AVERAGE(C23,D23)</f>
        <v>20.5</v>
      </c>
      <c r="R23">
        <f>AVERAGE(H23,I23)</f>
        <v>8</v>
      </c>
      <c r="S23">
        <f>AVERAGE(M23,N23)</f>
        <v>30</v>
      </c>
      <c r="T23">
        <f>AVERAGE(Q23:S23)</f>
        <v>19.5</v>
      </c>
      <c r="AC23">
        <f>MIN(Q23:S23)</f>
        <v>8</v>
      </c>
      <c r="AD23">
        <f>(T23-AC23)</f>
        <v>11.5</v>
      </c>
    </row>
    <row r="24" spans="1:32" x14ac:dyDescent="0.3">
      <c r="B24">
        <v>69</v>
      </c>
      <c r="C24">
        <v>31</v>
      </c>
      <c r="D24">
        <v>17</v>
      </c>
      <c r="E24">
        <v>83</v>
      </c>
      <c r="G24">
        <v>93</v>
      </c>
      <c r="H24">
        <v>7</v>
      </c>
      <c r="I24">
        <v>13</v>
      </c>
      <c r="J24">
        <v>87</v>
      </c>
      <c r="L24">
        <v>71</v>
      </c>
      <c r="M24">
        <v>29</v>
      </c>
      <c r="N24">
        <v>39</v>
      </c>
      <c r="O24">
        <v>61</v>
      </c>
      <c r="Q24">
        <f>AVERAGE(C24,D24)</f>
        <v>24</v>
      </c>
      <c r="R24">
        <f>AVERAGE(H24,I24)</f>
        <v>10</v>
      </c>
      <c r="S24">
        <f>AVERAGE(M24,N24)</f>
        <v>34</v>
      </c>
      <c r="T24">
        <f>AVERAGE(Q24:S24)</f>
        <v>22.666666666666668</v>
      </c>
      <c r="AC24">
        <f>MIN(Q24:S24)</f>
        <v>10</v>
      </c>
      <c r="AD24">
        <f>(T24-AC24)</f>
        <v>12.666666666666668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43B137-6F6F-47C7-80DB-2FF2B4BCD957}">
  <dimension ref="A2:AF5"/>
  <sheetViews>
    <sheetView workbookViewId="0">
      <selection activeCell="B4" sqref="B4:O5"/>
    </sheetView>
  </sheetViews>
  <sheetFormatPr defaultRowHeight="14.4" x14ac:dyDescent="0.3"/>
  <sheetData>
    <row r="2" spans="1:32" x14ac:dyDescent="0.3">
      <c r="Q2" t="s">
        <v>9</v>
      </c>
      <c r="R2" t="s">
        <v>10</v>
      </c>
      <c r="S2" t="s">
        <v>11</v>
      </c>
      <c r="T2" t="s">
        <v>13</v>
      </c>
      <c r="U2" t="s">
        <v>26</v>
      </c>
      <c r="V2" t="s">
        <v>21</v>
      </c>
      <c r="W2" t="s">
        <v>27</v>
      </c>
      <c r="X2" t="s">
        <v>22</v>
      </c>
      <c r="Y2" t="s">
        <v>28</v>
      </c>
      <c r="Z2" t="s">
        <v>23</v>
      </c>
      <c r="AA2" t="s">
        <v>0</v>
      </c>
      <c r="AB2" t="s">
        <v>14</v>
      </c>
      <c r="AC2" t="s">
        <v>15</v>
      </c>
      <c r="AD2" t="s">
        <v>12</v>
      </c>
      <c r="AE2" t="s">
        <v>16</v>
      </c>
      <c r="AF2" t="s">
        <v>17</v>
      </c>
    </row>
    <row r="3" spans="1:32" x14ac:dyDescent="0.3">
      <c r="A3" t="s">
        <v>19</v>
      </c>
      <c r="F3" t="s">
        <v>30</v>
      </c>
      <c r="K3" t="s">
        <v>20</v>
      </c>
    </row>
    <row r="4" spans="1:32" x14ac:dyDescent="0.3">
      <c r="Q4" t="e">
        <f>AVERAGE(D4,C4)</f>
        <v>#DIV/0!</v>
      </c>
      <c r="R4" t="e">
        <f>AVERAGE(H4,I4)</f>
        <v>#DIV/0!</v>
      </c>
      <c r="S4" t="e">
        <f>AVERAGE(M4,N4)</f>
        <v>#DIV/0!</v>
      </c>
      <c r="T4" t="e">
        <f>AVERAGE(Q4:S4)</f>
        <v>#DIV/0!</v>
      </c>
      <c r="U4" t="e">
        <f>AVERAGE(Q4,Q5)</f>
        <v>#DIV/0!</v>
      </c>
      <c r="V4" t="e">
        <f>_xlfn.STDEV.S(Q4,Q5)</f>
        <v>#DIV/0!</v>
      </c>
      <c r="W4" t="e">
        <f>AVERAGE(R4,R5)</f>
        <v>#DIV/0!</v>
      </c>
      <c r="X4" t="e">
        <f>_xlfn.STDEV.S(R4,R5)</f>
        <v>#DIV/0!</v>
      </c>
      <c r="Y4" t="e">
        <f>AVERAGE(S4,S5)</f>
        <v>#DIV/0!</v>
      </c>
      <c r="Z4" t="e">
        <f>_xlfn.STDEV.S(S4,S5)</f>
        <v>#DIV/0!</v>
      </c>
      <c r="AA4" t="e">
        <f>AVERAGE(T4,T5)</f>
        <v>#DIV/0!</v>
      </c>
      <c r="AB4" t="e">
        <f>_xlfn.STDEV.S(T4,T5)</f>
        <v>#DIV/0!</v>
      </c>
      <c r="AC4" t="e">
        <f>MIN(Q4:S4)</f>
        <v>#DIV/0!</v>
      </c>
      <c r="AD4" t="e">
        <f>(1/3)*(T4-AC4)</f>
        <v>#DIV/0!</v>
      </c>
      <c r="AE4" t="e">
        <f>AVERAGE(AD4,AD5)</f>
        <v>#DIV/0!</v>
      </c>
      <c r="AF4" t="e">
        <f>_xlfn.STDEV.S(AD5,AD4)</f>
        <v>#DIV/0!</v>
      </c>
    </row>
    <row r="5" spans="1:32" x14ac:dyDescent="0.3">
      <c r="Q5" t="e">
        <f t="shared" ref="Q5" si="0">AVERAGE(D5,C5)</f>
        <v>#DIV/0!</v>
      </c>
      <c r="R5" t="e">
        <f t="shared" ref="R5" si="1">AVERAGE(H5,I5)</f>
        <v>#DIV/0!</v>
      </c>
      <c r="S5" t="e">
        <f t="shared" ref="S5" si="2">AVERAGE(M5,N5)</f>
        <v>#DIV/0!</v>
      </c>
      <c r="T5" t="e">
        <f t="shared" ref="T5" si="3">AVERAGE(Q5:S5)</f>
        <v>#DIV/0!</v>
      </c>
      <c r="AC5" t="e">
        <f t="shared" ref="AC5" si="4">MIN(Q5:S5)</f>
        <v>#DIV/0!</v>
      </c>
      <c r="AD5" t="e">
        <f t="shared" ref="AD5" si="5">(1/3)*(T5-AC5)</f>
        <v>#DIV/0!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66D673-4552-407C-AD95-3B60150A1024}">
  <dimension ref="A2:AF8"/>
  <sheetViews>
    <sheetView topLeftCell="K1" workbookViewId="0">
      <selection activeCell="AF4" activeCellId="2" sqref="U4:AB4 AE4 AF4"/>
    </sheetView>
  </sheetViews>
  <sheetFormatPr defaultRowHeight="14.4" x14ac:dyDescent="0.3"/>
  <sheetData>
    <row r="2" spans="1:32" x14ac:dyDescent="0.3">
      <c r="A2" t="s">
        <v>25</v>
      </c>
      <c r="Q2" t="s">
        <v>9</v>
      </c>
      <c r="R2" t="s">
        <v>10</v>
      </c>
      <c r="S2" t="s">
        <v>11</v>
      </c>
      <c r="T2" t="s">
        <v>13</v>
      </c>
      <c r="U2" t="s">
        <v>26</v>
      </c>
      <c r="V2" t="s">
        <v>21</v>
      </c>
      <c r="W2" t="s">
        <v>27</v>
      </c>
      <c r="X2" t="s">
        <v>22</v>
      </c>
      <c r="Y2" t="s">
        <v>28</v>
      </c>
      <c r="Z2" t="s">
        <v>23</v>
      </c>
      <c r="AA2" t="s">
        <v>0</v>
      </c>
      <c r="AB2" t="s">
        <v>14</v>
      </c>
      <c r="AC2" t="s">
        <v>15</v>
      </c>
      <c r="AD2" t="s">
        <v>12</v>
      </c>
      <c r="AE2" t="s">
        <v>16</v>
      </c>
      <c r="AF2" t="s">
        <v>17</v>
      </c>
    </row>
    <row r="3" spans="1:32" x14ac:dyDescent="0.3">
      <c r="A3" t="s">
        <v>19</v>
      </c>
      <c r="F3" t="s">
        <v>30</v>
      </c>
      <c r="K3" t="s">
        <v>20</v>
      </c>
    </row>
    <row r="4" spans="1:32" x14ac:dyDescent="0.3">
      <c r="B4">
        <v>75</v>
      </c>
      <c r="C4">
        <v>25</v>
      </c>
      <c r="D4">
        <v>15</v>
      </c>
      <c r="E4">
        <v>85</v>
      </c>
      <c r="G4">
        <v>87</v>
      </c>
      <c r="H4">
        <v>13</v>
      </c>
      <c r="I4">
        <v>11</v>
      </c>
      <c r="J4">
        <v>89</v>
      </c>
      <c r="L4">
        <v>83</v>
      </c>
      <c r="M4">
        <v>17</v>
      </c>
      <c r="N4">
        <v>29</v>
      </c>
      <c r="O4">
        <v>71</v>
      </c>
      <c r="Q4">
        <f>AVERAGE(C4:D4)</f>
        <v>20</v>
      </c>
      <c r="R4">
        <f>AVERAGE(H4:I4)</f>
        <v>12</v>
      </c>
      <c r="S4">
        <f>AVERAGE(M4:N4)</f>
        <v>23</v>
      </c>
      <c r="T4">
        <f>AVERAGE(Q4:S4)</f>
        <v>18.333333333333332</v>
      </c>
      <c r="U4">
        <f>AVERAGE(Q4:Q8)</f>
        <v>21.1</v>
      </c>
      <c r="V4">
        <f>_xlfn.STDEV.S(Q4:Q8)</f>
        <v>3.8307962618755846</v>
      </c>
      <c r="W4">
        <f>AVERAGE(R4:R8)</f>
        <v>11.9</v>
      </c>
      <c r="X4">
        <f>_xlfn.STDEV.S(R4:R8)</f>
        <v>3.7316216314090598</v>
      </c>
      <c r="Y4">
        <f>AVERAGE(S4:S8)</f>
        <v>24.4</v>
      </c>
      <c r="Z4">
        <f>_xlfn.STDEV.S(S4:S8)</f>
        <v>3.2093613071762355</v>
      </c>
      <c r="AA4">
        <f>AVERAGE(T4:T8)</f>
        <v>19.133333333333333</v>
      </c>
      <c r="AB4">
        <f>_xlfn.STDEV.S(T4:T8)</f>
        <v>1.8234582528810472</v>
      </c>
      <c r="AC4">
        <f>MIN(Q4:S4)</f>
        <v>12</v>
      </c>
      <c r="AD4">
        <f>T4-AC4</f>
        <v>6.3333333333333321</v>
      </c>
      <c r="AE4">
        <f>AVERAGE(AD4:AD8)</f>
        <v>7.2333333333333343</v>
      </c>
      <c r="AF4">
        <f>_xlfn.STDEV.S(AD4:AD8)</f>
        <v>3.1898275815473136</v>
      </c>
    </row>
    <row r="5" spans="1:32" x14ac:dyDescent="0.3">
      <c r="B5">
        <v>77</v>
      </c>
      <c r="C5">
        <v>23</v>
      </c>
      <c r="D5">
        <v>30</v>
      </c>
      <c r="E5">
        <v>70</v>
      </c>
      <c r="G5">
        <v>95</v>
      </c>
      <c r="H5">
        <v>5</v>
      </c>
      <c r="I5">
        <v>12</v>
      </c>
      <c r="J5">
        <v>88</v>
      </c>
      <c r="L5">
        <v>77</v>
      </c>
      <c r="M5">
        <v>23</v>
      </c>
      <c r="N5">
        <v>31</v>
      </c>
      <c r="O5">
        <v>69</v>
      </c>
      <c r="Q5">
        <f t="shared" ref="Q5:Q8" si="0">AVERAGE(C5:D5)</f>
        <v>26.5</v>
      </c>
      <c r="R5">
        <f t="shared" ref="R5:R8" si="1">AVERAGE(H5:I5)</f>
        <v>8.5</v>
      </c>
      <c r="S5">
        <f t="shared" ref="S5:S8" si="2">AVERAGE(M5:N5)</f>
        <v>27</v>
      </c>
      <c r="T5">
        <f t="shared" ref="T5:T8" si="3">AVERAGE(Q5:S5)</f>
        <v>20.666666666666668</v>
      </c>
      <c r="AC5">
        <f t="shared" ref="AC5:AC8" si="4">MIN(Q5:S5)</f>
        <v>8.5</v>
      </c>
      <c r="AD5">
        <f t="shared" ref="AD5:AD8" si="5">T5-AC5</f>
        <v>12.166666666666668</v>
      </c>
    </row>
    <row r="6" spans="1:32" x14ac:dyDescent="0.3">
      <c r="A6" t="s">
        <v>19</v>
      </c>
      <c r="B6">
        <v>74</v>
      </c>
      <c r="C6">
        <v>26</v>
      </c>
      <c r="D6">
        <v>10</v>
      </c>
      <c r="E6">
        <v>90</v>
      </c>
      <c r="G6">
        <v>87</v>
      </c>
      <c r="H6">
        <v>13</v>
      </c>
      <c r="I6">
        <v>22</v>
      </c>
      <c r="J6">
        <v>78</v>
      </c>
      <c r="L6">
        <v>81</v>
      </c>
      <c r="M6">
        <v>19</v>
      </c>
      <c r="N6">
        <v>37</v>
      </c>
      <c r="O6">
        <v>63</v>
      </c>
      <c r="Q6">
        <f t="shared" si="0"/>
        <v>18</v>
      </c>
      <c r="R6">
        <f t="shared" si="1"/>
        <v>17.5</v>
      </c>
      <c r="S6">
        <f t="shared" si="2"/>
        <v>28</v>
      </c>
      <c r="T6">
        <f t="shared" si="3"/>
        <v>21.166666666666668</v>
      </c>
      <c r="AC6">
        <f t="shared" si="4"/>
        <v>17.5</v>
      </c>
      <c r="AD6">
        <f t="shared" si="5"/>
        <v>3.6666666666666679</v>
      </c>
    </row>
    <row r="7" spans="1:32" x14ac:dyDescent="0.3">
      <c r="B7">
        <v>69</v>
      </c>
      <c r="C7">
        <v>31</v>
      </c>
      <c r="D7">
        <v>16</v>
      </c>
      <c r="E7">
        <v>84</v>
      </c>
      <c r="G7">
        <v>94</v>
      </c>
      <c r="H7">
        <v>6</v>
      </c>
      <c r="I7">
        <v>20</v>
      </c>
      <c r="J7">
        <v>80</v>
      </c>
      <c r="L7">
        <v>83</v>
      </c>
      <c r="M7">
        <v>17</v>
      </c>
      <c r="N7">
        <v>23</v>
      </c>
      <c r="O7">
        <v>77</v>
      </c>
      <c r="Q7">
        <f t="shared" si="0"/>
        <v>23.5</v>
      </c>
      <c r="R7">
        <f t="shared" si="1"/>
        <v>13</v>
      </c>
      <c r="S7">
        <f t="shared" si="2"/>
        <v>20</v>
      </c>
      <c r="T7">
        <f t="shared" si="3"/>
        <v>18.833333333333332</v>
      </c>
      <c r="AC7">
        <f t="shared" si="4"/>
        <v>13</v>
      </c>
      <c r="AD7">
        <f t="shared" si="5"/>
        <v>5.8333333333333321</v>
      </c>
    </row>
    <row r="8" spans="1:32" x14ac:dyDescent="0.3">
      <c r="B8">
        <v>71</v>
      </c>
      <c r="C8">
        <v>29</v>
      </c>
      <c r="D8">
        <v>6</v>
      </c>
      <c r="E8">
        <v>94</v>
      </c>
      <c r="G8">
        <v>94</v>
      </c>
      <c r="H8">
        <v>6</v>
      </c>
      <c r="I8">
        <v>11</v>
      </c>
      <c r="J8">
        <v>89</v>
      </c>
      <c r="L8">
        <v>90</v>
      </c>
      <c r="M8">
        <v>10</v>
      </c>
      <c r="N8">
        <v>38</v>
      </c>
      <c r="O8">
        <v>62</v>
      </c>
      <c r="Q8">
        <f t="shared" si="0"/>
        <v>17.5</v>
      </c>
      <c r="R8">
        <f t="shared" si="1"/>
        <v>8.5</v>
      </c>
      <c r="S8">
        <f t="shared" si="2"/>
        <v>24</v>
      </c>
      <c r="T8">
        <f t="shared" si="3"/>
        <v>16.666666666666668</v>
      </c>
      <c r="AC8">
        <f t="shared" si="4"/>
        <v>8.5</v>
      </c>
      <c r="AD8">
        <f t="shared" si="5"/>
        <v>8.1666666666666679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C9CF4A-6F3D-4BA0-B506-17E3C93FB04B}">
  <dimension ref="A2:AF9"/>
  <sheetViews>
    <sheetView topLeftCell="M1" workbookViewId="0">
      <selection activeCell="AF4" activeCellId="2" sqref="U4:AB4 AE4 AF4"/>
    </sheetView>
  </sheetViews>
  <sheetFormatPr defaultRowHeight="14.4" x14ac:dyDescent="0.3"/>
  <sheetData>
    <row r="2" spans="1:32" x14ac:dyDescent="0.3">
      <c r="A2" t="s">
        <v>25</v>
      </c>
      <c r="Q2" t="s">
        <v>9</v>
      </c>
      <c r="R2" t="s">
        <v>10</v>
      </c>
      <c r="S2" t="s">
        <v>11</v>
      </c>
      <c r="T2" t="s">
        <v>13</v>
      </c>
      <c r="U2" t="s">
        <v>26</v>
      </c>
      <c r="V2" t="s">
        <v>21</v>
      </c>
      <c r="W2" t="s">
        <v>27</v>
      </c>
      <c r="X2" t="s">
        <v>22</v>
      </c>
      <c r="Y2" t="s">
        <v>28</v>
      </c>
      <c r="Z2" t="s">
        <v>23</v>
      </c>
      <c r="AA2" t="s">
        <v>0</v>
      </c>
      <c r="AB2" t="s">
        <v>14</v>
      </c>
      <c r="AC2" t="s">
        <v>15</v>
      </c>
      <c r="AD2" t="s">
        <v>12</v>
      </c>
      <c r="AE2" t="s">
        <v>16</v>
      </c>
      <c r="AF2" t="s">
        <v>17</v>
      </c>
    </row>
    <row r="3" spans="1:32" x14ac:dyDescent="0.3">
      <c r="A3" t="s">
        <v>19</v>
      </c>
      <c r="F3" t="s">
        <v>30</v>
      </c>
      <c r="K3" t="s">
        <v>20</v>
      </c>
    </row>
    <row r="4" spans="1:32" x14ac:dyDescent="0.3">
      <c r="B4">
        <v>60</v>
      </c>
      <c r="C4">
        <v>40</v>
      </c>
      <c r="D4">
        <v>7</v>
      </c>
      <c r="E4">
        <v>93</v>
      </c>
      <c r="G4">
        <v>86</v>
      </c>
      <c r="H4">
        <v>14</v>
      </c>
      <c r="I4">
        <v>13</v>
      </c>
      <c r="J4">
        <v>87</v>
      </c>
      <c r="L4">
        <v>87</v>
      </c>
      <c r="M4">
        <v>13</v>
      </c>
      <c r="N4">
        <v>20</v>
      </c>
      <c r="O4">
        <v>80</v>
      </c>
      <c r="Q4">
        <f>AVERAGE(C4,D4)</f>
        <v>23.5</v>
      </c>
      <c r="R4">
        <f>AVERAGE(H4,I4)</f>
        <v>13.5</v>
      </c>
      <c r="S4">
        <f>AVERAGE(M4,N4)</f>
        <v>16.5</v>
      </c>
      <c r="T4">
        <f>AVERAGE(Q4:S4)</f>
        <v>17.833333333333332</v>
      </c>
      <c r="U4">
        <f>AVERAGE(Q4:Q9)</f>
        <v>19.583333333333332</v>
      </c>
      <c r="V4">
        <f>_xlfn.STDEV.S(Q4:Q9)</f>
        <v>2.3540744819709287</v>
      </c>
      <c r="W4">
        <f>AVERAGE(R4:R9)</f>
        <v>13.916666666666666</v>
      </c>
      <c r="X4">
        <f>_xlfn.STDEV.S(R4:R9)</f>
        <v>2.5380438661825075</v>
      </c>
      <c r="Y4">
        <f>AVERAGE(S4:S10)</f>
        <v>23</v>
      </c>
      <c r="Z4">
        <f>_xlfn.STDEV.S(S4:S9)</f>
        <v>5.196152422706632</v>
      </c>
      <c r="AA4">
        <f>AVERAGE(T4:T9)</f>
        <v>18.833333333333332</v>
      </c>
      <c r="AB4">
        <f>_xlfn.STDEV.S(T4:T9)</f>
        <v>1.8737959096740264</v>
      </c>
      <c r="AC4">
        <f>MIN(Q4:S4)</f>
        <v>13.5</v>
      </c>
      <c r="AD4">
        <f>T4-AC4</f>
        <v>4.3333333333333321</v>
      </c>
      <c r="AE4">
        <f>AVERAGE(AD4:AD9)</f>
        <v>4.916666666666667</v>
      </c>
      <c r="AF4">
        <f>_xlfn.STDEV.S(AD4:AD9)</f>
        <v>2.1337239225770932</v>
      </c>
    </row>
    <row r="5" spans="1:32" x14ac:dyDescent="0.3">
      <c r="B5">
        <v>73</v>
      </c>
      <c r="C5">
        <v>27</v>
      </c>
      <c r="D5">
        <v>15</v>
      </c>
      <c r="E5">
        <v>85</v>
      </c>
      <c r="G5">
        <v>84</v>
      </c>
      <c r="H5">
        <v>16</v>
      </c>
      <c r="I5">
        <v>18</v>
      </c>
      <c r="J5">
        <v>82</v>
      </c>
      <c r="L5">
        <v>78</v>
      </c>
      <c r="M5">
        <v>22</v>
      </c>
      <c r="N5">
        <v>23</v>
      </c>
      <c r="O5">
        <v>77</v>
      </c>
      <c r="Q5">
        <f t="shared" ref="Q5:Q9" si="0">AVERAGE(C5,D5)</f>
        <v>21</v>
      </c>
      <c r="R5">
        <f t="shared" ref="R5:R9" si="1">AVERAGE(H5,I5)</f>
        <v>17</v>
      </c>
      <c r="S5">
        <f t="shared" ref="S5:S9" si="2">AVERAGE(M5,N5)</f>
        <v>22.5</v>
      </c>
      <c r="T5">
        <f t="shared" ref="T5:T9" si="3">AVERAGE(Q5:S5)</f>
        <v>20.166666666666668</v>
      </c>
      <c r="AC5">
        <f t="shared" ref="AC5:AC9" si="4">MIN(Q5:S5)</f>
        <v>17</v>
      </c>
      <c r="AD5">
        <f t="shared" ref="AD5:AD9" si="5">T5-AC5</f>
        <v>3.1666666666666679</v>
      </c>
    </row>
    <row r="6" spans="1:32" x14ac:dyDescent="0.3">
      <c r="A6" t="s">
        <v>19</v>
      </c>
      <c r="B6">
        <v>67</v>
      </c>
      <c r="C6">
        <v>33</v>
      </c>
      <c r="D6">
        <v>6</v>
      </c>
      <c r="E6">
        <v>94</v>
      </c>
      <c r="G6">
        <v>91</v>
      </c>
      <c r="H6">
        <v>9</v>
      </c>
      <c r="I6">
        <v>10</v>
      </c>
      <c r="J6">
        <v>90</v>
      </c>
      <c r="L6">
        <v>80</v>
      </c>
      <c r="M6">
        <v>20</v>
      </c>
      <c r="N6">
        <v>30</v>
      </c>
      <c r="O6">
        <v>70</v>
      </c>
      <c r="Q6">
        <f t="shared" si="0"/>
        <v>19.5</v>
      </c>
      <c r="R6">
        <f t="shared" si="1"/>
        <v>9.5</v>
      </c>
      <c r="S6">
        <f t="shared" si="2"/>
        <v>25</v>
      </c>
      <c r="T6">
        <f t="shared" si="3"/>
        <v>18</v>
      </c>
      <c r="AC6">
        <f t="shared" si="4"/>
        <v>9.5</v>
      </c>
      <c r="AD6">
        <f t="shared" si="5"/>
        <v>8.5</v>
      </c>
    </row>
    <row r="7" spans="1:32" x14ac:dyDescent="0.3">
      <c r="B7">
        <v>71</v>
      </c>
      <c r="C7">
        <v>29</v>
      </c>
      <c r="D7">
        <v>8</v>
      </c>
      <c r="E7">
        <v>92</v>
      </c>
      <c r="G7">
        <v>85</v>
      </c>
      <c r="H7">
        <v>15</v>
      </c>
      <c r="I7">
        <v>14</v>
      </c>
      <c r="J7">
        <v>86</v>
      </c>
      <c r="L7">
        <v>72</v>
      </c>
      <c r="M7">
        <v>28</v>
      </c>
      <c r="N7">
        <v>26</v>
      </c>
      <c r="O7">
        <v>74</v>
      </c>
      <c r="Q7">
        <f t="shared" si="0"/>
        <v>18.5</v>
      </c>
      <c r="R7">
        <f t="shared" si="1"/>
        <v>14.5</v>
      </c>
      <c r="S7">
        <f t="shared" si="2"/>
        <v>27</v>
      </c>
      <c r="T7">
        <f t="shared" si="3"/>
        <v>20</v>
      </c>
      <c r="AC7">
        <f t="shared" si="4"/>
        <v>14.5</v>
      </c>
      <c r="AD7">
        <f t="shared" si="5"/>
        <v>5.5</v>
      </c>
    </row>
    <row r="8" spans="1:32" x14ac:dyDescent="0.3">
      <c r="B8">
        <v>82</v>
      </c>
      <c r="C8">
        <v>18</v>
      </c>
      <c r="D8">
        <v>18</v>
      </c>
      <c r="E8">
        <v>82</v>
      </c>
      <c r="G8">
        <v>81</v>
      </c>
      <c r="H8">
        <v>19</v>
      </c>
      <c r="I8">
        <v>12</v>
      </c>
      <c r="J8">
        <v>88</v>
      </c>
      <c r="L8">
        <v>79</v>
      </c>
      <c r="M8">
        <v>21</v>
      </c>
      <c r="N8">
        <v>38</v>
      </c>
      <c r="O8">
        <v>62</v>
      </c>
      <c r="Q8">
        <f t="shared" si="0"/>
        <v>18</v>
      </c>
      <c r="R8">
        <f t="shared" si="1"/>
        <v>15.5</v>
      </c>
      <c r="S8">
        <f t="shared" si="2"/>
        <v>29.5</v>
      </c>
      <c r="T8">
        <f t="shared" si="3"/>
        <v>21</v>
      </c>
      <c r="AC8">
        <f t="shared" si="4"/>
        <v>15.5</v>
      </c>
      <c r="AD8">
        <f t="shared" si="5"/>
        <v>5.5</v>
      </c>
    </row>
    <row r="9" spans="1:32" x14ac:dyDescent="0.3">
      <c r="B9">
        <v>76</v>
      </c>
      <c r="C9">
        <v>24</v>
      </c>
      <c r="D9">
        <v>10</v>
      </c>
      <c r="E9">
        <v>90</v>
      </c>
      <c r="G9">
        <v>86</v>
      </c>
      <c r="H9">
        <v>14</v>
      </c>
      <c r="I9">
        <v>13</v>
      </c>
      <c r="J9">
        <v>87</v>
      </c>
      <c r="L9">
        <v>85</v>
      </c>
      <c r="M9">
        <v>15</v>
      </c>
      <c r="N9">
        <v>20</v>
      </c>
      <c r="O9">
        <v>80</v>
      </c>
      <c r="Q9">
        <f t="shared" si="0"/>
        <v>17</v>
      </c>
      <c r="R9">
        <f t="shared" si="1"/>
        <v>13.5</v>
      </c>
      <c r="S9">
        <f t="shared" si="2"/>
        <v>17.5</v>
      </c>
      <c r="T9">
        <f t="shared" si="3"/>
        <v>16</v>
      </c>
      <c r="AC9">
        <f t="shared" si="4"/>
        <v>13.5</v>
      </c>
      <c r="AD9">
        <f t="shared" si="5"/>
        <v>2.5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FCA91D-5E11-4BE7-9F8B-616A902FA88F}">
  <dimension ref="A2:AF13"/>
  <sheetViews>
    <sheetView topLeftCell="M1" workbookViewId="0">
      <selection activeCell="AF12" activeCellId="2" sqref="U12:AB12 AE12 AF12"/>
    </sheetView>
  </sheetViews>
  <sheetFormatPr defaultRowHeight="14.4" x14ac:dyDescent="0.3"/>
  <sheetData>
    <row r="2" spans="1:32" x14ac:dyDescent="0.3">
      <c r="A2" t="s">
        <v>25</v>
      </c>
      <c r="Q2" t="s">
        <v>9</v>
      </c>
      <c r="R2" t="s">
        <v>10</v>
      </c>
      <c r="S2" t="s">
        <v>11</v>
      </c>
      <c r="T2" t="s">
        <v>13</v>
      </c>
      <c r="U2" t="s">
        <v>26</v>
      </c>
      <c r="V2" t="s">
        <v>21</v>
      </c>
      <c r="W2" t="s">
        <v>27</v>
      </c>
      <c r="X2" t="s">
        <v>22</v>
      </c>
      <c r="Y2" t="s">
        <v>28</v>
      </c>
      <c r="Z2" t="s">
        <v>23</v>
      </c>
      <c r="AA2" t="s">
        <v>0</v>
      </c>
      <c r="AB2" t="s">
        <v>14</v>
      </c>
      <c r="AC2" t="s">
        <v>15</v>
      </c>
      <c r="AD2" t="s">
        <v>12</v>
      </c>
      <c r="AE2" t="s">
        <v>16</v>
      </c>
      <c r="AF2" t="s">
        <v>17</v>
      </c>
    </row>
    <row r="3" spans="1:32" x14ac:dyDescent="0.3">
      <c r="A3" t="s">
        <v>19</v>
      </c>
      <c r="F3" t="s">
        <v>30</v>
      </c>
      <c r="K3" t="s">
        <v>20</v>
      </c>
    </row>
    <row r="4" spans="1:32" x14ac:dyDescent="0.3">
      <c r="B4">
        <v>82</v>
      </c>
      <c r="C4">
        <v>18</v>
      </c>
      <c r="D4">
        <v>12</v>
      </c>
      <c r="E4">
        <v>88</v>
      </c>
      <c r="G4">
        <v>99</v>
      </c>
      <c r="H4">
        <v>1</v>
      </c>
      <c r="I4">
        <v>14</v>
      </c>
      <c r="J4">
        <v>86</v>
      </c>
      <c r="L4">
        <v>80</v>
      </c>
      <c r="M4">
        <v>20</v>
      </c>
      <c r="N4">
        <v>33</v>
      </c>
      <c r="O4">
        <v>67</v>
      </c>
      <c r="Q4">
        <f>AVERAGE(C4,D4)</f>
        <v>15</v>
      </c>
      <c r="R4">
        <f>AVERAGE(H4,I4)</f>
        <v>7.5</v>
      </c>
      <c r="S4">
        <f>AVERAGE(M4,N4)</f>
        <v>26.5</v>
      </c>
      <c r="T4">
        <f>AVERAGE(Q4:S4)</f>
        <v>16.333333333333332</v>
      </c>
      <c r="U4">
        <f>AVERAGE(Q4:Q9)</f>
        <v>17.833333333333332</v>
      </c>
      <c r="V4">
        <f>_xlfn.STDEV.S(Q4:Q9)</f>
        <v>3.125166662222457</v>
      </c>
      <c r="W4">
        <f>AVERAGE(R4:R9)</f>
        <v>8.5833333333333339</v>
      </c>
      <c r="X4">
        <f>_xlfn.STDEV.S(R4:R9)</f>
        <v>1.2416387021459434</v>
      </c>
      <c r="Y4">
        <f>AVERAGE(S4:S9)</f>
        <v>28.583333333333332</v>
      </c>
      <c r="Z4">
        <f>_xlfn.STDEV.S(S4:S9)</f>
        <v>3.6799003609699281</v>
      </c>
      <c r="AA4">
        <f>AVERAGE(T4:T9)</f>
        <v>18.333333333333332</v>
      </c>
      <c r="AB4">
        <f>_xlfn.STDEV.S(T4:T9)</f>
        <v>1.7763883459298975</v>
      </c>
      <c r="AC4">
        <f>MIN(Q4:S4)</f>
        <v>7.5</v>
      </c>
      <c r="AD4">
        <f>T4-AC4</f>
        <v>8.8333333333333321</v>
      </c>
      <c r="AE4">
        <f>AVERAGE(AD4:AD9)</f>
        <v>9.75</v>
      </c>
      <c r="AF4">
        <f>_xlfn.STDEV.S(AD4:AD9)</f>
        <v>1.0632758605157719</v>
      </c>
    </row>
    <row r="5" spans="1:32" x14ac:dyDescent="0.3">
      <c r="B5">
        <v>70</v>
      </c>
      <c r="C5">
        <v>30</v>
      </c>
      <c r="D5">
        <v>17</v>
      </c>
      <c r="E5">
        <v>83</v>
      </c>
      <c r="G5">
        <v>92</v>
      </c>
      <c r="H5">
        <v>8</v>
      </c>
      <c r="I5">
        <v>12</v>
      </c>
      <c r="J5">
        <v>88</v>
      </c>
      <c r="L5">
        <v>85</v>
      </c>
      <c r="M5">
        <v>15</v>
      </c>
      <c r="N5">
        <v>39</v>
      </c>
      <c r="O5">
        <v>61</v>
      </c>
      <c r="Q5">
        <f t="shared" ref="Q5:Q9" si="0">AVERAGE(C5,D5)</f>
        <v>23.5</v>
      </c>
      <c r="R5">
        <f t="shared" ref="R5:R9" si="1">AVERAGE(H5,I5)</f>
        <v>10</v>
      </c>
      <c r="S5">
        <f t="shared" ref="S5:S9" si="2">AVERAGE(M5,N5)</f>
        <v>27</v>
      </c>
      <c r="T5">
        <f t="shared" ref="T5:T9" si="3">AVERAGE(Q5:S5)</f>
        <v>20.166666666666668</v>
      </c>
      <c r="AC5">
        <f t="shared" ref="AC5:AC9" si="4">MIN(Q5:S5)</f>
        <v>10</v>
      </c>
      <c r="AD5">
        <f t="shared" ref="AD5:AD9" si="5">T5-AC5</f>
        <v>10.166666666666668</v>
      </c>
    </row>
    <row r="6" spans="1:32" x14ac:dyDescent="0.3">
      <c r="A6" t="s">
        <v>19</v>
      </c>
      <c r="B6">
        <v>82</v>
      </c>
      <c r="C6">
        <v>18</v>
      </c>
      <c r="D6">
        <v>13</v>
      </c>
      <c r="E6">
        <v>87</v>
      </c>
      <c r="G6">
        <v>96</v>
      </c>
      <c r="H6">
        <v>4</v>
      </c>
      <c r="I6">
        <v>11</v>
      </c>
      <c r="J6">
        <v>89</v>
      </c>
      <c r="L6">
        <v>75</v>
      </c>
      <c r="M6">
        <v>25</v>
      </c>
      <c r="N6">
        <v>40</v>
      </c>
      <c r="O6">
        <v>60</v>
      </c>
      <c r="Q6">
        <f t="shared" si="0"/>
        <v>15.5</v>
      </c>
      <c r="R6">
        <f t="shared" si="1"/>
        <v>7.5</v>
      </c>
      <c r="S6">
        <f t="shared" si="2"/>
        <v>32.5</v>
      </c>
      <c r="T6">
        <f t="shared" si="3"/>
        <v>18.5</v>
      </c>
      <c r="AC6">
        <f t="shared" si="4"/>
        <v>7.5</v>
      </c>
      <c r="AD6">
        <f t="shared" si="5"/>
        <v>11</v>
      </c>
    </row>
    <row r="7" spans="1:32" x14ac:dyDescent="0.3">
      <c r="B7">
        <v>82</v>
      </c>
      <c r="C7">
        <v>18</v>
      </c>
      <c r="D7">
        <v>20</v>
      </c>
      <c r="E7">
        <v>80</v>
      </c>
      <c r="G7">
        <v>93</v>
      </c>
      <c r="H7">
        <v>7</v>
      </c>
      <c r="I7">
        <v>11</v>
      </c>
      <c r="J7">
        <v>89</v>
      </c>
      <c r="L7">
        <v>76</v>
      </c>
      <c r="M7">
        <v>24</v>
      </c>
      <c r="N7">
        <v>39</v>
      </c>
      <c r="O7">
        <v>61</v>
      </c>
      <c r="Q7">
        <f t="shared" si="0"/>
        <v>19</v>
      </c>
      <c r="R7">
        <f t="shared" si="1"/>
        <v>9</v>
      </c>
      <c r="S7">
        <f t="shared" si="2"/>
        <v>31.5</v>
      </c>
      <c r="T7">
        <f t="shared" si="3"/>
        <v>19.833333333333332</v>
      </c>
      <c r="AC7">
        <f t="shared" si="4"/>
        <v>9</v>
      </c>
      <c r="AD7">
        <f t="shared" si="5"/>
        <v>10.833333333333332</v>
      </c>
    </row>
    <row r="8" spans="1:32" x14ac:dyDescent="0.3">
      <c r="B8">
        <v>79</v>
      </c>
      <c r="C8">
        <v>21</v>
      </c>
      <c r="D8">
        <v>14</v>
      </c>
      <c r="E8">
        <v>86</v>
      </c>
      <c r="G8">
        <v>95</v>
      </c>
      <c r="H8">
        <v>5</v>
      </c>
      <c r="I8">
        <v>10</v>
      </c>
      <c r="J8">
        <v>90</v>
      </c>
      <c r="L8">
        <v>86</v>
      </c>
      <c r="M8">
        <v>14</v>
      </c>
      <c r="N8">
        <v>32</v>
      </c>
      <c r="O8">
        <v>68</v>
      </c>
      <c r="Q8">
        <f t="shared" si="0"/>
        <v>17.5</v>
      </c>
      <c r="R8">
        <f t="shared" si="1"/>
        <v>7.5</v>
      </c>
      <c r="S8">
        <f t="shared" si="2"/>
        <v>23</v>
      </c>
      <c r="T8">
        <f t="shared" si="3"/>
        <v>16</v>
      </c>
      <c r="AC8">
        <f t="shared" si="4"/>
        <v>7.5</v>
      </c>
      <c r="AD8">
        <f t="shared" si="5"/>
        <v>8.5</v>
      </c>
    </row>
    <row r="9" spans="1:32" x14ac:dyDescent="0.3">
      <c r="B9">
        <v>78</v>
      </c>
      <c r="C9">
        <v>22</v>
      </c>
      <c r="D9">
        <v>11</v>
      </c>
      <c r="E9">
        <v>89</v>
      </c>
      <c r="G9">
        <v>93</v>
      </c>
      <c r="H9">
        <v>7</v>
      </c>
      <c r="I9">
        <v>13</v>
      </c>
      <c r="J9">
        <v>87</v>
      </c>
      <c r="L9">
        <v>76</v>
      </c>
      <c r="M9">
        <v>24</v>
      </c>
      <c r="N9">
        <v>38</v>
      </c>
      <c r="O9">
        <v>62</v>
      </c>
      <c r="Q9">
        <f t="shared" si="0"/>
        <v>16.5</v>
      </c>
      <c r="R9">
        <f t="shared" si="1"/>
        <v>10</v>
      </c>
      <c r="S9">
        <f t="shared" si="2"/>
        <v>31</v>
      </c>
      <c r="T9">
        <f t="shared" si="3"/>
        <v>19.166666666666668</v>
      </c>
      <c r="AC9">
        <f t="shared" si="4"/>
        <v>10</v>
      </c>
      <c r="AD9">
        <f t="shared" si="5"/>
        <v>9.1666666666666679</v>
      </c>
    </row>
    <row r="10" spans="1:32" x14ac:dyDescent="0.3">
      <c r="Q10" t="e">
        <f t="shared" ref="Q10:Q13" si="6">AVERAGE(C10,D10)</f>
        <v>#DIV/0!</v>
      </c>
      <c r="R10" t="e">
        <f t="shared" ref="R10:R13" si="7">AVERAGE(H10,I10)</f>
        <v>#DIV/0!</v>
      </c>
      <c r="S10" t="e">
        <f t="shared" ref="S10:S13" si="8">AVERAGE(M10,N10)</f>
        <v>#DIV/0!</v>
      </c>
      <c r="T10" t="e">
        <f t="shared" ref="T10:T13" si="9">AVERAGE(Q10:S10)</f>
        <v>#DIV/0!</v>
      </c>
      <c r="AC10" t="e">
        <f t="shared" ref="AC10:AC13" si="10">MIN(Q10:S10)</f>
        <v>#DIV/0!</v>
      </c>
      <c r="AD10" t="e">
        <f t="shared" ref="AD10:AD13" si="11">T10-AC10</f>
        <v>#DIV/0!</v>
      </c>
    </row>
    <row r="11" spans="1:32" x14ac:dyDescent="0.3">
      <c r="A11" t="s">
        <v>34</v>
      </c>
      <c r="Q11" t="e">
        <f t="shared" si="6"/>
        <v>#DIV/0!</v>
      </c>
      <c r="R11" t="e">
        <f t="shared" si="7"/>
        <v>#DIV/0!</v>
      </c>
      <c r="S11" t="e">
        <f t="shared" si="8"/>
        <v>#DIV/0!</v>
      </c>
      <c r="T11" t="e">
        <f t="shared" si="9"/>
        <v>#DIV/0!</v>
      </c>
      <c r="AC11" t="e">
        <f t="shared" si="10"/>
        <v>#DIV/0!</v>
      </c>
      <c r="AD11" t="e">
        <f t="shared" si="11"/>
        <v>#DIV/0!</v>
      </c>
    </row>
    <row r="12" spans="1:32" x14ac:dyDescent="0.3">
      <c r="B12">
        <v>83</v>
      </c>
      <c r="C12">
        <v>17</v>
      </c>
      <c r="D12">
        <v>23</v>
      </c>
      <c r="E12">
        <v>77</v>
      </c>
      <c r="G12">
        <v>93</v>
      </c>
      <c r="H12">
        <v>7</v>
      </c>
      <c r="I12">
        <v>13</v>
      </c>
      <c r="J12">
        <v>87</v>
      </c>
      <c r="L12">
        <v>90</v>
      </c>
      <c r="M12">
        <v>10</v>
      </c>
      <c r="N12">
        <v>51</v>
      </c>
      <c r="O12">
        <v>49</v>
      </c>
      <c r="Q12">
        <f t="shared" si="6"/>
        <v>20</v>
      </c>
      <c r="R12">
        <f t="shared" si="7"/>
        <v>10</v>
      </c>
      <c r="S12">
        <f t="shared" si="8"/>
        <v>30.5</v>
      </c>
      <c r="T12">
        <f t="shared" si="9"/>
        <v>20.166666666666668</v>
      </c>
      <c r="U12">
        <f>AVERAGE(Q12:Q17)</f>
        <v>20</v>
      </c>
      <c r="V12">
        <f>_xlfn.STDEV.S(Q12:Q17)</f>
        <v>0</v>
      </c>
      <c r="W12">
        <f>AVERAGE(R12:R17)</f>
        <v>10</v>
      </c>
      <c r="X12">
        <f>_xlfn.STDEV.S(R12:R17)</f>
        <v>0</v>
      </c>
      <c r="Y12">
        <f>AVERAGE(S12:S17)</f>
        <v>29.5</v>
      </c>
      <c r="Z12">
        <f>_xlfn.STDEV.S(S12:S17)</f>
        <v>1.4142135623730951</v>
      </c>
      <c r="AA12">
        <f>AVERAGE(T12:T17)</f>
        <v>19.833333333333336</v>
      </c>
      <c r="AB12">
        <f>_xlfn.STDEV.S(T12:T17)</f>
        <v>0.47140452079103251</v>
      </c>
      <c r="AC12">
        <f t="shared" si="10"/>
        <v>10</v>
      </c>
      <c r="AD12">
        <f t="shared" si="11"/>
        <v>10.166666666666668</v>
      </c>
      <c r="AE12">
        <f>AVERAGE(AD12:AD17)</f>
        <v>9.8333333333333339</v>
      </c>
      <c r="AF12">
        <f>_xlfn.STDEV.S(AD12:AD17)</f>
        <v>0.47140452079103251</v>
      </c>
    </row>
    <row r="13" spans="1:32" x14ac:dyDescent="0.3">
      <c r="B13">
        <v>78</v>
      </c>
      <c r="C13">
        <v>22</v>
      </c>
      <c r="D13">
        <v>18</v>
      </c>
      <c r="E13">
        <v>82</v>
      </c>
      <c r="G13">
        <v>96</v>
      </c>
      <c r="H13">
        <v>4</v>
      </c>
      <c r="I13">
        <v>16</v>
      </c>
      <c r="J13">
        <v>84</v>
      </c>
      <c r="L13">
        <v>87</v>
      </c>
      <c r="M13">
        <v>13</v>
      </c>
      <c r="N13">
        <v>44</v>
      </c>
      <c r="O13">
        <v>56</v>
      </c>
      <c r="Q13">
        <f t="shared" si="6"/>
        <v>20</v>
      </c>
      <c r="R13">
        <f t="shared" si="7"/>
        <v>10</v>
      </c>
      <c r="S13">
        <f t="shared" si="8"/>
        <v>28.5</v>
      </c>
      <c r="T13">
        <f t="shared" si="9"/>
        <v>19.5</v>
      </c>
      <c r="AC13">
        <f t="shared" si="10"/>
        <v>10</v>
      </c>
      <c r="AD13">
        <f t="shared" si="11"/>
        <v>9.5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28B926-3ADF-46D7-8F68-CEFFC1D24F6E}">
  <dimension ref="A2:AF10"/>
  <sheetViews>
    <sheetView tabSelected="1" topLeftCell="M1" workbookViewId="0">
      <selection activeCell="AF4" activeCellId="2" sqref="U4:AB4 AE4 AF4"/>
    </sheetView>
  </sheetViews>
  <sheetFormatPr defaultRowHeight="14.4" x14ac:dyDescent="0.3"/>
  <sheetData>
    <row r="2" spans="1:32" x14ac:dyDescent="0.3">
      <c r="A2" t="s">
        <v>25</v>
      </c>
      <c r="Q2" t="s">
        <v>9</v>
      </c>
      <c r="R2" t="s">
        <v>10</v>
      </c>
      <c r="S2" t="s">
        <v>11</v>
      </c>
      <c r="T2" t="s">
        <v>13</v>
      </c>
      <c r="U2" t="s">
        <v>26</v>
      </c>
      <c r="V2" t="s">
        <v>21</v>
      </c>
      <c r="W2" t="s">
        <v>27</v>
      </c>
      <c r="X2" t="s">
        <v>22</v>
      </c>
      <c r="Y2" t="s">
        <v>28</v>
      </c>
      <c r="Z2" t="s">
        <v>23</v>
      </c>
      <c r="AA2" t="s">
        <v>0</v>
      </c>
      <c r="AB2" t="s">
        <v>14</v>
      </c>
      <c r="AC2" t="s">
        <v>15</v>
      </c>
      <c r="AD2" t="s">
        <v>12</v>
      </c>
      <c r="AE2" t="s">
        <v>16</v>
      </c>
      <c r="AF2" t="s">
        <v>17</v>
      </c>
    </row>
    <row r="3" spans="1:32" x14ac:dyDescent="0.3">
      <c r="A3" t="s">
        <v>19</v>
      </c>
      <c r="F3" t="s">
        <v>30</v>
      </c>
      <c r="K3" t="s">
        <v>20</v>
      </c>
    </row>
    <row r="4" spans="1:32" x14ac:dyDescent="0.3">
      <c r="B4">
        <v>55</v>
      </c>
      <c r="C4">
        <v>45</v>
      </c>
      <c r="D4">
        <v>10</v>
      </c>
      <c r="E4">
        <v>90</v>
      </c>
      <c r="G4">
        <v>91</v>
      </c>
      <c r="H4">
        <v>9</v>
      </c>
      <c r="I4">
        <v>17</v>
      </c>
      <c r="J4">
        <v>83</v>
      </c>
      <c r="L4">
        <v>80</v>
      </c>
      <c r="M4">
        <v>20</v>
      </c>
      <c r="N4">
        <v>44</v>
      </c>
      <c r="O4">
        <v>56</v>
      </c>
      <c r="Q4">
        <f>AVERAGE(C4,D4)</f>
        <v>27.5</v>
      </c>
      <c r="R4">
        <f>AVERAGE(H4,I4)</f>
        <v>13</v>
      </c>
      <c r="S4">
        <f>AVERAGE(M4,N4)</f>
        <v>32</v>
      </c>
      <c r="T4">
        <f>AVERAGE(Q4:S4)</f>
        <v>24.166666666666668</v>
      </c>
      <c r="U4">
        <f>AVERAGE(Q4:Q10)</f>
        <v>23.214285714285715</v>
      </c>
      <c r="V4">
        <f>_xlfn.STDEV.S(Q4:Q10)</f>
        <v>2.6435005651777832</v>
      </c>
      <c r="W4">
        <f>AVERAGE(R4:R10)</f>
        <v>11.071428571428571</v>
      </c>
      <c r="X4">
        <f>_xlfn.STDEV.S(R4:R10)</f>
        <v>1.336306209562119</v>
      </c>
      <c r="Y4">
        <f>AVERAGE(S4:S10)</f>
        <v>35.642857142857146</v>
      </c>
      <c r="Z4">
        <f>_xlfn.STDEV.S(S4:S10)</f>
        <v>4.5434411125112195</v>
      </c>
      <c r="AA4">
        <f>AVERAGE(T4:T10)</f>
        <v>23.309523809523807</v>
      </c>
      <c r="AB4">
        <f>_xlfn.STDEV.S(T4:T10)</f>
        <v>1.5257923607235448</v>
      </c>
      <c r="AC4">
        <f>MIN(Q4:S4)</f>
        <v>13</v>
      </c>
      <c r="AD4">
        <f>T4-AC4</f>
        <v>11.166666666666668</v>
      </c>
      <c r="AE4">
        <f>AVERAGE(AD4:AD10)</f>
        <v>12.238095238095239</v>
      </c>
      <c r="AF4">
        <f>_xlfn.STDEV.S(AD4:AD10)</f>
        <v>2.088010622527662</v>
      </c>
    </row>
    <row r="5" spans="1:32" x14ac:dyDescent="0.3">
      <c r="B5">
        <v>63</v>
      </c>
      <c r="C5">
        <v>37</v>
      </c>
      <c r="D5">
        <v>10</v>
      </c>
      <c r="E5">
        <v>90</v>
      </c>
      <c r="G5">
        <v>92</v>
      </c>
      <c r="H5">
        <v>8</v>
      </c>
      <c r="I5">
        <v>14</v>
      </c>
      <c r="J5">
        <v>86</v>
      </c>
      <c r="L5">
        <v>81</v>
      </c>
      <c r="M5">
        <v>19</v>
      </c>
      <c r="N5">
        <v>37</v>
      </c>
      <c r="O5">
        <v>63</v>
      </c>
      <c r="Q5">
        <f t="shared" ref="Q5:Q10" si="0">AVERAGE(C5,D5)</f>
        <v>23.5</v>
      </c>
      <c r="R5">
        <f t="shared" ref="R5:R10" si="1">AVERAGE(H5,I5)</f>
        <v>11</v>
      </c>
      <c r="S5">
        <f t="shared" ref="S5:S10" si="2">AVERAGE(M5,N5)</f>
        <v>28</v>
      </c>
      <c r="T5">
        <f t="shared" ref="T5:T10" si="3">AVERAGE(Q5:S5)</f>
        <v>20.833333333333332</v>
      </c>
      <c r="AC5">
        <f t="shared" ref="AC5:AC10" si="4">MIN(Q5:S5)</f>
        <v>11</v>
      </c>
      <c r="AD5">
        <f t="shared" ref="AD5:AD10" si="5">T5-AC5</f>
        <v>9.8333333333333321</v>
      </c>
    </row>
    <row r="6" spans="1:32" x14ac:dyDescent="0.3">
      <c r="B6">
        <v>66</v>
      </c>
      <c r="C6">
        <v>34</v>
      </c>
      <c r="D6">
        <v>13</v>
      </c>
      <c r="E6">
        <v>87</v>
      </c>
      <c r="G6">
        <v>92</v>
      </c>
      <c r="H6">
        <v>8</v>
      </c>
      <c r="I6">
        <v>11</v>
      </c>
      <c r="J6">
        <v>89</v>
      </c>
      <c r="L6">
        <v>71</v>
      </c>
      <c r="M6">
        <v>29</v>
      </c>
      <c r="N6">
        <v>51</v>
      </c>
      <c r="O6">
        <v>49</v>
      </c>
      <c r="Q6">
        <f t="shared" si="0"/>
        <v>23.5</v>
      </c>
      <c r="R6">
        <f t="shared" si="1"/>
        <v>9.5</v>
      </c>
      <c r="S6">
        <f t="shared" si="2"/>
        <v>40</v>
      </c>
      <c r="T6">
        <f t="shared" si="3"/>
        <v>24.333333333333332</v>
      </c>
      <c r="AC6">
        <f t="shared" si="4"/>
        <v>9.5</v>
      </c>
      <c r="AD6">
        <f t="shared" si="5"/>
        <v>14.833333333333332</v>
      </c>
    </row>
    <row r="7" spans="1:32" x14ac:dyDescent="0.3">
      <c r="B7">
        <v>76</v>
      </c>
      <c r="C7">
        <v>24</v>
      </c>
      <c r="D7">
        <v>21</v>
      </c>
      <c r="E7">
        <v>79</v>
      </c>
      <c r="G7">
        <v>86</v>
      </c>
      <c r="H7">
        <v>14</v>
      </c>
      <c r="I7">
        <v>10</v>
      </c>
      <c r="J7">
        <v>90</v>
      </c>
      <c r="L7">
        <v>75</v>
      </c>
      <c r="M7">
        <v>25</v>
      </c>
      <c r="N7">
        <v>56</v>
      </c>
      <c r="O7">
        <v>44</v>
      </c>
      <c r="Q7">
        <f t="shared" si="0"/>
        <v>22.5</v>
      </c>
      <c r="R7">
        <f t="shared" si="1"/>
        <v>12</v>
      </c>
      <c r="S7">
        <f t="shared" si="2"/>
        <v>40.5</v>
      </c>
      <c r="T7">
        <f t="shared" si="3"/>
        <v>25</v>
      </c>
      <c r="AC7">
        <f t="shared" si="4"/>
        <v>12</v>
      </c>
      <c r="AD7">
        <f t="shared" si="5"/>
        <v>13</v>
      </c>
    </row>
    <row r="8" spans="1:32" x14ac:dyDescent="0.3">
      <c r="B8">
        <v>73</v>
      </c>
      <c r="C8">
        <v>27</v>
      </c>
      <c r="D8">
        <v>10</v>
      </c>
      <c r="E8">
        <v>90</v>
      </c>
      <c r="G8">
        <v>89</v>
      </c>
      <c r="H8">
        <v>11</v>
      </c>
      <c r="I8">
        <v>13</v>
      </c>
      <c r="J8">
        <v>87</v>
      </c>
      <c r="L8">
        <v>84</v>
      </c>
      <c r="M8">
        <v>16</v>
      </c>
      <c r="N8">
        <v>53</v>
      </c>
      <c r="O8">
        <v>47</v>
      </c>
      <c r="Q8">
        <f t="shared" si="0"/>
        <v>18.5</v>
      </c>
      <c r="R8">
        <f t="shared" si="1"/>
        <v>12</v>
      </c>
      <c r="S8">
        <f t="shared" si="2"/>
        <v>34.5</v>
      </c>
      <c r="T8">
        <f t="shared" si="3"/>
        <v>21.666666666666668</v>
      </c>
      <c r="AC8">
        <f t="shared" si="4"/>
        <v>12</v>
      </c>
      <c r="AD8">
        <f t="shared" si="5"/>
        <v>9.6666666666666679</v>
      </c>
    </row>
    <row r="9" spans="1:32" x14ac:dyDescent="0.3">
      <c r="B9">
        <v>63</v>
      </c>
      <c r="C9">
        <v>37</v>
      </c>
      <c r="D9">
        <v>9</v>
      </c>
      <c r="E9">
        <v>91</v>
      </c>
      <c r="G9">
        <v>90</v>
      </c>
      <c r="H9">
        <v>10</v>
      </c>
      <c r="I9">
        <v>11</v>
      </c>
      <c r="J9">
        <v>89</v>
      </c>
      <c r="L9">
        <v>74</v>
      </c>
      <c r="M9">
        <v>26</v>
      </c>
      <c r="N9">
        <v>46</v>
      </c>
      <c r="O9">
        <v>54</v>
      </c>
      <c r="Q9">
        <f t="shared" si="0"/>
        <v>23</v>
      </c>
      <c r="R9">
        <f t="shared" si="1"/>
        <v>10.5</v>
      </c>
      <c r="S9">
        <f t="shared" si="2"/>
        <v>36</v>
      </c>
      <c r="T9">
        <f t="shared" si="3"/>
        <v>23.166666666666668</v>
      </c>
      <c r="AC9">
        <f t="shared" si="4"/>
        <v>10.5</v>
      </c>
      <c r="AD9">
        <f t="shared" si="5"/>
        <v>12.666666666666668</v>
      </c>
    </row>
    <row r="10" spans="1:32" x14ac:dyDescent="0.3">
      <c r="B10">
        <v>62</v>
      </c>
      <c r="C10">
        <v>38</v>
      </c>
      <c r="D10">
        <v>10</v>
      </c>
      <c r="E10">
        <v>90</v>
      </c>
      <c r="G10">
        <v>91</v>
      </c>
      <c r="H10">
        <v>9</v>
      </c>
      <c r="I10">
        <v>10</v>
      </c>
      <c r="J10">
        <v>90</v>
      </c>
      <c r="L10">
        <v>80</v>
      </c>
      <c r="M10">
        <v>20</v>
      </c>
      <c r="N10">
        <v>57</v>
      </c>
      <c r="O10">
        <v>43</v>
      </c>
      <c r="Q10">
        <f t="shared" si="0"/>
        <v>24</v>
      </c>
      <c r="R10">
        <f t="shared" si="1"/>
        <v>9.5</v>
      </c>
      <c r="S10">
        <f t="shared" si="2"/>
        <v>38.5</v>
      </c>
      <c r="T10">
        <f t="shared" si="3"/>
        <v>24</v>
      </c>
      <c r="AC10">
        <f t="shared" si="4"/>
        <v>9.5</v>
      </c>
      <c r="AD10">
        <f t="shared" si="5"/>
        <v>14.5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11</vt:i4>
      </vt:variant>
    </vt:vector>
  </HeadingPairs>
  <TitlesOfParts>
    <vt:vector size="11" baseType="lpstr">
      <vt:lpstr>Foglio1</vt:lpstr>
      <vt:lpstr>PARBS_STDAUG</vt:lpstr>
      <vt:lpstr>MIT_DIFF_ONLYMIN_STDAUG</vt:lpstr>
      <vt:lpstr>MIT_DIFF_ONLYMIN_NOAUG</vt:lpstr>
      <vt:lpstr>MIT_PARBS_DIFF_ONLYMIN_STDAUG</vt:lpstr>
      <vt:lpstr>MIT_DIFF_STDAUG</vt:lpstr>
      <vt:lpstr>MIT_DIFF_NOAUG</vt:lpstr>
      <vt:lpstr>MIT_PARBS_STDAUG</vt:lpstr>
      <vt:lpstr>MIT_PARBS_NOAUG</vt:lpstr>
      <vt:lpstr>MIT_STDAUG</vt:lpstr>
      <vt:lpstr>MIT_NOAUG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enzo petrocco</dc:creator>
  <cp:lastModifiedBy>Enzo Ubaldo Petrocco</cp:lastModifiedBy>
  <dcterms:created xsi:type="dcterms:W3CDTF">2015-06-05T18:19:34Z</dcterms:created>
  <dcterms:modified xsi:type="dcterms:W3CDTF">2026-03-18T18:52:59Z</dcterms:modified>
</cp:coreProperties>
</file>