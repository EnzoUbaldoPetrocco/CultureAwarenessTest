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LF\0.05\"/>
    </mc:Choice>
  </mc:AlternateContent>
  <xr:revisionPtr revIDLastSave="0" documentId="13_ncr:1_{98AFBE48-884F-49F4-B144-FBB8716085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DIFF_ONLYMIN" sheetId="17" r:id="rId2"/>
    <sheet name="PARBS_DIFF" sheetId="20" r:id="rId3"/>
    <sheet name="PARBS_STDAUG" sheetId="14" r:id="rId4"/>
    <sheet name="PARBS_NOAUG" sheetId="13" r:id="rId5"/>
    <sheet name="MIT_DIFF_ONLYMIN" sheetId="19" r:id="rId6"/>
    <sheet name="MIT_DIFF" sheetId="16" r:id="rId7"/>
    <sheet name="MIT_STDAUG" sheetId="12" r:id="rId8"/>
    <sheet name="MIT_NOAUG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7" l="1"/>
  <c r="R5" i="17"/>
  <c r="S5" i="17"/>
  <c r="T5" i="17"/>
  <c r="U5" i="17"/>
  <c r="V5" i="17"/>
  <c r="Q6" i="17"/>
  <c r="R6" i="17"/>
  <c r="S6" i="17"/>
  <c r="T6" i="17"/>
  <c r="U6" i="17"/>
  <c r="V6" i="17"/>
  <c r="Q7" i="17"/>
  <c r="U7" i="17" s="1"/>
  <c r="R7" i="17"/>
  <c r="S7" i="17"/>
  <c r="T7" i="17"/>
  <c r="V7" i="17" s="1"/>
  <c r="Q8" i="17"/>
  <c r="R8" i="17"/>
  <c r="S8" i="17"/>
  <c r="T8" i="17"/>
  <c r="U8" i="17"/>
  <c r="V8" i="17"/>
  <c r="Q9" i="17"/>
  <c r="R9" i="17"/>
  <c r="S9" i="17"/>
  <c r="T9" i="17"/>
  <c r="U9" i="17"/>
  <c r="V9" i="17"/>
  <c r="Q10" i="17"/>
  <c r="T10" i="17" s="1"/>
  <c r="R10" i="17"/>
  <c r="S10" i="17"/>
  <c r="Q5" i="20"/>
  <c r="R5" i="20"/>
  <c r="S5" i="20"/>
  <c r="T5" i="20"/>
  <c r="U5" i="20"/>
  <c r="V5" i="20"/>
  <c r="Q6" i="20"/>
  <c r="R6" i="20"/>
  <c r="S6" i="20"/>
  <c r="T6" i="20"/>
  <c r="U6" i="20"/>
  <c r="V6" i="20"/>
  <c r="Q7" i="20"/>
  <c r="U7" i="20" s="1"/>
  <c r="R7" i="20"/>
  <c r="S7" i="20"/>
  <c r="AB4" i="20" s="1"/>
  <c r="T7" i="20"/>
  <c r="V7" i="20" s="1"/>
  <c r="Q8" i="20"/>
  <c r="R8" i="20"/>
  <c r="S8" i="20"/>
  <c r="T8" i="20"/>
  <c r="U8" i="20"/>
  <c r="V8" i="20"/>
  <c r="Q9" i="20"/>
  <c r="R9" i="20"/>
  <c r="S9" i="20"/>
  <c r="T9" i="20"/>
  <c r="U9" i="20"/>
  <c r="V9" i="20"/>
  <c r="Q10" i="20"/>
  <c r="T10" i="20" s="1"/>
  <c r="R10" i="20"/>
  <c r="S10" i="20"/>
  <c r="Q11" i="20"/>
  <c r="R11" i="20"/>
  <c r="S11" i="20"/>
  <c r="T11" i="20"/>
  <c r="U11" i="20"/>
  <c r="V11" i="20"/>
  <c r="Q12" i="20"/>
  <c r="R12" i="20"/>
  <c r="S12" i="20"/>
  <c r="T12" i="20"/>
  <c r="U12" i="20"/>
  <c r="V12" i="20"/>
  <c r="Q13" i="20"/>
  <c r="R13" i="20"/>
  <c r="S13" i="20"/>
  <c r="T13" i="20"/>
  <c r="U13" i="20"/>
  <c r="V13" i="20"/>
  <c r="Q14" i="20"/>
  <c r="R14" i="20"/>
  <c r="S14" i="20"/>
  <c r="T14" i="20"/>
  <c r="U14" i="20"/>
  <c r="V14" i="20"/>
  <c r="AF4" i="14"/>
  <c r="AE4" i="14"/>
  <c r="AD4" i="14"/>
  <c r="AC4" i="14"/>
  <c r="AB4" i="14"/>
  <c r="AA4" i="14"/>
  <c r="Z4" i="14"/>
  <c r="Y4" i="14"/>
  <c r="X4" i="14"/>
  <c r="W4" i="14"/>
  <c r="Q5" i="14"/>
  <c r="R5" i="14"/>
  <c r="S5" i="14"/>
  <c r="T5" i="14"/>
  <c r="U5" i="14"/>
  <c r="V5" i="14"/>
  <c r="Q6" i="14"/>
  <c r="R6" i="14"/>
  <c r="S6" i="14"/>
  <c r="T6" i="14"/>
  <c r="U6" i="14"/>
  <c r="V6" i="14"/>
  <c r="Q7" i="14"/>
  <c r="U7" i="14" s="1"/>
  <c r="R7" i="14"/>
  <c r="S7" i="14"/>
  <c r="T7" i="14"/>
  <c r="V7" i="14" s="1"/>
  <c r="Q8" i="14"/>
  <c r="R8" i="14"/>
  <c r="S8" i="14"/>
  <c r="T8" i="14"/>
  <c r="U8" i="14"/>
  <c r="V8" i="14"/>
  <c r="Q9" i="14"/>
  <c r="R9" i="14"/>
  <c r="S9" i="14"/>
  <c r="T9" i="14"/>
  <c r="U9" i="14"/>
  <c r="V9" i="14"/>
  <c r="Q10" i="14"/>
  <c r="T10" i="14" s="1"/>
  <c r="R10" i="14"/>
  <c r="S10" i="14"/>
  <c r="Q11" i="14"/>
  <c r="R11" i="14"/>
  <c r="S11" i="14"/>
  <c r="T11" i="14"/>
  <c r="U11" i="14"/>
  <c r="V11" i="14"/>
  <c r="Q12" i="14"/>
  <c r="R12" i="14"/>
  <c r="S12" i="14"/>
  <c r="T12" i="14"/>
  <c r="U12" i="14"/>
  <c r="V12" i="14"/>
  <c r="Q13" i="14"/>
  <c r="R13" i="14"/>
  <c r="S13" i="14"/>
  <c r="T13" i="14"/>
  <c r="U13" i="14"/>
  <c r="V13" i="14"/>
  <c r="Q14" i="14"/>
  <c r="R14" i="14"/>
  <c r="S14" i="14"/>
  <c r="T14" i="14"/>
  <c r="U14" i="14"/>
  <c r="V14" i="14"/>
  <c r="Q5" i="13"/>
  <c r="R5" i="13"/>
  <c r="S5" i="13"/>
  <c r="T5" i="13"/>
  <c r="U5" i="13"/>
  <c r="V5" i="13"/>
  <c r="Q6" i="13"/>
  <c r="R6" i="13"/>
  <c r="S6" i="13"/>
  <c r="T6" i="13"/>
  <c r="U6" i="13"/>
  <c r="V6" i="13"/>
  <c r="Q7" i="13"/>
  <c r="U7" i="13" s="1"/>
  <c r="R7" i="13"/>
  <c r="S7" i="13"/>
  <c r="T7" i="13"/>
  <c r="Q8" i="13"/>
  <c r="R8" i="13"/>
  <c r="S8" i="13"/>
  <c r="T8" i="13"/>
  <c r="U8" i="13"/>
  <c r="V8" i="13"/>
  <c r="Q9" i="13"/>
  <c r="R9" i="13"/>
  <c r="S9" i="13"/>
  <c r="T9" i="13"/>
  <c r="U9" i="13"/>
  <c r="V9" i="13"/>
  <c r="Q10" i="13"/>
  <c r="T10" i="13" s="1"/>
  <c r="R10" i="13"/>
  <c r="S10" i="13"/>
  <c r="Q11" i="13"/>
  <c r="R11" i="13"/>
  <c r="S11" i="13"/>
  <c r="T11" i="13"/>
  <c r="U11" i="13"/>
  <c r="V11" i="13"/>
  <c r="Q12" i="13"/>
  <c r="R12" i="13"/>
  <c r="S12" i="13"/>
  <c r="T12" i="13"/>
  <c r="U12" i="13"/>
  <c r="V12" i="13"/>
  <c r="Q5" i="19"/>
  <c r="R5" i="19"/>
  <c r="S5" i="19"/>
  <c r="T5" i="19"/>
  <c r="U5" i="19"/>
  <c r="V5" i="19"/>
  <c r="Q6" i="19"/>
  <c r="R6" i="19"/>
  <c r="S6" i="19"/>
  <c r="T6" i="19"/>
  <c r="U6" i="19"/>
  <c r="V6" i="19"/>
  <c r="Q7" i="19"/>
  <c r="U7" i="19" s="1"/>
  <c r="R7" i="19"/>
  <c r="S7" i="19"/>
  <c r="T7" i="19"/>
  <c r="V7" i="19" s="1"/>
  <c r="Q8" i="19"/>
  <c r="R8" i="19"/>
  <c r="S8" i="19"/>
  <c r="T8" i="19"/>
  <c r="U8" i="19"/>
  <c r="V8" i="19"/>
  <c r="Q4" i="16"/>
  <c r="R4" i="16"/>
  <c r="S4" i="16"/>
  <c r="T4" i="16"/>
  <c r="U4" i="16"/>
  <c r="V4" i="16"/>
  <c r="Q5" i="16"/>
  <c r="R5" i="16"/>
  <c r="S5" i="16"/>
  <c r="T5" i="16"/>
  <c r="U5" i="16"/>
  <c r="V5" i="16"/>
  <c r="Q6" i="16"/>
  <c r="R6" i="16"/>
  <c r="S6" i="16"/>
  <c r="T6" i="16"/>
  <c r="Q7" i="16"/>
  <c r="R7" i="16"/>
  <c r="S7" i="16"/>
  <c r="T7" i="16"/>
  <c r="U7" i="16"/>
  <c r="V7" i="16"/>
  <c r="AF4" i="12"/>
  <c r="AE4" i="12"/>
  <c r="AD4" i="12"/>
  <c r="AC4" i="12"/>
  <c r="AB4" i="12"/>
  <c r="AA4" i="12"/>
  <c r="Z4" i="12"/>
  <c r="Y4" i="12"/>
  <c r="X4" i="12"/>
  <c r="W4" i="12"/>
  <c r="Q5" i="12"/>
  <c r="R5" i="12"/>
  <c r="S5" i="12"/>
  <c r="T5" i="12"/>
  <c r="U5" i="12"/>
  <c r="V5" i="12"/>
  <c r="Q6" i="12"/>
  <c r="R6" i="12"/>
  <c r="S6" i="12"/>
  <c r="T6" i="12"/>
  <c r="U6" i="12"/>
  <c r="V6" i="12"/>
  <c r="Q7" i="12"/>
  <c r="U7" i="12" s="1"/>
  <c r="R7" i="12"/>
  <c r="S7" i="12"/>
  <c r="T7" i="12"/>
  <c r="V7" i="12" s="1"/>
  <c r="Q8" i="12"/>
  <c r="R8" i="12"/>
  <c r="S8" i="12"/>
  <c r="T8" i="12"/>
  <c r="U8" i="12"/>
  <c r="V8" i="12"/>
  <c r="Q9" i="12"/>
  <c r="R9" i="12"/>
  <c r="S9" i="12"/>
  <c r="T9" i="12"/>
  <c r="U9" i="12"/>
  <c r="V9" i="12"/>
  <c r="Q10" i="12"/>
  <c r="T10" i="12" s="1"/>
  <c r="R10" i="12"/>
  <c r="S10" i="12"/>
  <c r="Q11" i="12"/>
  <c r="R11" i="12"/>
  <c r="S11" i="12"/>
  <c r="T11" i="12"/>
  <c r="U11" i="12"/>
  <c r="V11" i="12"/>
  <c r="Q12" i="12"/>
  <c r="R12" i="12"/>
  <c r="S12" i="12"/>
  <c r="T12" i="12"/>
  <c r="U12" i="12"/>
  <c r="V12" i="12"/>
  <c r="Q13" i="12"/>
  <c r="R13" i="12"/>
  <c r="S13" i="12"/>
  <c r="T13" i="12"/>
  <c r="U13" i="12"/>
  <c r="V13" i="12"/>
  <c r="Q5" i="11"/>
  <c r="R5" i="11"/>
  <c r="S5" i="11"/>
  <c r="T5" i="11"/>
  <c r="U5" i="11"/>
  <c r="V5" i="11"/>
  <c r="Q6" i="11"/>
  <c r="R6" i="11"/>
  <c r="S6" i="11"/>
  <c r="T6" i="11"/>
  <c r="U6" i="11"/>
  <c r="V6" i="11"/>
  <c r="Q7" i="11"/>
  <c r="U7" i="11" s="1"/>
  <c r="R7" i="11"/>
  <c r="S7" i="11"/>
  <c r="T7" i="11"/>
  <c r="V7" i="11" s="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T10" i="11" s="1"/>
  <c r="R10" i="11"/>
  <c r="S10" i="11"/>
  <c r="Q11" i="11"/>
  <c r="R11" i="11"/>
  <c r="S11" i="11"/>
  <c r="T11" i="11"/>
  <c r="U11" i="11"/>
  <c r="V11" i="11"/>
  <c r="Q12" i="11"/>
  <c r="R12" i="11"/>
  <c r="S12" i="11"/>
  <c r="T12" i="11"/>
  <c r="U12" i="11"/>
  <c r="V12" i="11"/>
  <c r="S4" i="17"/>
  <c r="R4" i="17"/>
  <c r="Q4" i="17"/>
  <c r="S4" i="20"/>
  <c r="AA4" i="20" s="1"/>
  <c r="R4" i="20"/>
  <c r="Z4" i="20" s="1"/>
  <c r="Q4" i="20"/>
  <c r="S4" i="14"/>
  <c r="R4" i="14"/>
  <c r="Q4" i="14"/>
  <c r="S4" i="13"/>
  <c r="R4" i="13"/>
  <c r="Q4" i="13"/>
  <c r="S4" i="19"/>
  <c r="R4" i="19"/>
  <c r="Q4" i="19"/>
  <c r="X4" i="19" s="1"/>
  <c r="S3" i="16"/>
  <c r="R3" i="16"/>
  <c r="Q3" i="16"/>
  <c r="S4" i="12"/>
  <c r="R4" i="12"/>
  <c r="Q4" i="12"/>
  <c r="AB4" i="11"/>
  <c r="S4" i="11"/>
  <c r="R4" i="11"/>
  <c r="Q4" i="11"/>
  <c r="U10" i="17" l="1"/>
  <c r="V10" i="17" s="1"/>
  <c r="U10" i="20"/>
  <c r="V10" i="20" s="1"/>
  <c r="X4" i="20"/>
  <c r="Y4" i="20"/>
  <c r="W4" i="20"/>
  <c r="U10" i="14"/>
  <c r="V10" i="14" s="1"/>
  <c r="V7" i="13"/>
  <c r="U10" i="13"/>
  <c r="V10" i="13" s="1"/>
  <c r="U6" i="16"/>
  <c r="V6" i="16" s="1"/>
  <c r="U10" i="12"/>
  <c r="V10" i="12" s="1"/>
  <c r="X4" i="11"/>
  <c r="U10" i="11"/>
  <c r="V10" i="11" s="1"/>
  <c r="Z4" i="11"/>
  <c r="AA4" i="11"/>
  <c r="Y4" i="11"/>
  <c r="W4" i="11"/>
  <c r="X4" i="17"/>
  <c r="Z4" i="17"/>
  <c r="AB4" i="17"/>
  <c r="T4" i="17"/>
  <c r="U4" i="17"/>
  <c r="W4" i="17"/>
  <c r="Y4" i="17"/>
  <c r="AA4" i="17"/>
  <c r="T4" i="20"/>
  <c r="U4" i="20"/>
  <c r="T4" i="14"/>
  <c r="U4" i="14"/>
  <c r="X4" i="13"/>
  <c r="AB4" i="13"/>
  <c r="Z4" i="13"/>
  <c r="T4" i="13"/>
  <c r="U4" i="13"/>
  <c r="W4" i="13"/>
  <c r="Y4" i="13"/>
  <c r="AA4" i="13"/>
  <c r="Z4" i="19"/>
  <c r="AB4" i="19"/>
  <c r="T4" i="19"/>
  <c r="U4" i="19"/>
  <c r="W4" i="19"/>
  <c r="Y4" i="19"/>
  <c r="AA4" i="19"/>
  <c r="X3" i="16"/>
  <c r="AB3" i="16"/>
  <c r="Z3" i="16"/>
  <c r="T3" i="16"/>
  <c r="U3" i="16"/>
  <c r="W3" i="16"/>
  <c r="Y3" i="16"/>
  <c r="AA3" i="16"/>
  <c r="T4" i="12"/>
  <c r="U4" i="12"/>
  <c r="U4" i="11"/>
  <c r="T4" i="11"/>
  <c r="AD4" i="20" l="1"/>
  <c r="AC4" i="20"/>
  <c r="AD4" i="11"/>
  <c r="AC4" i="11"/>
  <c r="AD4" i="17"/>
  <c r="AC4" i="17"/>
  <c r="V4" i="17"/>
  <c r="V4" i="20"/>
  <c r="V4" i="14"/>
  <c r="AC4" i="13"/>
  <c r="V4" i="13"/>
  <c r="AD4" i="13"/>
  <c r="AD4" i="19"/>
  <c r="AC4" i="19"/>
  <c r="V4" i="19"/>
  <c r="AD3" i="16"/>
  <c r="AC3" i="16"/>
  <c r="V3" i="16"/>
  <c r="V4" i="12"/>
  <c r="V4" i="11"/>
  <c r="AF4" i="20" l="1"/>
  <c r="AE4" i="20"/>
  <c r="AF4" i="11"/>
  <c r="AE4" i="11"/>
  <c r="AF4" i="17"/>
  <c r="AE4" i="17"/>
  <c r="AF4" i="13"/>
  <c r="AE4" i="13"/>
  <c r="AF4" i="19"/>
  <c r="AE4" i="19"/>
  <c r="AE3" i="16"/>
  <c r="AF3" i="16"/>
</calcChain>
</file>

<file path=xl/sharedStrings.xml><?xml version="1.0" encoding="utf-8"?>
<sst xmlns="http://schemas.openxmlformats.org/spreadsheetml/2006/main" count="177" uniqueCount="34">
  <si>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</si>
  <si>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</si>
  <si>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</si>
  <si>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</si>
  <si>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</si>
  <si>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</si>
  <si>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</si>
  <si>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</si>
  <si>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</si>
  <si>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</si>
  <si>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</si>
  <si>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</si>
  <si>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</si>
  <si>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</si>
  <si>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</si>
  <si>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</si>
  <si>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</si>
  <si>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</si>
  <si>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</si>
  <si>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</si>
  <si>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c2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</si>
  <si>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</si>
  <si>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</si>
  <si>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</si>
  <si>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</si>
  <si>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</si>
  <si>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</si>
  <si>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</si>
  <si>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</si>
  <si>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 xml:space="preserve">c1 </t>
  </si>
  <si>
    <t>STDAUG</t>
  </si>
  <si>
    <t>PARBS</t>
  </si>
  <si>
    <t>ONLYMIN</t>
  </si>
  <si>
    <t>try: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</si>
</sst>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tabSelected="1" workbookViewId="0">
      <selection activeCell="E16" sqref="E16:N16"/>
    </sheetView>
  </sheetViews>
  <sheetFormatPr defaultRowHeight="14.4" x14ac:dyDescent="0.3"/>
  <sheetData>
    <row r="1" spans="1:14" x14ac:dyDescent="0.3"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0</v>
      </c>
      <c r="L1" t="s">
        <v>15</v>
      </c>
      <c r="M1" t="s">
        <v>17</v>
      </c>
      <c r="N1" t="s">
        <v>18</v>
      </c>
    </row>
    <row r="3" spans="1:14" x14ac:dyDescent="0.3">
      <c r="A3" t="s">
        <v>2</v>
      </c>
    </row>
    <row r="4" spans="1:14" x14ac:dyDescent="0.3">
      <c r="B4" t="s">
        <v>3</v>
      </c>
      <c r="E4" s="1">
        <v>23.222222222222221</v>
      </c>
      <c r="F4" s="1">
        <v>3.032234233110044</v>
      </c>
      <c r="G4" s="1">
        <v>10.277777777777779</v>
      </c>
      <c r="H4" s="1">
        <v>2.3199018178458419</v>
      </c>
      <c r="I4" s="1">
        <v>36.388888888888886</v>
      </c>
      <c r="J4" s="1">
        <v>4.8462471161829015</v>
      </c>
      <c r="K4" s="1">
        <v>23.296296296296298</v>
      </c>
      <c r="L4" s="1">
        <v>2.2985166982960292</v>
      </c>
      <c r="M4" s="1">
        <v>13.018518518518519</v>
      </c>
      <c r="N4" s="1">
        <v>2.2352051304765306</v>
      </c>
    </row>
    <row r="5" spans="1:14" x14ac:dyDescent="0.3">
      <c r="B5" t="s">
        <v>30</v>
      </c>
      <c r="E5" s="1">
        <v>18.7</v>
      </c>
      <c r="F5" s="1">
        <v>2.5188180649750063</v>
      </c>
      <c r="G5" s="1">
        <v>10.5</v>
      </c>
      <c r="H5" s="1">
        <v>1.7950549357115013</v>
      </c>
      <c r="I5" s="1">
        <v>28.7</v>
      </c>
      <c r="J5" s="1">
        <v>5.5737479909542653</v>
      </c>
      <c r="K5" s="1">
        <v>19.3</v>
      </c>
      <c r="L5" s="1">
        <v>2.2149882255908659</v>
      </c>
      <c r="M5" s="1">
        <v>8.8000000000000007</v>
      </c>
      <c r="N5" s="1">
        <v>2.125390305477393</v>
      </c>
    </row>
    <row r="6" spans="1:14" x14ac:dyDescent="0.3">
      <c r="B6" t="s">
        <v>24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3">
      <c r="C7" t="s">
        <v>30</v>
      </c>
      <c r="E7" s="1">
        <v>18.3</v>
      </c>
      <c r="F7" s="1">
        <v>4.0865633483405084</v>
      </c>
      <c r="G7" s="1">
        <v>10.1</v>
      </c>
      <c r="H7" s="1">
        <v>2.0124611797498102</v>
      </c>
      <c r="I7" s="1">
        <v>29.3</v>
      </c>
      <c r="J7" s="1">
        <v>2.9068883707497268</v>
      </c>
      <c r="K7" s="1">
        <v>19.233333333333334</v>
      </c>
      <c r="L7" s="1">
        <v>2.2718078948518285</v>
      </c>
      <c r="M7" s="1">
        <v>9.1333333333333346</v>
      </c>
      <c r="N7" s="1">
        <v>2.8756641744898572</v>
      </c>
    </row>
    <row r="8" spans="1:14" x14ac:dyDescent="0.3">
      <c r="C8" t="s">
        <v>32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x14ac:dyDescent="0.3">
      <c r="D9" t="s">
        <v>30</v>
      </c>
      <c r="E9" s="1">
        <v>18.5</v>
      </c>
      <c r="F9" s="1">
        <v>2.3979157616563596</v>
      </c>
      <c r="G9" s="1">
        <v>10.3</v>
      </c>
      <c r="H9" s="1">
        <v>1.6807736313971577</v>
      </c>
      <c r="I9" s="1">
        <v>29.1</v>
      </c>
      <c r="J9" s="1">
        <v>2.7703790354390136</v>
      </c>
      <c r="K9" s="1">
        <v>19.3</v>
      </c>
      <c r="L9" s="1">
        <v>1.3144496102086896</v>
      </c>
      <c r="M9" s="1">
        <v>9</v>
      </c>
      <c r="N9" s="1">
        <v>1.641476300299346</v>
      </c>
    </row>
    <row r="10" spans="1:14" x14ac:dyDescent="0.3">
      <c r="A10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x14ac:dyDescent="0.3">
      <c r="B11" t="s">
        <v>3</v>
      </c>
      <c r="E11" s="1">
        <v>19.833333333333332</v>
      </c>
      <c r="F11" s="1">
        <v>2.9790938219532461</v>
      </c>
      <c r="G11" s="1">
        <v>10.444444444444445</v>
      </c>
      <c r="H11" s="1">
        <v>2.2282903261868214</v>
      </c>
      <c r="I11" s="1">
        <v>23.833333333333332</v>
      </c>
      <c r="J11" s="1">
        <v>2.9368350311176825</v>
      </c>
      <c r="K11" s="1">
        <v>18.037037037037035</v>
      </c>
      <c r="L11" s="1">
        <v>1.9839245928521465</v>
      </c>
      <c r="M11" s="1">
        <v>7.5925925925925917</v>
      </c>
      <c r="N11" s="1">
        <v>1.4932977839684056</v>
      </c>
    </row>
    <row r="12" spans="1:14" x14ac:dyDescent="0.3">
      <c r="B12" t="s">
        <v>30</v>
      </c>
      <c r="E12" s="1">
        <v>17.681818181818183</v>
      </c>
      <c r="F12" s="1">
        <v>3.0925129528647655</v>
      </c>
      <c r="G12" s="1">
        <v>10.227272727272727</v>
      </c>
      <c r="H12" s="1">
        <v>2.7601053998320109</v>
      </c>
      <c r="I12" s="1">
        <v>22.727272727272727</v>
      </c>
      <c r="J12" s="1">
        <v>4.1253099057139693</v>
      </c>
      <c r="K12" s="1">
        <v>16.878787878787879</v>
      </c>
      <c r="L12" s="1">
        <v>1.4183145496032117</v>
      </c>
      <c r="M12" s="1">
        <v>6.6969696969696972</v>
      </c>
      <c r="N12" s="1">
        <v>3.1559627707089666</v>
      </c>
    </row>
    <row r="13" spans="1:14" x14ac:dyDescent="0.3">
      <c r="B13" t="s">
        <v>24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x14ac:dyDescent="0.3">
      <c r="C14" t="s">
        <v>1</v>
      </c>
      <c r="E14" s="1">
        <v>16.681818181818183</v>
      </c>
      <c r="F14" s="1">
        <v>3.8940514074208563</v>
      </c>
      <c r="G14" s="1">
        <v>11.181818181818182</v>
      </c>
      <c r="H14" s="1">
        <v>2.72279936161965</v>
      </c>
      <c r="I14" s="1">
        <v>23.681818181818183</v>
      </c>
      <c r="J14" s="1">
        <v>5.7326814287588315</v>
      </c>
      <c r="K14" s="1">
        <v>17.181818181818183</v>
      </c>
      <c r="L14" s="1">
        <v>2.3914832048734582</v>
      </c>
      <c r="M14" s="1">
        <v>6.1363636363636349</v>
      </c>
      <c r="N14" s="1">
        <v>1.9773975346654571</v>
      </c>
    </row>
    <row r="15" spans="1:14" x14ac:dyDescent="0.3">
      <c r="C15" t="s">
        <v>32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3">
      <c r="D16" t="s">
        <v>30</v>
      </c>
      <c r="E16" s="1">
        <v>17.357142857142858</v>
      </c>
      <c r="F16" s="1">
        <v>3.9656261140191273</v>
      </c>
      <c r="G16" s="1">
        <v>11</v>
      </c>
      <c r="H16" s="1">
        <v>2</v>
      </c>
      <c r="I16" s="1">
        <v>22.785714285714285</v>
      </c>
      <c r="J16" s="1">
        <v>2.7817432013209378</v>
      </c>
      <c r="K16" s="1">
        <v>17.047619047619047</v>
      </c>
      <c r="L16" s="1">
        <v>1.264597307132334</v>
      </c>
      <c r="M16" s="1">
        <v>6.0476190476190466</v>
      </c>
      <c r="N16" s="1">
        <v>1.875066136399733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topLeftCell="L1" workbookViewId="0">
      <selection activeCell="W4" sqref="W4:AF4"/>
    </sheetView>
  </sheetViews>
  <sheetFormatPr defaultRowHeight="14.4" x14ac:dyDescent="0.3"/>
  <sheetData>
    <row r="2" spans="1:32" x14ac:dyDescent="0.3">
      <c r="A2" t="s">
        <v>25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26</v>
      </c>
      <c r="X2" t="s">
        <v>21</v>
      </c>
      <c r="Y2" t="s">
        <v>27</v>
      </c>
      <c r="Z2" t="s">
        <v>22</v>
      </c>
      <c r="AA2" t="s">
        <v>28</v>
      </c>
      <c r="AB2" t="s">
        <v>23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19</v>
      </c>
      <c r="F3" t="s">
        <v>29</v>
      </c>
      <c r="K3" t="s">
        <v>20</v>
      </c>
    </row>
    <row r="4" spans="1:32" x14ac:dyDescent="0.3">
      <c r="B4">
        <v>79</v>
      </c>
      <c r="C4">
        <v>21</v>
      </c>
      <c r="D4">
        <v>18</v>
      </c>
      <c r="E4">
        <v>82</v>
      </c>
      <c r="G4">
        <v>97</v>
      </c>
      <c r="H4">
        <v>3</v>
      </c>
      <c r="I4">
        <v>15</v>
      </c>
      <c r="J4">
        <v>85</v>
      </c>
      <c r="L4">
        <v>92</v>
      </c>
      <c r="M4">
        <v>8</v>
      </c>
      <c r="N4">
        <v>44</v>
      </c>
      <c r="O4">
        <v>56</v>
      </c>
      <c r="Q4">
        <f>AVERAGE(C4,D4)</f>
        <v>19.5</v>
      </c>
      <c r="R4">
        <f>AVERAGE(H4,I4)</f>
        <v>9</v>
      </c>
      <c r="S4">
        <f>AVERAGE(M4,N4)</f>
        <v>26</v>
      </c>
      <c r="T4">
        <f>AVERAGE(Q4:S4)</f>
        <v>18.166666666666668</v>
      </c>
      <c r="U4">
        <f>MIN(Q4:S4)</f>
        <v>9</v>
      </c>
      <c r="V4">
        <f>T4-U4</f>
        <v>9.1666666666666679</v>
      </c>
      <c r="W4">
        <f>AVERAGE(Q4:Q15)</f>
        <v>17.357142857142858</v>
      </c>
      <c r="X4">
        <f>_xlfn.STDEV.S(Q4:Q15)</f>
        <v>3.9656261140191273</v>
      </c>
      <c r="Y4">
        <f>AVERAGE(R4:R15)</f>
        <v>11</v>
      </c>
      <c r="Z4">
        <f>_xlfn.STDEV.S(R4:R15)</f>
        <v>2</v>
      </c>
      <c r="AA4">
        <f>AVERAGE(S4:S15)</f>
        <v>22.785714285714285</v>
      </c>
      <c r="AB4">
        <f>_xlfn.STDEV.S(S4:S15)</f>
        <v>2.7817432013209378</v>
      </c>
      <c r="AC4">
        <f>AVERAGE(T4:T15)</f>
        <v>17.047619047619047</v>
      </c>
      <c r="AD4">
        <f>_xlfn.STDEV.S(T4:T15)</f>
        <v>1.264597307132334</v>
      </c>
      <c r="AE4">
        <f>AVERAGE(V4:V15)</f>
        <v>6.0476190476190466</v>
      </c>
      <c r="AF4">
        <f>_xlfn.STDEV.S(V4:V15)</f>
        <v>1.875066136399733</v>
      </c>
    </row>
    <row r="5" spans="1:32" x14ac:dyDescent="0.3">
      <c r="B5">
        <v>71</v>
      </c>
      <c r="C5">
        <v>29</v>
      </c>
      <c r="D5">
        <v>12</v>
      </c>
      <c r="E5">
        <v>88</v>
      </c>
      <c r="G5">
        <v>89</v>
      </c>
      <c r="H5">
        <v>11</v>
      </c>
      <c r="I5">
        <v>6</v>
      </c>
      <c r="J5">
        <v>94</v>
      </c>
      <c r="L5">
        <v>86</v>
      </c>
      <c r="M5">
        <v>14</v>
      </c>
      <c r="N5">
        <v>26</v>
      </c>
      <c r="O5">
        <v>74</v>
      </c>
      <c r="Q5">
        <f t="shared" ref="Q5:Q10" si="0">AVERAGE(C5,D5)</f>
        <v>20.5</v>
      </c>
      <c r="R5">
        <f t="shared" ref="R5:R10" si="1">AVERAGE(H5,I5)</f>
        <v>8.5</v>
      </c>
      <c r="S5">
        <f t="shared" ref="S5:S10" si="2">AVERAGE(M5,N5)</f>
        <v>20</v>
      </c>
      <c r="T5">
        <f t="shared" ref="T5:T10" si="3">AVERAGE(Q5:S5)</f>
        <v>16.333333333333332</v>
      </c>
      <c r="U5">
        <f t="shared" ref="U5:U10" si="4">MIN(Q5:S5)</f>
        <v>8.5</v>
      </c>
      <c r="V5">
        <f t="shared" ref="V5:V10" si="5">T5-U5</f>
        <v>7.8333333333333321</v>
      </c>
    </row>
    <row r="6" spans="1:32" x14ac:dyDescent="0.3">
      <c r="B6">
        <v>88</v>
      </c>
      <c r="C6">
        <v>12</v>
      </c>
      <c r="D6">
        <v>13</v>
      </c>
      <c r="E6">
        <v>87</v>
      </c>
      <c r="G6">
        <v>96</v>
      </c>
      <c r="H6">
        <v>4</v>
      </c>
      <c r="I6">
        <v>15</v>
      </c>
      <c r="J6">
        <v>85</v>
      </c>
      <c r="L6">
        <v>88</v>
      </c>
      <c r="M6">
        <v>12</v>
      </c>
      <c r="N6">
        <v>32</v>
      </c>
      <c r="O6">
        <v>68</v>
      </c>
      <c r="Q6">
        <f t="shared" si="0"/>
        <v>12.5</v>
      </c>
      <c r="R6">
        <f t="shared" si="1"/>
        <v>9.5</v>
      </c>
      <c r="S6">
        <f t="shared" si="2"/>
        <v>22</v>
      </c>
      <c r="T6">
        <f t="shared" si="3"/>
        <v>14.666666666666666</v>
      </c>
      <c r="U6">
        <f t="shared" si="4"/>
        <v>9.5</v>
      </c>
      <c r="V6">
        <f t="shared" si="5"/>
        <v>5.1666666666666661</v>
      </c>
    </row>
    <row r="7" spans="1:32" x14ac:dyDescent="0.3">
      <c r="B7">
        <v>88</v>
      </c>
      <c r="C7">
        <v>12</v>
      </c>
      <c r="D7">
        <v>13</v>
      </c>
      <c r="E7">
        <v>87</v>
      </c>
      <c r="G7">
        <v>95</v>
      </c>
      <c r="H7">
        <v>5</v>
      </c>
      <c r="I7">
        <v>19</v>
      </c>
      <c r="J7">
        <v>81</v>
      </c>
      <c r="L7">
        <v>86</v>
      </c>
      <c r="M7">
        <v>14</v>
      </c>
      <c r="N7">
        <v>39</v>
      </c>
      <c r="O7">
        <v>61</v>
      </c>
      <c r="Q7">
        <f t="shared" si="0"/>
        <v>12.5</v>
      </c>
      <c r="R7">
        <f t="shared" si="1"/>
        <v>12</v>
      </c>
      <c r="S7">
        <f t="shared" si="2"/>
        <v>26.5</v>
      </c>
      <c r="T7">
        <f t="shared" si="3"/>
        <v>17</v>
      </c>
      <c r="U7">
        <f t="shared" si="4"/>
        <v>12</v>
      </c>
      <c r="V7">
        <f t="shared" si="5"/>
        <v>5</v>
      </c>
    </row>
    <row r="8" spans="1:32" x14ac:dyDescent="0.3">
      <c r="B8">
        <v>73</v>
      </c>
      <c r="C8">
        <v>27</v>
      </c>
      <c r="D8">
        <v>19</v>
      </c>
      <c r="E8">
        <v>81</v>
      </c>
      <c r="G8">
        <v>95</v>
      </c>
      <c r="H8">
        <v>5</v>
      </c>
      <c r="I8">
        <v>18</v>
      </c>
      <c r="J8">
        <v>82</v>
      </c>
      <c r="L8">
        <v>84</v>
      </c>
      <c r="M8">
        <v>16</v>
      </c>
      <c r="N8">
        <v>23</v>
      </c>
      <c r="O8">
        <v>77</v>
      </c>
      <c r="Q8">
        <f t="shared" si="0"/>
        <v>23</v>
      </c>
      <c r="R8">
        <f t="shared" si="1"/>
        <v>11.5</v>
      </c>
      <c r="S8">
        <f t="shared" si="2"/>
        <v>19.5</v>
      </c>
      <c r="T8">
        <f t="shared" si="3"/>
        <v>18</v>
      </c>
      <c r="U8">
        <f t="shared" si="4"/>
        <v>11.5</v>
      </c>
      <c r="V8">
        <f t="shared" si="5"/>
        <v>6.5</v>
      </c>
    </row>
    <row r="9" spans="1:32" x14ac:dyDescent="0.3">
      <c r="B9">
        <v>77</v>
      </c>
      <c r="C9">
        <v>23</v>
      </c>
      <c r="D9">
        <v>11</v>
      </c>
      <c r="E9">
        <v>89</v>
      </c>
      <c r="G9">
        <v>86</v>
      </c>
      <c r="H9">
        <v>14</v>
      </c>
      <c r="I9">
        <v>13</v>
      </c>
      <c r="J9">
        <v>87</v>
      </c>
      <c r="L9">
        <v>74</v>
      </c>
      <c r="M9">
        <v>26</v>
      </c>
      <c r="N9">
        <v>22</v>
      </c>
      <c r="O9">
        <v>78</v>
      </c>
      <c r="Q9">
        <f t="shared" si="0"/>
        <v>17</v>
      </c>
      <c r="R9">
        <f t="shared" si="1"/>
        <v>13.5</v>
      </c>
      <c r="S9">
        <f t="shared" si="2"/>
        <v>24</v>
      </c>
      <c r="T9">
        <f t="shared" si="3"/>
        <v>18.166666666666668</v>
      </c>
      <c r="U9">
        <f t="shared" si="4"/>
        <v>13.5</v>
      </c>
      <c r="V9">
        <f t="shared" si="5"/>
        <v>4.6666666666666679</v>
      </c>
    </row>
    <row r="10" spans="1:32" x14ac:dyDescent="0.3">
      <c r="B10">
        <v>80</v>
      </c>
      <c r="C10">
        <v>20</v>
      </c>
      <c r="D10">
        <v>13</v>
      </c>
      <c r="E10">
        <v>87</v>
      </c>
      <c r="G10">
        <v>90</v>
      </c>
      <c r="H10">
        <v>10</v>
      </c>
      <c r="I10">
        <v>16</v>
      </c>
      <c r="J10">
        <v>84</v>
      </c>
      <c r="L10">
        <v>92</v>
      </c>
      <c r="M10">
        <v>8</v>
      </c>
      <c r="N10">
        <v>35</v>
      </c>
      <c r="O10">
        <v>65</v>
      </c>
      <c r="Q10">
        <f t="shared" si="0"/>
        <v>16.5</v>
      </c>
      <c r="R10">
        <f t="shared" si="1"/>
        <v>13</v>
      </c>
      <c r="S10">
        <f t="shared" si="2"/>
        <v>21.5</v>
      </c>
      <c r="T10">
        <f t="shared" si="3"/>
        <v>17</v>
      </c>
      <c r="U10">
        <f t="shared" si="4"/>
        <v>13</v>
      </c>
      <c r="V10">
        <f t="shared" si="5"/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5A84A-0B17-453A-AC24-3659BE690EA1}">
  <dimension ref="B2:AF14"/>
  <sheetViews>
    <sheetView topLeftCell="L1" workbookViewId="0">
      <selection activeCell="AF4" sqref="W4:AF4"/>
    </sheetView>
  </sheetViews>
  <sheetFormatPr defaultRowHeight="14.4" x14ac:dyDescent="0.3"/>
  <sheetData>
    <row r="2" spans="2:32" x14ac:dyDescent="0.3"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26</v>
      </c>
      <c r="X2" t="s">
        <v>21</v>
      </c>
      <c r="Y2" t="s">
        <v>27</v>
      </c>
      <c r="Z2" t="s">
        <v>22</v>
      </c>
      <c r="AA2" t="s">
        <v>28</v>
      </c>
      <c r="AB2" t="s">
        <v>23</v>
      </c>
      <c r="AC2" t="s">
        <v>0</v>
      </c>
      <c r="AD2" t="s">
        <v>15</v>
      </c>
      <c r="AE2" t="s">
        <v>17</v>
      </c>
      <c r="AF2" t="s">
        <v>18</v>
      </c>
    </row>
    <row r="4" spans="2:32" x14ac:dyDescent="0.3">
      <c r="B4">
        <v>86</v>
      </c>
      <c r="C4">
        <v>14</v>
      </c>
      <c r="D4">
        <v>13</v>
      </c>
      <c r="E4">
        <v>87</v>
      </c>
      <c r="G4">
        <v>96</v>
      </c>
      <c r="H4">
        <v>4</v>
      </c>
      <c r="I4">
        <v>17</v>
      </c>
      <c r="J4">
        <v>83</v>
      </c>
      <c r="L4">
        <v>85</v>
      </c>
      <c r="M4">
        <v>15</v>
      </c>
      <c r="N4">
        <v>35</v>
      </c>
      <c r="O4">
        <v>65</v>
      </c>
      <c r="Q4">
        <f>AVERAGE(C4,D4)</f>
        <v>13.5</v>
      </c>
      <c r="R4">
        <f>AVERAGE(H4,I4)</f>
        <v>10.5</v>
      </c>
      <c r="S4">
        <f>AVERAGE(M4,N4)</f>
        <v>25</v>
      </c>
      <c r="T4">
        <f>AVERAGE(Q4:S4)</f>
        <v>16.333333333333332</v>
      </c>
      <c r="U4">
        <f>MIN(Q4:S4)</f>
        <v>10.5</v>
      </c>
      <c r="V4">
        <f>T4-U4</f>
        <v>5.8333333333333321</v>
      </c>
      <c r="W4">
        <f>AVERAGE(Q4:Q15)</f>
        <v>16.681818181818183</v>
      </c>
      <c r="X4">
        <f>_xlfn.STDEV.S(Q4:Q15)</f>
        <v>3.8940514074208563</v>
      </c>
      <c r="Y4">
        <f>AVERAGE(R4:R15)</f>
        <v>11.181818181818182</v>
      </c>
      <c r="Z4">
        <f>_xlfn.STDEV.S(R4:R15)</f>
        <v>2.72279936161965</v>
      </c>
      <c r="AA4">
        <f>AVERAGE(S4:S15)</f>
        <v>23.681818181818183</v>
      </c>
      <c r="AB4">
        <f>_xlfn.STDEV.S(S4:S15)</f>
        <v>5.7326814287588315</v>
      </c>
      <c r="AC4">
        <f>AVERAGE(T4:T15)</f>
        <v>17.181818181818183</v>
      </c>
      <c r="AD4">
        <f>_xlfn.STDEV.S(T4:T15)</f>
        <v>2.3914832048734582</v>
      </c>
      <c r="AE4">
        <f>AVERAGE(V4:V15)</f>
        <v>6.1363636363636349</v>
      </c>
      <c r="AF4">
        <f>_xlfn.STDEV.S(V4:V15)</f>
        <v>1.9773975346654571</v>
      </c>
    </row>
    <row r="5" spans="2:32" x14ac:dyDescent="0.3">
      <c r="B5">
        <v>87</v>
      </c>
      <c r="C5">
        <v>13</v>
      </c>
      <c r="D5">
        <v>19</v>
      </c>
      <c r="E5">
        <v>81</v>
      </c>
      <c r="G5">
        <v>95</v>
      </c>
      <c r="H5">
        <v>5</v>
      </c>
      <c r="I5">
        <v>15</v>
      </c>
      <c r="J5">
        <v>85</v>
      </c>
      <c r="L5">
        <v>91</v>
      </c>
      <c r="M5">
        <v>9</v>
      </c>
      <c r="N5">
        <v>34</v>
      </c>
      <c r="O5">
        <v>66</v>
      </c>
      <c r="Q5">
        <f t="shared" ref="Q5:Q14" si="0">AVERAGE(C5,D5)</f>
        <v>16</v>
      </c>
      <c r="R5">
        <f t="shared" ref="R5:R14" si="1">AVERAGE(H5,I5)</f>
        <v>10</v>
      </c>
      <c r="S5">
        <f t="shared" ref="S5:S14" si="2">AVERAGE(M5,N5)</f>
        <v>21.5</v>
      </c>
      <c r="T5">
        <f t="shared" ref="T5:T14" si="3">AVERAGE(Q5:S5)</f>
        <v>15.833333333333334</v>
      </c>
      <c r="U5">
        <f t="shared" ref="U5:U14" si="4">MIN(Q5:S5)</f>
        <v>10</v>
      </c>
      <c r="V5">
        <f t="shared" ref="V5:V14" si="5">T5-U5</f>
        <v>5.8333333333333339</v>
      </c>
    </row>
    <row r="6" spans="2:32" x14ac:dyDescent="0.3">
      <c r="B6">
        <v>84</v>
      </c>
      <c r="C6">
        <v>16</v>
      </c>
      <c r="D6">
        <v>14</v>
      </c>
      <c r="E6">
        <v>86</v>
      </c>
      <c r="G6">
        <v>92</v>
      </c>
      <c r="H6">
        <v>8</v>
      </c>
      <c r="I6">
        <v>12</v>
      </c>
      <c r="J6">
        <v>88</v>
      </c>
      <c r="L6">
        <v>85</v>
      </c>
      <c r="M6">
        <v>15</v>
      </c>
      <c r="N6">
        <v>21</v>
      </c>
      <c r="O6">
        <v>79</v>
      </c>
      <c r="Q6">
        <f t="shared" si="0"/>
        <v>15</v>
      </c>
      <c r="R6">
        <f t="shared" si="1"/>
        <v>10</v>
      </c>
      <c r="S6">
        <f t="shared" si="2"/>
        <v>18</v>
      </c>
      <c r="T6">
        <f t="shared" si="3"/>
        <v>14.333333333333334</v>
      </c>
      <c r="U6">
        <f t="shared" si="4"/>
        <v>10</v>
      </c>
      <c r="V6">
        <f t="shared" si="5"/>
        <v>4.3333333333333339</v>
      </c>
    </row>
    <row r="7" spans="2:32" x14ac:dyDescent="0.3">
      <c r="B7">
        <v>83</v>
      </c>
      <c r="C7">
        <v>17</v>
      </c>
      <c r="D7">
        <v>10</v>
      </c>
      <c r="E7">
        <v>90</v>
      </c>
      <c r="G7">
        <v>93</v>
      </c>
      <c r="H7">
        <v>7</v>
      </c>
      <c r="I7">
        <v>5</v>
      </c>
      <c r="J7">
        <v>95</v>
      </c>
      <c r="L7">
        <v>77</v>
      </c>
      <c r="M7">
        <v>23</v>
      </c>
      <c r="N7">
        <v>13</v>
      </c>
      <c r="O7">
        <v>87</v>
      </c>
      <c r="Q7">
        <f t="shared" si="0"/>
        <v>13.5</v>
      </c>
      <c r="R7">
        <f t="shared" si="1"/>
        <v>6</v>
      </c>
      <c r="S7">
        <f t="shared" si="2"/>
        <v>18</v>
      </c>
      <c r="T7">
        <f t="shared" si="3"/>
        <v>12.5</v>
      </c>
      <c r="U7">
        <f t="shared" si="4"/>
        <v>6</v>
      </c>
      <c r="V7">
        <f t="shared" si="5"/>
        <v>6.5</v>
      </c>
    </row>
    <row r="8" spans="2:32" x14ac:dyDescent="0.3">
      <c r="B8">
        <v>74</v>
      </c>
      <c r="C8">
        <v>26</v>
      </c>
      <c r="D8">
        <v>11</v>
      </c>
      <c r="E8">
        <v>89</v>
      </c>
      <c r="G8">
        <v>92</v>
      </c>
      <c r="H8">
        <v>8</v>
      </c>
      <c r="I8">
        <v>18</v>
      </c>
      <c r="J8">
        <v>82</v>
      </c>
      <c r="L8">
        <v>83</v>
      </c>
      <c r="M8">
        <v>17</v>
      </c>
      <c r="N8">
        <v>29</v>
      </c>
      <c r="O8">
        <v>71</v>
      </c>
      <c r="Q8">
        <f t="shared" si="0"/>
        <v>18.5</v>
      </c>
      <c r="R8">
        <f t="shared" si="1"/>
        <v>13</v>
      </c>
      <c r="S8">
        <f t="shared" si="2"/>
        <v>23</v>
      </c>
      <c r="T8">
        <f t="shared" si="3"/>
        <v>18.166666666666668</v>
      </c>
      <c r="U8">
        <f t="shared" si="4"/>
        <v>13</v>
      </c>
      <c r="V8">
        <f t="shared" si="5"/>
        <v>5.1666666666666679</v>
      </c>
    </row>
    <row r="9" spans="2:32" x14ac:dyDescent="0.3">
      <c r="B9">
        <v>83</v>
      </c>
      <c r="C9">
        <v>17</v>
      </c>
      <c r="D9">
        <v>22</v>
      </c>
      <c r="E9">
        <v>78</v>
      </c>
      <c r="G9">
        <v>98</v>
      </c>
      <c r="H9">
        <v>2</v>
      </c>
      <c r="I9">
        <v>17</v>
      </c>
      <c r="J9">
        <v>83</v>
      </c>
      <c r="L9">
        <v>86</v>
      </c>
      <c r="M9">
        <v>14</v>
      </c>
      <c r="N9">
        <v>48</v>
      </c>
      <c r="O9">
        <v>52</v>
      </c>
      <c r="Q9">
        <f t="shared" si="0"/>
        <v>19.5</v>
      </c>
      <c r="R9">
        <f t="shared" si="1"/>
        <v>9.5</v>
      </c>
      <c r="S9">
        <f t="shared" si="2"/>
        <v>31</v>
      </c>
      <c r="T9">
        <f t="shared" si="3"/>
        <v>20</v>
      </c>
      <c r="U9">
        <f t="shared" si="4"/>
        <v>9.5</v>
      </c>
      <c r="V9">
        <f t="shared" si="5"/>
        <v>10.5</v>
      </c>
    </row>
    <row r="10" spans="2:32" x14ac:dyDescent="0.3">
      <c r="B10">
        <v>75</v>
      </c>
      <c r="C10">
        <v>25</v>
      </c>
      <c r="D10">
        <v>20</v>
      </c>
      <c r="E10">
        <v>80</v>
      </c>
      <c r="G10">
        <v>84</v>
      </c>
      <c r="H10">
        <v>16</v>
      </c>
      <c r="I10">
        <v>18</v>
      </c>
      <c r="J10">
        <v>82</v>
      </c>
      <c r="L10">
        <v>84</v>
      </c>
      <c r="M10">
        <v>16</v>
      </c>
      <c r="N10">
        <v>15</v>
      </c>
      <c r="O10">
        <v>85</v>
      </c>
      <c r="Q10">
        <f t="shared" si="0"/>
        <v>22.5</v>
      </c>
      <c r="R10">
        <f t="shared" si="1"/>
        <v>17</v>
      </c>
      <c r="S10">
        <f t="shared" si="2"/>
        <v>15.5</v>
      </c>
      <c r="T10">
        <f t="shared" si="3"/>
        <v>18.333333333333332</v>
      </c>
      <c r="U10">
        <f t="shared" si="4"/>
        <v>15.5</v>
      </c>
      <c r="V10">
        <f t="shared" si="5"/>
        <v>2.8333333333333321</v>
      </c>
    </row>
    <row r="11" spans="2:32" x14ac:dyDescent="0.3">
      <c r="B11">
        <v>69</v>
      </c>
      <c r="C11">
        <v>31</v>
      </c>
      <c r="D11">
        <v>16</v>
      </c>
      <c r="E11">
        <v>84</v>
      </c>
      <c r="G11">
        <v>94</v>
      </c>
      <c r="H11">
        <v>6</v>
      </c>
      <c r="I11">
        <v>20</v>
      </c>
      <c r="J11">
        <v>80</v>
      </c>
      <c r="L11">
        <v>89</v>
      </c>
      <c r="M11">
        <v>11</v>
      </c>
      <c r="N11">
        <v>35</v>
      </c>
      <c r="O11">
        <v>65</v>
      </c>
      <c r="Q11">
        <f t="shared" si="0"/>
        <v>23.5</v>
      </c>
      <c r="R11">
        <f t="shared" si="1"/>
        <v>13</v>
      </c>
      <c r="S11">
        <f t="shared" si="2"/>
        <v>23</v>
      </c>
      <c r="T11">
        <f t="shared" si="3"/>
        <v>19.833333333333332</v>
      </c>
      <c r="U11">
        <f t="shared" si="4"/>
        <v>13</v>
      </c>
      <c r="V11">
        <f t="shared" si="5"/>
        <v>6.8333333333333321</v>
      </c>
    </row>
    <row r="12" spans="2:32" x14ac:dyDescent="0.3">
      <c r="B12">
        <v>84</v>
      </c>
      <c r="C12">
        <v>16</v>
      </c>
      <c r="D12">
        <v>14</v>
      </c>
      <c r="E12">
        <v>86</v>
      </c>
      <c r="G12">
        <v>98</v>
      </c>
      <c r="H12">
        <v>2</v>
      </c>
      <c r="I12">
        <v>20</v>
      </c>
      <c r="J12">
        <v>80</v>
      </c>
      <c r="L12">
        <v>86</v>
      </c>
      <c r="M12">
        <v>14</v>
      </c>
      <c r="N12">
        <v>30</v>
      </c>
      <c r="O12">
        <v>70</v>
      </c>
      <c r="Q12">
        <f t="shared" si="0"/>
        <v>15</v>
      </c>
      <c r="R12">
        <f t="shared" si="1"/>
        <v>11</v>
      </c>
      <c r="S12">
        <f t="shared" si="2"/>
        <v>22</v>
      </c>
      <c r="T12">
        <f t="shared" si="3"/>
        <v>16</v>
      </c>
      <c r="U12">
        <f t="shared" si="4"/>
        <v>11</v>
      </c>
      <c r="V12">
        <f t="shared" si="5"/>
        <v>5</v>
      </c>
    </row>
    <row r="13" spans="2:32" x14ac:dyDescent="0.3">
      <c r="B13">
        <v>91</v>
      </c>
      <c r="C13">
        <v>9</v>
      </c>
      <c r="D13">
        <v>13</v>
      </c>
      <c r="E13">
        <v>87</v>
      </c>
      <c r="G13">
        <v>94</v>
      </c>
      <c r="H13">
        <v>6</v>
      </c>
      <c r="I13">
        <v>16</v>
      </c>
      <c r="J13">
        <v>84</v>
      </c>
      <c r="L13">
        <v>77</v>
      </c>
      <c r="M13">
        <v>23</v>
      </c>
      <c r="N13">
        <v>43</v>
      </c>
      <c r="O13">
        <v>57</v>
      </c>
      <c r="Q13">
        <f t="shared" si="0"/>
        <v>11</v>
      </c>
      <c r="R13">
        <f t="shared" si="1"/>
        <v>11</v>
      </c>
      <c r="S13">
        <f t="shared" si="2"/>
        <v>33</v>
      </c>
      <c r="T13">
        <f t="shared" si="3"/>
        <v>18.333333333333332</v>
      </c>
      <c r="U13">
        <f t="shared" si="4"/>
        <v>11</v>
      </c>
      <c r="V13">
        <f t="shared" si="5"/>
        <v>7.3333333333333321</v>
      </c>
    </row>
    <row r="14" spans="2:32" x14ac:dyDescent="0.3">
      <c r="B14">
        <v>80</v>
      </c>
      <c r="C14">
        <v>20</v>
      </c>
      <c r="D14">
        <v>11</v>
      </c>
      <c r="E14">
        <v>89</v>
      </c>
      <c r="G14">
        <v>96</v>
      </c>
      <c r="H14">
        <v>4</v>
      </c>
      <c r="I14">
        <v>20</v>
      </c>
      <c r="J14">
        <v>80</v>
      </c>
      <c r="L14">
        <v>85</v>
      </c>
      <c r="M14">
        <v>15</v>
      </c>
      <c r="N14">
        <v>46</v>
      </c>
      <c r="O14">
        <v>54</v>
      </c>
      <c r="Q14">
        <f t="shared" si="0"/>
        <v>15.5</v>
      </c>
      <c r="R14">
        <f t="shared" si="1"/>
        <v>12</v>
      </c>
      <c r="S14">
        <f t="shared" si="2"/>
        <v>30.5</v>
      </c>
      <c r="T14">
        <f t="shared" si="3"/>
        <v>19.333333333333332</v>
      </c>
      <c r="U14">
        <f t="shared" si="4"/>
        <v>12</v>
      </c>
      <c r="V14">
        <f t="shared" si="5"/>
        <v>7.3333333333333321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4"/>
  <sheetViews>
    <sheetView topLeftCell="K1" workbookViewId="0">
      <selection activeCell="W4" sqref="W4:AF4"/>
    </sheetView>
  </sheetViews>
  <sheetFormatPr defaultRowHeight="14.4" x14ac:dyDescent="0.3"/>
  <sheetData>
    <row r="2" spans="1:32" x14ac:dyDescent="0.3">
      <c r="A2" t="s">
        <v>25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26</v>
      </c>
      <c r="X2" t="s">
        <v>21</v>
      </c>
      <c r="Y2" t="s">
        <v>27</v>
      </c>
      <c r="Z2" t="s">
        <v>22</v>
      </c>
      <c r="AA2" t="s">
        <v>28</v>
      </c>
      <c r="AB2" t="s">
        <v>23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19</v>
      </c>
      <c r="F3" t="s">
        <v>29</v>
      </c>
      <c r="K3" t="s">
        <v>20</v>
      </c>
    </row>
    <row r="4" spans="1:32" x14ac:dyDescent="0.3">
      <c r="B4">
        <v>78</v>
      </c>
      <c r="C4">
        <v>22</v>
      </c>
      <c r="D4">
        <v>19</v>
      </c>
      <c r="E4">
        <v>81</v>
      </c>
      <c r="G4">
        <v>93</v>
      </c>
      <c r="H4">
        <v>7</v>
      </c>
      <c r="I4">
        <v>15</v>
      </c>
      <c r="J4">
        <v>85</v>
      </c>
      <c r="L4">
        <v>87</v>
      </c>
      <c r="M4">
        <v>13</v>
      </c>
      <c r="N4">
        <v>30</v>
      </c>
      <c r="O4">
        <v>70</v>
      </c>
      <c r="Q4">
        <f>AVERAGE(C4,D4)</f>
        <v>20.5</v>
      </c>
      <c r="R4">
        <f>AVERAGE(H4,I4)</f>
        <v>11</v>
      </c>
      <c r="S4">
        <f>AVERAGE(M4,N4)</f>
        <v>21.5</v>
      </c>
      <c r="T4">
        <f>AVERAGE(Q4:S4)</f>
        <v>17.666666666666668</v>
      </c>
      <c r="U4">
        <f>MIN(Q4:S4)</f>
        <v>11</v>
      </c>
      <c r="V4">
        <f>T4-U4</f>
        <v>6.6666666666666679</v>
      </c>
      <c r="W4">
        <f>AVERAGE(Q4:Q16)</f>
        <v>17.681818181818183</v>
      </c>
      <c r="X4">
        <f>_xlfn.STDEV.S(Q4:Q16)</f>
        <v>3.0925129528647655</v>
      </c>
      <c r="Y4">
        <f>AVERAGE(R4:R16)</f>
        <v>10.227272727272727</v>
      </c>
      <c r="Z4">
        <f>_xlfn.STDEV.S(R4:R16)</f>
        <v>2.7601053998320109</v>
      </c>
      <c r="AA4">
        <f>AVERAGE(S4:S16)</f>
        <v>22.727272727272727</v>
      </c>
      <c r="AB4">
        <f>_xlfn.STDEV.S(S4:S16)</f>
        <v>4.1253099057139693</v>
      </c>
      <c r="AC4">
        <f>AVERAGE(T4:T16)</f>
        <v>16.878787878787879</v>
      </c>
      <c r="AD4">
        <f>_xlfn.STDEV.S(T4:T16)</f>
        <v>1.4183145496032117</v>
      </c>
      <c r="AE4">
        <f>AVERAGE(V4:V16)</f>
        <v>6.6969696969696972</v>
      </c>
      <c r="AF4">
        <f>_xlfn.STDEV.S(V4:V16)</f>
        <v>3.1559627707089666</v>
      </c>
    </row>
    <row r="5" spans="1:32" x14ac:dyDescent="0.3">
      <c r="B5">
        <v>60</v>
      </c>
      <c r="C5">
        <v>40</v>
      </c>
      <c r="D5">
        <v>3</v>
      </c>
      <c r="E5">
        <v>97</v>
      </c>
      <c r="G5">
        <v>95</v>
      </c>
      <c r="H5">
        <v>5</v>
      </c>
      <c r="I5">
        <v>4</v>
      </c>
      <c r="J5">
        <v>96</v>
      </c>
      <c r="L5">
        <v>62</v>
      </c>
      <c r="M5">
        <v>38</v>
      </c>
      <c r="N5">
        <v>24</v>
      </c>
      <c r="O5">
        <v>76</v>
      </c>
      <c r="Q5">
        <f t="shared" ref="Q5:Q14" si="0">AVERAGE(C5,D5)</f>
        <v>21.5</v>
      </c>
      <c r="R5">
        <f t="shared" ref="R5:R14" si="1">AVERAGE(H5,I5)</f>
        <v>4.5</v>
      </c>
      <c r="S5">
        <f t="shared" ref="S5:S14" si="2">AVERAGE(M5,N5)</f>
        <v>31</v>
      </c>
      <c r="T5">
        <f t="shared" ref="T5:T14" si="3">AVERAGE(Q5:S5)</f>
        <v>19</v>
      </c>
      <c r="U5">
        <f t="shared" ref="U5:U14" si="4">MIN(Q5:S5)</f>
        <v>4.5</v>
      </c>
      <c r="V5">
        <f t="shared" ref="V5:V14" si="5">T5-U5</f>
        <v>14.5</v>
      </c>
    </row>
    <row r="6" spans="1:32" x14ac:dyDescent="0.3">
      <c r="B6">
        <v>77</v>
      </c>
      <c r="C6">
        <v>23</v>
      </c>
      <c r="D6">
        <v>10</v>
      </c>
      <c r="E6">
        <v>90</v>
      </c>
      <c r="G6">
        <v>87</v>
      </c>
      <c r="H6">
        <v>13</v>
      </c>
      <c r="I6">
        <v>10</v>
      </c>
      <c r="J6">
        <v>90</v>
      </c>
      <c r="L6">
        <v>83</v>
      </c>
      <c r="M6">
        <v>17</v>
      </c>
      <c r="N6">
        <v>28</v>
      </c>
      <c r="O6">
        <v>72</v>
      </c>
      <c r="Q6">
        <f t="shared" si="0"/>
        <v>16.5</v>
      </c>
      <c r="R6">
        <f t="shared" si="1"/>
        <v>11.5</v>
      </c>
      <c r="S6">
        <f t="shared" si="2"/>
        <v>22.5</v>
      </c>
      <c r="T6">
        <f t="shared" si="3"/>
        <v>16.833333333333332</v>
      </c>
      <c r="U6">
        <f t="shared" si="4"/>
        <v>11.5</v>
      </c>
      <c r="V6">
        <f t="shared" si="5"/>
        <v>5.3333333333333321</v>
      </c>
    </row>
    <row r="7" spans="1:32" x14ac:dyDescent="0.3">
      <c r="B7">
        <v>86</v>
      </c>
      <c r="C7">
        <v>14</v>
      </c>
      <c r="D7">
        <v>20</v>
      </c>
      <c r="E7">
        <v>80</v>
      </c>
      <c r="G7">
        <v>88</v>
      </c>
      <c r="H7">
        <v>12</v>
      </c>
      <c r="I7">
        <v>4</v>
      </c>
      <c r="J7">
        <v>96</v>
      </c>
      <c r="L7">
        <v>79</v>
      </c>
      <c r="M7">
        <v>21</v>
      </c>
      <c r="N7">
        <v>26</v>
      </c>
      <c r="O7">
        <v>74</v>
      </c>
      <c r="Q7">
        <f t="shared" si="0"/>
        <v>17</v>
      </c>
      <c r="R7">
        <f t="shared" si="1"/>
        <v>8</v>
      </c>
      <c r="S7">
        <f t="shared" si="2"/>
        <v>23.5</v>
      </c>
      <c r="T7">
        <f t="shared" si="3"/>
        <v>16.166666666666668</v>
      </c>
      <c r="U7">
        <f t="shared" si="4"/>
        <v>8</v>
      </c>
      <c r="V7">
        <f t="shared" si="5"/>
        <v>8.1666666666666679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91</v>
      </c>
      <c r="H8">
        <v>9</v>
      </c>
      <c r="I8">
        <v>12</v>
      </c>
      <c r="J8">
        <v>88</v>
      </c>
      <c r="L8">
        <v>87</v>
      </c>
      <c r="M8">
        <v>13</v>
      </c>
      <c r="N8">
        <v>23</v>
      </c>
      <c r="O8">
        <v>77</v>
      </c>
      <c r="Q8">
        <f t="shared" si="0"/>
        <v>19.5</v>
      </c>
      <c r="R8">
        <f t="shared" si="1"/>
        <v>10.5</v>
      </c>
      <c r="S8">
        <f t="shared" si="2"/>
        <v>18</v>
      </c>
      <c r="T8">
        <f t="shared" si="3"/>
        <v>16</v>
      </c>
      <c r="U8">
        <f t="shared" si="4"/>
        <v>10.5</v>
      </c>
      <c r="V8">
        <f t="shared" si="5"/>
        <v>5.5</v>
      </c>
    </row>
    <row r="9" spans="1:32" x14ac:dyDescent="0.3">
      <c r="B9">
        <v>84</v>
      </c>
      <c r="C9">
        <v>16</v>
      </c>
      <c r="D9">
        <v>26</v>
      </c>
      <c r="E9">
        <v>74</v>
      </c>
      <c r="G9">
        <v>92</v>
      </c>
      <c r="H9">
        <v>8</v>
      </c>
      <c r="I9">
        <v>16</v>
      </c>
      <c r="J9">
        <v>84</v>
      </c>
      <c r="L9">
        <v>90</v>
      </c>
      <c r="M9">
        <v>10</v>
      </c>
      <c r="N9">
        <v>37</v>
      </c>
      <c r="O9">
        <v>63</v>
      </c>
      <c r="Q9">
        <f t="shared" si="0"/>
        <v>21</v>
      </c>
      <c r="R9">
        <f t="shared" si="1"/>
        <v>12</v>
      </c>
      <c r="S9">
        <f t="shared" si="2"/>
        <v>23.5</v>
      </c>
      <c r="T9">
        <f t="shared" si="3"/>
        <v>18.833333333333332</v>
      </c>
      <c r="U9">
        <f t="shared" si="4"/>
        <v>12</v>
      </c>
      <c r="V9">
        <f t="shared" si="5"/>
        <v>6.8333333333333321</v>
      </c>
    </row>
    <row r="10" spans="1:32" x14ac:dyDescent="0.3">
      <c r="B10">
        <v>80</v>
      </c>
      <c r="C10">
        <v>20</v>
      </c>
      <c r="D10">
        <v>19</v>
      </c>
      <c r="E10">
        <v>81</v>
      </c>
      <c r="G10">
        <v>93</v>
      </c>
      <c r="H10">
        <v>7</v>
      </c>
      <c r="I10">
        <v>24</v>
      </c>
      <c r="J10">
        <v>76</v>
      </c>
      <c r="L10">
        <v>86</v>
      </c>
      <c r="M10">
        <v>14</v>
      </c>
      <c r="N10">
        <v>16</v>
      </c>
      <c r="O10">
        <v>84</v>
      </c>
      <c r="Q10">
        <f t="shared" si="0"/>
        <v>19.5</v>
      </c>
      <c r="R10">
        <f t="shared" si="1"/>
        <v>15.5</v>
      </c>
      <c r="S10">
        <f t="shared" si="2"/>
        <v>15</v>
      </c>
      <c r="T10">
        <f t="shared" si="3"/>
        <v>16.666666666666668</v>
      </c>
      <c r="U10">
        <f t="shared" si="4"/>
        <v>15</v>
      </c>
      <c r="V10">
        <f t="shared" si="5"/>
        <v>1.6666666666666679</v>
      </c>
    </row>
    <row r="11" spans="1:32" x14ac:dyDescent="0.3">
      <c r="B11">
        <v>82</v>
      </c>
      <c r="C11">
        <v>18</v>
      </c>
      <c r="D11">
        <v>19</v>
      </c>
      <c r="E11">
        <v>81</v>
      </c>
      <c r="G11">
        <v>98</v>
      </c>
      <c r="H11">
        <v>2</v>
      </c>
      <c r="I11">
        <v>17</v>
      </c>
      <c r="J11">
        <v>83</v>
      </c>
      <c r="L11">
        <v>87</v>
      </c>
      <c r="M11">
        <v>13</v>
      </c>
      <c r="N11">
        <v>39</v>
      </c>
      <c r="O11">
        <v>61</v>
      </c>
      <c r="Q11">
        <f t="shared" si="0"/>
        <v>18.5</v>
      </c>
      <c r="R11">
        <f t="shared" si="1"/>
        <v>9.5</v>
      </c>
      <c r="S11">
        <f t="shared" si="2"/>
        <v>26</v>
      </c>
      <c r="T11">
        <f t="shared" si="3"/>
        <v>18</v>
      </c>
      <c r="U11">
        <f t="shared" si="4"/>
        <v>9.5</v>
      </c>
      <c r="V11">
        <f t="shared" si="5"/>
        <v>8.5</v>
      </c>
    </row>
    <row r="12" spans="1:32" x14ac:dyDescent="0.3">
      <c r="B12">
        <v>83</v>
      </c>
      <c r="C12">
        <v>17</v>
      </c>
      <c r="D12">
        <v>11</v>
      </c>
      <c r="E12">
        <v>89</v>
      </c>
      <c r="G12">
        <v>96</v>
      </c>
      <c r="H12">
        <v>4</v>
      </c>
      <c r="I12">
        <v>19</v>
      </c>
      <c r="J12">
        <v>81</v>
      </c>
      <c r="L12">
        <v>75</v>
      </c>
      <c r="M12">
        <v>25</v>
      </c>
      <c r="N12">
        <v>23</v>
      </c>
      <c r="O12">
        <v>77</v>
      </c>
      <c r="Q12">
        <f t="shared" si="0"/>
        <v>14</v>
      </c>
      <c r="R12">
        <f t="shared" si="1"/>
        <v>11.5</v>
      </c>
      <c r="S12">
        <f t="shared" si="2"/>
        <v>24</v>
      </c>
      <c r="T12">
        <f t="shared" si="3"/>
        <v>16.5</v>
      </c>
      <c r="U12">
        <f t="shared" si="4"/>
        <v>11.5</v>
      </c>
      <c r="V12">
        <f t="shared" si="5"/>
        <v>5</v>
      </c>
    </row>
    <row r="13" spans="1:32" x14ac:dyDescent="0.3">
      <c r="B13">
        <v>85</v>
      </c>
      <c r="C13">
        <v>15</v>
      </c>
      <c r="D13">
        <v>12</v>
      </c>
      <c r="E13">
        <v>88</v>
      </c>
      <c r="G13">
        <v>97</v>
      </c>
      <c r="H13">
        <v>3</v>
      </c>
      <c r="I13">
        <v>17</v>
      </c>
      <c r="J13">
        <v>83</v>
      </c>
      <c r="L13">
        <v>81</v>
      </c>
      <c r="M13">
        <v>19</v>
      </c>
      <c r="N13">
        <v>29</v>
      </c>
      <c r="O13">
        <v>71</v>
      </c>
      <c r="Q13">
        <f t="shared" si="0"/>
        <v>13.5</v>
      </c>
      <c r="R13">
        <f t="shared" si="1"/>
        <v>10</v>
      </c>
      <c r="S13">
        <f t="shared" si="2"/>
        <v>24</v>
      </c>
      <c r="T13">
        <f t="shared" si="3"/>
        <v>15.833333333333334</v>
      </c>
      <c r="U13">
        <f t="shared" si="4"/>
        <v>10</v>
      </c>
      <c r="V13">
        <f t="shared" si="5"/>
        <v>5.8333333333333339</v>
      </c>
    </row>
    <row r="14" spans="1:32" x14ac:dyDescent="0.3">
      <c r="B14">
        <v>85</v>
      </c>
      <c r="C14">
        <v>15</v>
      </c>
      <c r="D14">
        <v>11</v>
      </c>
      <c r="E14">
        <v>89</v>
      </c>
      <c r="G14">
        <v>92</v>
      </c>
      <c r="H14">
        <v>8</v>
      </c>
      <c r="I14">
        <v>9</v>
      </c>
      <c r="J14">
        <v>91</v>
      </c>
      <c r="L14">
        <v>85</v>
      </c>
      <c r="M14">
        <v>15</v>
      </c>
      <c r="N14">
        <v>27</v>
      </c>
      <c r="O14">
        <v>73</v>
      </c>
      <c r="Q14">
        <f t="shared" si="0"/>
        <v>13</v>
      </c>
      <c r="R14">
        <f t="shared" si="1"/>
        <v>8.5</v>
      </c>
      <c r="S14">
        <f t="shared" si="2"/>
        <v>21</v>
      </c>
      <c r="T14">
        <f t="shared" si="3"/>
        <v>14.166666666666666</v>
      </c>
      <c r="U14">
        <f t="shared" si="4"/>
        <v>8.5</v>
      </c>
      <c r="V14">
        <f t="shared" si="5"/>
        <v>5.6666666666666661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12"/>
  <sheetViews>
    <sheetView topLeftCell="Q1" workbookViewId="0">
      <selection activeCell="AF4" sqref="W4:AF4"/>
    </sheetView>
  </sheetViews>
  <sheetFormatPr defaultRowHeight="14.4" x14ac:dyDescent="0.3"/>
  <sheetData>
    <row r="2" spans="1:32" x14ac:dyDescent="0.3">
      <c r="A2" t="s">
        <v>25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26</v>
      </c>
      <c r="X2" t="s">
        <v>21</v>
      </c>
      <c r="Y2" t="s">
        <v>27</v>
      </c>
      <c r="Z2" t="s">
        <v>22</v>
      </c>
      <c r="AA2" t="s">
        <v>28</v>
      </c>
      <c r="AB2" t="s">
        <v>23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19</v>
      </c>
      <c r="F3" t="s">
        <v>29</v>
      </c>
      <c r="K3" t="s">
        <v>20</v>
      </c>
    </row>
    <row r="4" spans="1:32" x14ac:dyDescent="0.3">
      <c r="B4">
        <v>73</v>
      </c>
      <c r="C4">
        <v>27</v>
      </c>
      <c r="D4">
        <v>13</v>
      </c>
      <c r="E4">
        <v>87</v>
      </c>
      <c r="G4">
        <v>93</v>
      </c>
      <c r="H4">
        <v>7</v>
      </c>
      <c r="I4">
        <v>14</v>
      </c>
      <c r="J4">
        <v>86</v>
      </c>
      <c r="L4">
        <v>84</v>
      </c>
      <c r="M4">
        <v>16</v>
      </c>
      <c r="N4">
        <v>28</v>
      </c>
      <c r="O4">
        <v>72</v>
      </c>
      <c r="Q4">
        <f>AVERAGE(C4,D4)</f>
        <v>20</v>
      </c>
      <c r="R4">
        <f>AVERAGE(H4,I4)</f>
        <v>10.5</v>
      </c>
      <c r="S4">
        <f>AVERAGE(M4,N4)</f>
        <v>22</v>
      </c>
      <c r="T4">
        <f>AVERAGE(Q4:S4)</f>
        <v>17.5</v>
      </c>
      <c r="U4">
        <f>MIN(Q4:S4)</f>
        <v>10.5</v>
      </c>
      <c r="V4">
        <f>T4-U4</f>
        <v>7</v>
      </c>
      <c r="W4">
        <f>AVERAGE(Q4:Q12)</f>
        <v>19.833333333333332</v>
      </c>
      <c r="X4">
        <f>_xlfn.STDEV.S(Q4:Q12)</f>
        <v>2.9790938219532461</v>
      </c>
      <c r="Y4">
        <f>AVERAGE(R4:R12)</f>
        <v>10.444444444444445</v>
      </c>
      <c r="Z4">
        <f>_xlfn.STDEV.S(R4:R12)</f>
        <v>2.2282903261868214</v>
      </c>
      <c r="AA4">
        <f>AVERAGE(S4:S12)</f>
        <v>23.833333333333332</v>
      </c>
      <c r="AB4">
        <f>_xlfn.STDEV.S(S4:S12)</f>
        <v>2.9368350311176825</v>
      </c>
      <c r="AC4">
        <f>AVERAGE(T4:T12)</f>
        <v>18.037037037037035</v>
      </c>
      <c r="AD4">
        <f>_xlfn.STDEV.S(T4:T12)</f>
        <v>1.9839245928521465</v>
      </c>
      <c r="AE4">
        <f>AVERAGE(V4:V12)</f>
        <v>7.5925925925925917</v>
      </c>
      <c r="AF4">
        <f>_xlfn.STDEV.S(V4:V12)</f>
        <v>1.4932977839684056</v>
      </c>
    </row>
    <row r="5" spans="1:32" x14ac:dyDescent="0.3">
      <c r="B5">
        <v>69</v>
      </c>
      <c r="C5">
        <v>31</v>
      </c>
      <c r="D5">
        <v>18</v>
      </c>
      <c r="E5">
        <v>82</v>
      </c>
      <c r="G5">
        <v>90</v>
      </c>
      <c r="H5">
        <v>10</v>
      </c>
      <c r="I5">
        <v>9</v>
      </c>
      <c r="J5">
        <v>91</v>
      </c>
      <c r="L5">
        <v>83</v>
      </c>
      <c r="M5">
        <v>17</v>
      </c>
      <c r="N5">
        <v>24</v>
      </c>
      <c r="O5">
        <v>76</v>
      </c>
      <c r="Q5">
        <f t="shared" ref="Q5:Q12" si="0">AVERAGE(C5,D5)</f>
        <v>24.5</v>
      </c>
      <c r="R5">
        <f t="shared" ref="R5:R12" si="1">AVERAGE(H5,I5)</f>
        <v>9.5</v>
      </c>
      <c r="S5">
        <f t="shared" ref="S5:S12" si="2">AVERAGE(M5,N5)</f>
        <v>20.5</v>
      </c>
      <c r="T5">
        <f t="shared" ref="T5:T12" si="3">AVERAGE(Q5:S5)</f>
        <v>18.166666666666668</v>
      </c>
      <c r="U5">
        <f t="shared" ref="U5:U12" si="4">MIN(Q5:S5)</f>
        <v>9.5</v>
      </c>
      <c r="V5">
        <f t="shared" ref="V5:V12" si="5">T5-U5</f>
        <v>8.6666666666666679</v>
      </c>
    </row>
    <row r="6" spans="1:32" x14ac:dyDescent="0.3">
      <c r="B6">
        <v>70</v>
      </c>
      <c r="C6">
        <v>30</v>
      </c>
      <c r="D6">
        <v>7</v>
      </c>
      <c r="E6">
        <v>93</v>
      </c>
      <c r="G6">
        <v>96</v>
      </c>
      <c r="H6">
        <v>4</v>
      </c>
      <c r="I6">
        <v>13</v>
      </c>
      <c r="J6">
        <v>87</v>
      </c>
      <c r="L6">
        <v>71</v>
      </c>
      <c r="M6">
        <v>29</v>
      </c>
      <c r="N6">
        <v>19</v>
      </c>
      <c r="O6">
        <v>81</v>
      </c>
      <c r="Q6">
        <f t="shared" si="0"/>
        <v>18.5</v>
      </c>
      <c r="R6">
        <f t="shared" si="1"/>
        <v>8.5</v>
      </c>
      <c r="S6">
        <f t="shared" si="2"/>
        <v>24</v>
      </c>
      <c r="T6">
        <f t="shared" si="3"/>
        <v>17</v>
      </c>
      <c r="U6">
        <f t="shared" si="4"/>
        <v>8.5</v>
      </c>
      <c r="V6">
        <f t="shared" si="5"/>
        <v>8.5</v>
      </c>
    </row>
    <row r="7" spans="1:32" x14ac:dyDescent="0.3">
      <c r="B7">
        <v>71</v>
      </c>
      <c r="C7">
        <v>29</v>
      </c>
      <c r="D7">
        <v>8</v>
      </c>
      <c r="E7">
        <v>92</v>
      </c>
      <c r="G7">
        <v>81</v>
      </c>
      <c r="H7">
        <v>19</v>
      </c>
      <c r="I7">
        <v>9</v>
      </c>
      <c r="J7">
        <v>91</v>
      </c>
      <c r="L7">
        <v>74</v>
      </c>
      <c r="M7">
        <v>26</v>
      </c>
      <c r="N7">
        <v>31</v>
      </c>
      <c r="O7">
        <v>69</v>
      </c>
      <c r="Q7">
        <f t="shared" si="0"/>
        <v>18.5</v>
      </c>
      <c r="R7">
        <f t="shared" si="1"/>
        <v>14</v>
      </c>
      <c r="S7">
        <f t="shared" si="2"/>
        <v>28.5</v>
      </c>
      <c r="T7">
        <f t="shared" si="3"/>
        <v>20.333333333333332</v>
      </c>
      <c r="U7">
        <f t="shared" si="4"/>
        <v>14</v>
      </c>
      <c r="V7">
        <f t="shared" si="5"/>
        <v>6.3333333333333321</v>
      </c>
    </row>
    <row r="8" spans="1:32" x14ac:dyDescent="0.3">
      <c r="B8">
        <v>74</v>
      </c>
      <c r="C8">
        <v>26</v>
      </c>
      <c r="D8">
        <v>7</v>
      </c>
      <c r="E8">
        <v>93</v>
      </c>
      <c r="G8">
        <v>94</v>
      </c>
      <c r="H8">
        <v>6</v>
      </c>
      <c r="I8">
        <v>9</v>
      </c>
      <c r="J8">
        <v>91</v>
      </c>
      <c r="L8">
        <v>83</v>
      </c>
      <c r="M8">
        <v>17</v>
      </c>
      <c r="N8">
        <v>28</v>
      </c>
      <c r="O8">
        <v>72</v>
      </c>
      <c r="Q8">
        <f t="shared" si="0"/>
        <v>16.5</v>
      </c>
      <c r="R8">
        <f t="shared" si="1"/>
        <v>7.5</v>
      </c>
      <c r="S8">
        <f t="shared" si="2"/>
        <v>22.5</v>
      </c>
      <c r="T8">
        <f t="shared" si="3"/>
        <v>15.5</v>
      </c>
      <c r="U8">
        <f t="shared" si="4"/>
        <v>7.5</v>
      </c>
      <c r="V8">
        <f t="shared" si="5"/>
        <v>8</v>
      </c>
    </row>
    <row r="9" spans="1:32" x14ac:dyDescent="0.3">
      <c r="B9">
        <v>75</v>
      </c>
      <c r="C9">
        <v>25</v>
      </c>
      <c r="D9">
        <v>8</v>
      </c>
      <c r="E9">
        <v>92</v>
      </c>
      <c r="G9">
        <v>89</v>
      </c>
      <c r="H9">
        <v>11</v>
      </c>
      <c r="I9">
        <v>9</v>
      </c>
      <c r="J9">
        <v>91</v>
      </c>
      <c r="L9">
        <v>80</v>
      </c>
      <c r="M9">
        <v>20</v>
      </c>
      <c r="N9">
        <v>20</v>
      </c>
      <c r="O9">
        <v>80</v>
      </c>
      <c r="Q9">
        <f t="shared" si="0"/>
        <v>16.5</v>
      </c>
      <c r="R9">
        <f t="shared" si="1"/>
        <v>10</v>
      </c>
      <c r="S9">
        <f t="shared" si="2"/>
        <v>20</v>
      </c>
      <c r="T9">
        <f t="shared" si="3"/>
        <v>15.5</v>
      </c>
      <c r="U9">
        <f t="shared" si="4"/>
        <v>10</v>
      </c>
      <c r="V9">
        <f t="shared" si="5"/>
        <v>5.5</v>
      </c>
    </row>
    <row r="10" spans="1:32" x14ac:dyDescent="0.3">
      <c r="B10">
        <v>76</v>
      </c>
      <c r="C10">
        <v>24</v>
      </c>
      <c r="D10">
        <v>22</v>
      </c>
      <c r="E10">
        <v>78</v>
      </c>
      <c r="G10">
        <v>85</v>
      </c>
      <c r="H10">
        <v>15</v>
      </c>
      <c r="I10">
        <v>13</v>
      </c>
      <c r="J10">
        <v>87</v>
      </c>
      <c r="L10">
        <v>77</v>
      </c>
      <c r="M10">
        <v>23</v>
      </c>
      <c r="N10">
        <v>28</v>
      </c>
      <c r="O10">
        <v>72</v>
      </c>
      <c r="Q10">
        <f t="shared" si="0"/>
        <v>23</v>
      </c>
      <c r="R10">
        <f t="shared" si="1"/>
        <v>14</v>
      </c>
      <c r="S10">
        <f t="shared" si="2"/>
        <v>25.5</v>
      </c>
      <c r="T10">
        <f t="shared" si="3"/>
        <v>20.833333333333332</v>
      </c>
      <c r="U10">
        <f t="shared" si="4"/>
        <v>14</v>
      </c>
      <c r="V10">
        <f t="shared" si="5"/>
        <v>6.8333333333333321</v>
      </c>
    </row>
    <row r="11" spans="1:32" x14ac:dyDescent="0.3">
      <c r="B11">
        <v>71</v>
      </c>
      <c r="C11">
        <v>29</v>
      </c>
      <c r="D11">
        <v>17</v>
      </c>
      <c r="E11">
        <v>83</v>
      </c>
      <c r="G11">
        <v>91</v>
      </c>
      <c r="H11">
        <v>9</v>
      </c>
      <c r="I11">
        <v>10</v>
      </c>
      <c r="J11">
        <v>90</v>
      </c>
      <c r="L11">
        <v>77</v>
      </c>
      <c r="M11">
        <v>23</v>
      </c>
      <c r="N11">
        <v>32</v>
      </c>
      <c r="O11">
        <v>68</v>
      </c>
      <c r="Q11">
        <f t="shared" si="0"/>
        <v>23</v>
      </c>
      <c r="R11">
        <f t="shared" si="1"/>
        <v>9.5</v>
      </c>
      <c r="S11">
        <f t="shared" si="2"/>
        <v>27.5</v>
      </c>
      <c r="T11">
        <f t="shared" si="3"/>
        <v>20</v>
      </c>
      <c r="U11">
        <f t="shared" si="4"/>
        <v>9.5</v>
      </c>
      <c r="V11">
        <f t="shared" si="5"/>
        <v>10.5</v>
      </c>
    </row>
    <row r="12" spans="1:32" x14ac:dyDescent="0.3">
      <c r="B12">
        <v>80</v>
      </c>
      <c r="C12">
        <v>20</v>
      </c>
      <c r="D12">
        <v>16</v>
      </c>
      <c r="E12">
        <v>84</v>
      </c>
      <c r="G12">
        <v>89</v>
      </c>
      <c r="H12">
        <v>11</v>
      </c>
      <c r="I12">
        <v>10</v>
      </c>
      <c r="J12">
        <v>90</v>
      </c>
      <c r="L12">
        <v>73</v>
      </c>
      <c r="M12">
        <v>27</v>
      </c>
      <c r="N12">
        <v>21</v>
      </c>
      <c r="O12">
        <v>79</v>
      </c>
      <c r="Q12">
        <f t="shared" si="0"/>
        <v>18</v>
      </c>
      <c r="R12">
        <f t="shared" si="1"/>
        <v>10.5</v>
      </c>
      <c r="S12">
        <f t="shared" si="2"/>
        <v>24</v>
      </c>
      <c r="T12">
        <f t="shared" si="3"/>
        <v>17.5</v>
      </c>
      <c r="U12">
        <f t="shared" si="4"/>
        <v>10.5</v>
      </c>
      <c r="V12">
        <f t="shared" si="5"/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8"/>
  <sheetViews>
    <sheetView topLeftCell="N1" workbookViewId="0">
      <selection activeCell="W4" sqref="W4:AF4"/>
    </sheetView>
  </sheetViews>
  <sheetFormatPr defaultRowHeight="14.4" x14ac:dyDescent="0.3"/>
  <sheetData>
    <row r="2" spans="1:32" x14ac:dyDescent="0.3">
      <c r="A2" t="s">
        <v>25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26</v>
      </c>
      <c r="X2" t="s">
        <v>21</v>
      </c>
      <c r="Y2" t="s">
        <v>27</v>
      </c>
      <c r="Z2" t="s">
        <v>22</v>
      </c>
      <c r="AA2" t="s">
        <v>28</v>
      </c>
      <c r="AB2" t="s">
        <v>23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19</v>
      </c>
      <c r="F3" t="s">
        <v>29</v>
      </c>
      <c r="K3" t="s">
        <v>20</v>
      </c>
    </row>
    <row r="4" spans="1:32" x14ac:dyDescent="0.3">
      <c r="B4">
        <v>80</v>
      </c>
      <c r="C4">
        <v>20</v>
      </c>
      <c r="D4">
        <v>18</v>
      </c>
      <c r="E4">
        <v>82</v>
      </c>
      <c r="G4">
        <v>94</v>
      </c>
      <c r="H4">
        <v>6</v>
      </c>
      <c r="I4">
        <v>19</v>
      </c>
      <c r="J4">
        <v>81</v>
      </c>
      <c r="L4">
        <v>84</v>
      </c>
      <c r="M4">
        <v>16</v>
      </c>
      <c r="N4">
        <v>43</v>
      </c>
      <c r="O4">
        <v>57</v>
      </c>
      <c r="Q4">
        <f>AVERAGE(C4,D4)</f>
        <v>19</v>
      </c>
      <c r="R4">
        <f>AVERAGE(H4,I4)</f>
        <v>12.5</v>
      </c>
      <c r="S4">
        <f>AVERAGE(M4,N4)</f>
        <v>29.5</v>
      </c>
      <c r="T4">
        <f>AVERAGE(Q4:S4)</f>
        <v>20.333333333333332</v>
      </c>
      <c r="U4">
        <f>MIN(Q4:S4)</f>
        <v>12.5</v>
      </c>
      <c r="V4">
        <f>T4-U4</f>
        <v>7.8333333333333321</v>
      </c>
      <c r="W4">
        <f>AVERAGE(Q4:Q12)</f>
        <v>18.5</v>
      </c>
      <c r="X4">
        <f>_xlfn.STDEV.S(Q4:Q12)</f>
        <v>2.3979157616563596</v>
      </c>
      <c r="Y4">
        <f>AVERAGE(R4:R12)</f>
        <v>10.3</v>
      </c>
      <c r="Z4">
        <f>_xlfn.STDEV.S(R4:R12)</f>
        <v>1.6807736313971577</v>
      </c>
      <c r="AA4">
        <f>AVERAGE(S4:S12)</f>
        <v>29.1</v>
      </c>
      <c r="AB4">
        <f>_xlfn.STDEV.S(S4:S12)</f>
        <v>2.7703790354390136</v>
      </c>
      <c r="AC4">
        <f>AVERAGE(T4:T12)</f>
        <v>19.3</v>
      </c>
      <c r="AD4">
        <f>_xlfn.STDEV.S(T4:T12)</f>
        <v>1.3144496102086896</v>
      </c>
      <c r="AE4">
        <f>AVERAGE(V4:V12)</f>
        <v>9</v>
      </c>
      <c r="AF4">
        <f>_xlfn.STDEV.S(V4:V12)</f>
        <v>1.641476300299346</v>
      </c>
    </row>
    <row r="5" spans="1:32" x14ac:dyDescent="0.3">
      <c r="B5">
        <v>83</v>
      </c>
      <c r="C5">
        <v>17</v>
      </c>
      <c r="D5">
        <v>12</v>
      </c>
      <c r="E5">
        <v>88</v>
      </c>
      <c r="G5">
        <v>90</v>
      </c>
      <c r="H5">
        <v>10</v>
      </c>
      <c r="I5">
        <v>8</v>
      </c>
      <c r="J5">
        <v>92</v>
      </c>
      <c r="L5">
        <v>83</v>
      </c>
      <c r="M5">
        <v>17</v>
      </c>
      <c r="N5">
        <v>39</v>
      </c>
      <c r="O5">
        <v>61</v>
      </c>
      <c r="Q5">
        <f t="shared" ref="Q5:Q8" si="0">AVERAGE(C5,D5)</f>
        <v>14.5</v>
      </c>
      <c r="R5">
        <f t="shared" ref="R5:R8" si="1">AVERAGE(H5,I5)</f>
        <v>9</v>
      </c>
      <c r="S5">
        <f t="shared" ref="S5:S8" si="2">AVERAGE(M5,N5)</f>
        <v>28</v>
      </c>
      <c r="T5">
        <f t="shared" ref="T5:T8" si="3">AVERAGE(Q5:S5)</f>
        <v>17.166666666666668</v>
      </c>
      <c r="U5">
        <f t="shared" ref="U5:U8" si="4">MIN(Q5:S5)</f>
        <v>9</v>
      </c>
      <c r="V5">
        <f t="shared" ref="V5:V8" si="5">T5-U5</f>
        <v>8.1666666666666679</v>
      </c>
    </row>
    <row r="6" spans="1:32" x14ac:dyDescent="0.3">
      <c r="B6">
        <v>84</v>
      </c>
      <c r="C6">
        <v>16</v>
      </c>
      <c r="D6">
        <v>22</v>
      </c>
      <c r="E6">
        <v>78</v>
      </c>
      <c r="G6">
        <v>97</v>
      </c>
      <c r="H6">
        <v>3</v>
      </c>
      <c r="I6">
        <v>14</v>
      </c>
      <c r="J6">
        <v>86</v>
      </c>
      <c r="L6">
        <v>72</v>
      </c>
      <c r="M6">
        <v>28</v>
      </c>
      <c r="N6">
        <v>39</v>
      </c>
      <c r="O6">
        <v>61</v>
      </c>
      <c r="Q6">
        <f t="shared" si="0"/>
        <v>19</v>
      </c>
      <c r="R6">
        <f t="shared" si="1"/>
        <v>8.5</v>
      </c>
      <c r="S6">
        <f t="shared" si="2"/>
        <v>33.5</v>
      </c>
      <c r="T6">
        <f t="shared" si="3"/>
        <v>20.333333333333332</v>
      </c>
      <c r="U6">
        <f t="shared" si="4"/>
        <v>8.5</v>
      </c>
      <c r="V6">
        <f t="shared" si="5"/>
        <v>11.833333333333332</v>
      </c>
    </row>
    <row r="7" spans="1:32" x14ac:dyDescent="0.3">
      <c r="B7">
        <v>82</v>
      </c>
      <c r="C7">
        <v>18</v>
      </c>
      <c r="D7">
        <v>20</v>
      </c>
      <c r="E7">
        <v>80</v>
      </c>
      <c r="G7">
        <v>94</v>
      </c>
      <c r="H7">
        <v>6</v>
      </c>
      <c r="I7">
        <v>17</v>
      </c>
      <c r="J7">
        <v>83</v>
      </c>
      <c r="L7">
        <v>85</v>
      </c>
      <c r="M7">
        <v>15</v>
      </c>
      <c r="N7">
        <v>42</v>
      </c>
      <c r="O7">
        <v>58</v>
      </c>
      <c r="Q7">
        <f t="shared" si="0"/>
        <v>19</v>
      </c>
      <c r="R7">
        <f t="shared" si="1"/>
        <v>11.5</v>
      </c>
      <c r="S7">
        <f t="shared" si="2"/>
        <v>28.5</v>
      </c>
      <c r="T7">
        <f t="shared" si="3"/>
        <v>19.666666666666668</v>
      </c>
      <c r="U7">
        <f t="shared" si="4"/>
        <v>11.5</v>
      </c>
      <c r="V7">
        <f t="shared" si="5"/>
        <v>8.1666666666666679</v>
      </c>
    </row>
    <row r="8" spans="1:32" x14ac:dyDescent="0.3">
      <c r="B8">
        <v>82</v>
      </c>
      <c r="C8">
        <v>18</v>
      </c>
      <c r="D8">
        <v>24</v>
      </c>
      <c r="E8">
        <v>76</v>
      </c>
      <c r="G8">
        <v>93</v>
      </c>
      <c r="H8">
        <v>7</v>
      </c>
      <c r="I8">
        <v>13</v>
      </c>
      <c r="J8">
        <v>87</v>
      </c>
      <c r="L8">
        <v>91</v>
      </c>
      <c r="M8">
        <v>9</v>
      </c>
      <c r="N8">
        <v>43</v>
      </c>
      <c r="O8">
        <v>57</v>
      </c>
      <c r="Q8">
        <f t="shared" si="0"/>
        <v>21</v>
      </c>
      <c r="R8">
        <f t="shared" si="1"/>
        <v>10</v>
      </c>
      <c r="S8">
        <f t="shared" si="2"/>
        <v>26</v>
      </c>
      <c r="T8">
        <f t="shared" si="3"/>
        <v>19</v>
      </c>
      <c r="U8">
        <f t="shared" si="4"/>
        <v>10</v>
      </c>
      <c r="V8">
        <f t="shared" si="5"/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1:AF7"/>
  <sheetViews>
    <sheetView topLeftCell="M1" workbookViewId="0">
      <selection activeCell="AF3" sqref="W3:AF3"/>
    </sheetView>
  </sheetViews>
  <sheetFormatPr defaultRowHeight="14.4" x14ac:dyDescent="0.3"/>
  <sheetData>
    <row r="1" spans="1:32" x14ac:dyDescent="0.3">
      <c r="Q1" t="s">
        <v>10</v>
      </c>
      <c r="R1" t="s">
        <v>11</v>
      </c>
      <c r="S1" t="s">
        <v>12</v>
      </c>
      <c r="T1" t="s">
        <v>14</v>
      </c>
      <c r="U1" t="s">
        <v>16</v>
      </c>
      <c r="V1" t="s">
        <v>13</v>
      </c>
      <c r="W1" t="s">
        <v>26</v>
      </c>
      <c r="X1" t="s">
        <v>21</v>
      </c>
      <c r="Y1" t="s">
        <v>27</v>
      </c>
      <c r="Z1" t="s">
        <v>22</v>
      </c>
      <c r="AA1" t="s">
        <v>28</v>
      </c>
      <c r="AB1" t="s">
        <v>23</v>
      </c>
      <c r="AC1" t="s">
        <v>0</v>
      </c>
      <c r="AD1" t="s">
        <v>15</v>
      </c>
      <c r="AE1" t="s">
        <v>17</v>
      </c>
      <c r="AF1" t="s">
        <v>18</v>
      </c>
    </row>
    <row r="2" spans="1:32" x14ac:dyDescent="0.3">
      <c r="A2" t="s">
        <v>33</v>
      </c>
    </row>
    <row r="3" spans="1:32" x14ac:dyDescent="0.3">
      <c r="B3">
        <v>88</v>
      </c>
      <c r="C3">
        <v>12</v>
      </c>
      <c r="D3">
        <v>24</v>
      </c>
      <c r="E3">
        <v>76</v>
      </c>
      <c r="G3">
        <v>97</v>
      </c>
      <c r="H3">
        <v>3</v>
      </c>
      <c r="I3">
        <v>19</v>
      </c>
      <c r="J3">
        <v>81</v>
      </c>
      <c r="L3">
        <v>80</v>
      </c>
      <c r="M3">
        <v>20</v>
      </c>
      <c r="N3">
        <v>36</v>
      </c>
      <c r="O3">
        <v>64</v>
      </c>
      <c r="Q3">
        <f>AVERAGE(C3,D3)</f>
        <v>18</v>
      </c>
      <c r="R3">
        <f>AVERAGE(H3,I3)</f>
        <v>11</v>
      </c>
      <c r="S3">
        <f>AVERAGE(M3,N3)</f>
        <v>28</v>
      </c>
      <c r="T3">
        <f>AVERAGE(Q3:S3)</f>
        <v>19</v>
      </c>
      <c r="U3">
        <f>MIN(Q3:S3)</f>
        <v>11</v>
      </c>
      <c r="V3">
        <f>T3-U3</f>
        <v>8</v>
      </c>
      <c r="W3">
        <f>AVERAGE(Q3:Q11)</f>
        <v>18.3</v>
      </c>
      <c r="X3">
        <f>_xlfn.STDEV.S(Q3:Q11)</f>
        <v>4.0865633483405084</v>
      </c>
      <c r="Y3">
        <f>AVERAGE(R3:R11)</f>
        <v>10.1</v>
      </c>
      <c r="Z3">
        <f>_xlfn.STDEV.S(R3:R11)</f>
        <v>2.0124611797498102</v>
      </c>
      <c r="AA3">
        <f>AVERAGE(S3:S11)</f>
        <v>29.3</v>
      </c>
      <c r="AB3">
        <f>_xlfn.STDEV.S(S3:S11)</f>
        <v>2.9068883707497268</v>
      </c>
      <c r="AC3">
        <f>AVERAGE(T3:T11)</f>
        <v>19.233333333333334</v>
      </c>
      <c r="AD3">
        <f>_xlfn.STDEV.S(T3:T11)</f>
        <v>2.2718078948518285</v>
      </c>
      <c r="AE3">
        <f>AVERAGE(V3:V11)</f>
        <v>9.1333333333333346</v>
      </c>
      <c r="AF3">
        <f>_xlfn.STDEV.S(V3:V11)</f>
        <v>2.8756641744898572</v>
      </c>
    </row>
    <row r="4" spans="1:32" x14ac:dyDescent="0.3">
      <c r="B4">
        <v>74</v>
      </c>
      <c r="C4">
        <v>26</v>
      </c>
      <c r="D4">
        <v>15</v>
      </c>
      <c r="E4">
        <v>85</v>
      </c>
      <c r="G4">
        <v>96</v>
      </c>
      <c r="H4">
        <v>4</v>
      </c>
      <c r="I4">
        <v>12</v>
      </c>
      <c r="J4">
        <v>88</v>
      </c>
      <c r="L4">
        <v>84</v>
      </c>
      <c r="M4">
        <v>16</v>
      </c>
      <c r="N4">
        <v>44</v>
      </c>
      <c r="O4">
        <v>56</v>
      </c>
      <c r="Q4">
        <f t="shared" ref="Q4:Q7" si="0">AVERAGE(C4,D4)</f>
        <v>20.5</v>
      </c>
      <c r="R4">
        <f t="shared" ref="R4:R7" si="1">AVERAGE(H4,I4)</f>
        <v>8</v>
      </c>
      <c r="S4">
        <f t="shared" ref="S4:S7" si="2">AVERAGE(M4,N4)</f>
        <v>30</v>
      </c>
      <c r="T4">
        <f t="shared" ref="T4:T7" si="3">AVERAGE(Q4:S4)</f>
        <v>19.5</v>
      </c>
      <c r="U4">
        <f t="shared" ref="U4:U7" si="4">MIN(Q4:S4)</f>
        <v>8</v>
      </c>
      <c r="V4">
        <f t="shared" ref="V4:V7" si="5">T4-U4</f>
        <v>11.5</v>
      </c>
    </row>
    <row r="5" spans="1:32" x14ac:dyDescent="0.3">
      <c r="B5">
        <v>69</v>
      </c>
      <c r="C5">
        <v>31</v>
      </c>
      <c r="D5">
        <v>17</v>
      </c>
      <c r="E5">
        <v>83</v>
      </c>
      <c r="G5">
        <v>93</v>
      </c>
      <c r="H5">
        <v>7</v>
      </c>
      <c r="I5">
        <v>13</v>
      </c>
      <c r="J5">
        <v>87</v>
      </c>
      <c r="L5">
        <v>71</v>
      </c>
      <c r="M5">
        <v>29</v>
      </c>
      <c r="N5">
        <v>39</v>
      </c>
      <c r="O5">
        <v>61</v>
      </c>
      <c r="Q5">
        <f t="shared" si="0"/>
        <v>24</v>
      </c>
      <c r="R5">
        <f t="shared" si="1"/>
        <v>10</v>
      </c>
      <c r="S5">
        <f t="shared" si="2"/>
        <v>34</v>
      </c>
      <c r="T5">
        <f t="shared" si="3"/>
        <v>22.666666666666668</v>
      </c>
      <c r="U5">
        <f t="shared" si="4"/>
        <v>10</v>
      </c>
      <c r="V5">
        <f t="shared" si="5"/>
        <v>12.666666666666668</v>
      </c>
    </row>
    <row r="6" spans="1:32" x14ac:dyDescent="0.3">
      <c r="B6">
        <v>83</v>
      </c>
      <c r="C6">
        <v>17</v>
      </c>
      <c r="D6">
        <v>11</v>
      </c>
      <c r="E6">
        <v>89</v>
      </c>
      <c r="G6">
        <v>93</v>
      </c>
      <c r="H6">
        <v>7</v>
      </c>
      <c r="I6">
        <v>10</v>
      </c>
      <c r="J6">
        <v>90</v>
      </c>
      <c r="L6">
        <v>85</v>
      </c>
      <c r="M6">
        <v>15</v>
      </c>
      <c r="N6">
        <v>38</v>
      </c>
      <c r="O6">
        <v>62</v>
      </c>
      <c r="Q6">
        <f t="shared" si="0"/>
        <v>14</v>
      </c>
      <c r="R6">
        <f t="shared" si="1"/>
        <v>8.5</v>
      </c>
      <c r="S6">
        <f t="shared" si="2"/>
        <v>26.5</v>
      </c>
      <c r="T6">
        <f t="shared" si="3"/>
        <v>16.333333333333332</v>
      </c>
      <c r="U6">
        <f t="shared" si="4"/>
        <v>8.5</v>
      </c>
      <c r="V6">
        <f t="shared" si="5"/>
        <v>7.8333333333333321</v>
      </c>
    </row>
    <row r="7" spans="1:32" x14ac:dyDescent="0.3">
      <c r="B7">
        <v>87</v>
      </c>
      <c r="C7">
        <v>13</v>
      </c>
      <c r="D7">
        <v>17</v>
      </c>
      <c r="E7">
        <v>83</v>
      </c>
      <c r="G7">
        <v>92</v>
      </c>
      <c r="H7">
        <v>8</v>
      </c>
      <c r="I7">
        <v>18</v>
      </c>
      <c r="J7">
        <v>82</v>
      </c>
      <c r="L7">
        <v>75</v>
      </c>
      <c r="M7">
        <v>25</v>
      </c>
      <c r="N7">
        <v>31</v>
      </c>
      <c r="O7">
        <v>69</v>
      </c>
      <c r="Q7">
        <f t="shared" si="0"/>
        <v>15</v>
      </c>
      <c r="R7">
        <f t="shared" si="1"/>
        <v>13</v>
      </c>
      <c r="S7">
        <f t="shared" si="2"/>
        <v>28</v>
      </c>
      <c r="T7">
        <f t="shared" si="3"/>
        <v>18.666666666666668</v>
      </c>
      <c r="U7">
        <f t="shared" si="4"/>
        <v>13</v>
      </c>
      <c r="V7">
        <f t="shared" si="5"/>
        <v>5.6666666666666679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3"/>
  <sheetViews>
    <sheetView topLeftCell="L1" workbookViewId="0">
      <selection activeCell="W4" sqref="W4:AF4"/>
    </sheetView>
  </sheetViews>
  <sheetFormatPr defaultRowHeight="14.4" x14ac:dyDescent="0.3"/>
  <sheetData>
    <row r="2" spans="1:32" x14ac:dyDescent="0.3">
      <c r="A2" t="s">
        <v>25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26</v>
      </c>
      <c r="X2" t="s">
        <v>21</v>
      </c>
      <c r="Y2" t="s">
        <v>27</v>
      </c>
      <c r="Z2" t="s">
        <v>22</v>
      </c>
      <c r="AA2" t="s">
        <v>28</v>
      </c>
      <c r="AB2" t="s">
        <v>23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19</v>
      </c>
      <c r="F3" t="s">
        <v>29</v>
      </c>
      <c r="K3" t="s">
        <v>20</v>
      </c>
    </row>
    <row r="4" spans="1:32" x14ac:dyDescent="0.3">
      <c r="B4">
        <v>83</v>
      </c>
      <c r="C4">
        <v>17</v>
      </c>
      <c r="D4">
        <v>23</v>
      </c>
      <c r="E4">
        <v>77</v>
      </c>
      <c r="G4">
        <v>93</v>
      </c>
      <c r="H4">
        <v>7</v>
      </c>
      <c r="I4">
        <v>13</v>
      </c>
      <c r="J4">
        <v>87</v>
      </c>
      <c r="L4">
        <v>90</v>
      </c>
      <c r="M4">
        <v>10</v>
      </c>
      <c r="N4">
        <v>51</v>
      </c>
      <c r="O4">
        <v>49</v>
      </c>
      <c r="Q4">
        <f>AVERAGE(C4,D4)</f>
        <v>20</v>
      </c>
      <c r="R4">
        <f>AVERAGE(H4,I4)</f>
        <v>10</v>
      </c>
      <c r="S4">
        <f>AVERAGE(M4,N4)</f>
        <v>30.5</v>
      </c>
      <c r="T4">
        <f>AVERAGE(Q4:S4)</f>
        <v>20.166666666666668</v>
      </c>
      <c r="U4">
        <f>MIN(Q4:S4)</f>
        <v>10</v>
      </c>
      <c r="V4">
        <f>T4-U4</f>
        <v>10.166666666666668</v>
      </c>
      <c r="W4">
        <f>AVERAGE(Q4:Q13)</f>
        <v>18.7</v>
      </c>
      <c r="X4">
        <f>_xlfn.STDEV.S(Q4:Q13)</f>
        <v>2.5188180649750063</v>
      </c>
      <c r="Y4">
        <f>AVERAGE(R4:R13)</f>
        <v>10.5</v>
      </c>
      <c r="Z4">
        <f>_xlfn.STDEV.S(R4:R13)</f>
        <v>1.7950549357115013</v>
      </c>
      <c r="AA4">
        <f>AVERAGE(S4:S13)</f>
        <v>28.7</v>
      </c>
      <c r="AB4">
        <f>_xlfn.STDEV.S(S4:S13)</f>
        <v>5.5737479909542653</v>
      </c>
      <c r="AC4">
        <f>AVERAGE(T4:T13)</f>
        <v>19.3</v>
      </c>
      <c r="AD4">
        <f>_xlfn.STDEV.S(T4:T13)</f>
        <v>2.2149882255908659</v>
      </c>
      <c r="AE4">
        <f>AVERAGE(V4:V13)</f>
        <v>8.8000000000000007</v>
      </c>
      <c r="AF4">
        <f>_xlfn.STDEV.S(V4:V13)</f>
        <v>2.125390305477393</v>
      </c>
    </row>
    <row r="5" spans="1:32" x14ac:dyDescent="0.3">
      <c r="B5">
        <v>78</v>
      </c>
      <c r="C5">
        <v>22</v>
      </c>
      <c r="D5">
        <v>18</v>
      </c>
      <c r="E5">
        <v>82</v>
      </c>
      <c r="G5">
        <v>96</v>
      </c>
      <c r="H5">
        <v>4</v>
      </c>
      <c r="I5">
        <v>16</v>
      </c>
      <c r="J5">
        <v>84</v>
      </c>
      <c r="L5">
        <v>87</v>
      </c>
      <c r="M5">
        <v>13</v>
      </c>
      <c r="N5">
        <v>44</v>
      </c>
      <c r="O5">
        <v>56</v>
      </c>
      <c r="Q5">
        <f t="shared" ref="Q5:Q13" si="0">AVERAGE(C5,D5)</f>
        <v>20</v>
      </c>
      <c r="R5">
        <f t="shared" ref="R5:R13" si="1">AVERAGE(H5,I5)</f>
        <v>10</v>
      </c>
      <c r="S5">
        <f t="shared" ref="S5:S13" si="2">AVERAGE(M5,N5)</f>
        <v>28.5</v>
      </c>
      <c r="T5">
        <f t="shared" ref="T5:T13" si="3">AVERAGE(Q5:S5)</f>
        <v>19.5</v>
      </c>
      <c r="U5">
        <f t="shared" ref="U5:U13" si="4">MIN(Q5:S5)</f>
        <v>10</v>
      </c>
      <c r="V5">
        <f t="shared" ref="V5:V13" si="5">T5-U5</f>
        <v>9.5</v>
      </c>
    </row>
    <row r="6" spans="1:32" x14ac:dyDescent="0.3">
      <c r="B6">
        <v>84</v>
      </c>
      <c r="C6">
        <v>16</v>
      </c>
      <c r="D6">
        <v>20</v>
      </c>
      <c r="E6">
        <v>80</v>
      </c>
      <c r="G6">
        <v>91</v>
      </c>
      <c r="H6">
        <v>9</v>
      </c>
      <c r="I6">
        <v>14</v>
      </c>
      <c r="J6">
        <v>86</v>
      </c>
      <c r="L6">
        <v>84</v>
      </c>
      <c r="M6">
        <v>16</v>
      </c>
      <c r="N6">
        <v>29</v>
      </c>
      <c r="O6">
        <v>71</v>
      </c>
      <c r="Q6">
        <f t="shared" si="0"/>
        <v>18</v>
      </c>
      <c r="R6">
        <f t="shared" si="1"/>
        <v>11.5</v>
      </c>
      <c r="S6">
        <f t="shared" si="2"/>
        <v>22.5</v>
      </c>
      <c r="T6">
        <f t="shared" si="3"/>
        <v>17.333333333333332</v>
      </c>
      <c r="U6">
        <f t="shared" si="4"/>
        <v>11.5</v>
      </c>
      <c r="V6">
        <f t="shared" si="5"/>
        <v>5.8333333333333321</v>
      </c>
    </row>
    <row r="7" spans="1:32" x14ac:dyDescent="0.3">
      <c r="B7">
        <v>85</v>
      </c>
      <c r="C7">
        <v>15</v>
      </c>
      <c r="D7">
        <v>11</v>
      </c>
      <c r="E7">
        <v>89</v>
      </c>
      <c r="G7">
        <v>97</v>
      </c>
      <c r="H7">
        <v>3</v>
      </c>
      <c r="I7">
        <v>19</v>
      </c>
      <c r="J7">
        <v>81</v>
      </c>
      <c r="L7">
        <v>78</v>
      </c>
      <c r="M7">
        <v>22</v>
      </c>
      <c r="N7">
        <v>49</v>
      </c>
      <c r="O7">
        <v>51</v>
      </c>
      <c r="Q7">
        <f t="shared" si="0"/>
        <v>13</v>
      </c>
      <c r="R7">
        <f t="shared" si="1"/>
        <v>11</v>
      </c>
      <c r="S7">
        <f t="shared" si="2"/>
        <v>35.5</v>
      </c>
      <c r="T7">
        <f t="shared" si="3"/>
        <v>19.833333333333332</v>
      </c>
      <c r="U7">
        <f t="shared" si="4"/>
        <v>11</v>
      </c>
      <c r="V7">
        <f t="shared" si="5"/>
        <v>8.8333333333333321</v>
      </c>
    </row>
    <row r="8" spans="1:32" x14ac:dyDescent="0.3">
      <c r="B8">
        <v>75</v>
      </c>
      <c r="C8">
        <v>25</v>
      </c>
      <c r="D8">
        <v>15</v>
      </c>
      <c r="E8">
        <v>85</v>
      </c>
      <c r="G8">
        <v>98</v>
      </c>
      <c r="H8">
        <v>2</v>
      </c>
      <c r="I8">
        <v>17</v>
      </c>
      <c r="J8">
        <v>83</v>
      </c>
      <c r="L8">
        <v>75</v>
      </c>
      <c r="M8">
        <v>25</v>
      </c>
      <c r="N8">
        <v>52</v>
      </c>
      <c r="O8">
        <v>48</v>
      </c>
      <c r="Q8">
        <f t="shared" si="0"/>
        <v>20</v>
      </c>
      <c r="R8">
        <f t="shared" si="1"/>
        <v>9.5</v>
      </c>
      <c r="S8">
        <f t="shared" si="2"/>
        <v>38.5</v>
      </c>
      <c r="T8">
        <f t="shared" si="3"/>
        <v>22.666666666666668</v>
      </c>
      <c r="U8">
        <f t="shared" si="4"/>
        <v>9.5</v>
      </c>
      <c r="V8">
        <f t="shared" si="5"/>
        <v>13.166666666666668</v>
      </c>
    </row>
    <row r="9" spans="1:32" x14ac:dyDescent="0.3">
      <c r="B9">
        <v>75</v>
      </c>
      <c r="C9">
        <v>25</v>
      </c>
      <c r="D9">
        <v>8</v>
      </c>
      <c r="E9">
        <v>92</v>
      </c>
      <c r="G9">
        <v>100</v>
      </c>
      <c r="H9">
        <v>0</v>
      </c>
      <c r="I9">
        <v>15</v>
      </c>
      <c r="J9">
        <v>85</v>
      </c>
      <c r="L9">
        <v>86</v>
      </c>
      <c r="M9">
        <v>14</v>
      </c>
      <c r="N9">
        <v>33</v>
      </c>
      <c r="O9">
        <v>67</v>
      </c>
      <c r="Q9">
        <f t="shared" si="0"/>
        <v>16.5</v>
      </c>
      <c r="R9">
        <f t="shared" si="1"/>
        <v>7.5</v>
      </c>
      <c r="S9">
        <f t="shared" si="2"/>
        <v>23.5</v>
      </c>
      <c r="T9">
        <f t="shared" si="3"/>
        <v>15.833333333333334</v>
      </c>
      <c r="U9">
        <f t="shared" si="4"/>
        <v>7.5</v>
      </c>
      <c r="V9">
        <f t="shared" si="5"/>
        <v>8.3333333333333339</v>
      </c>
    </row>
    <row r="10" spans="1:32" x14ac:dyDescent="0.3">
      <c r="B10">
        <v>89</v>
      </c>
      <c r="C10">
        <v>11</v>
      </c>
      <c r="D10">
        <v>30</v>
      </c>
      <c r="E10">
        <v>70</v>
      </c>
      <c r="G10">
        <v>97</v>
      </c>
      <c r="H10">
        <v>3</v>
      </c>
      <c r="I10">
        <v>16</v>
      </c>
      <c r="J10">
        <v>84</v>
      </c>
      <c r="L10">
        <v>88</v>
      </c>
      <c r="M10">
        <v>12</v>
      </c>
      <c r="N10">
        <v>37</v>
      </c>
      <c r="O10">
        <v>63</v>
      </c>
      <c r="Q10">
        <f t="shared" si="0"/>
        <v>20.5</v>
      </c>
      <c r="R10">
        <f t="shared" si="1"/>
        <v>9.5</v>
      </c>
      <c r="S10">
        <f t="shared" si="2"/>
        <v>24.5</v>
      </c>
      <c r="T10">
        <f t="shared" si="3"/>
        <v>18.166666666666668</v>
      </c>
      <c r="U10">
        <f t="shared" si="4"/>
        <v>9.5</v>
      </c>
      <c r="V10">
        <f t="shared" si="5"/>
        <v>8.6666666666666679</v>
      </c>
    </row>
    <row r="11" spans="1:32" x14ac:dyDescent="0.3">
      <c r="B11">
        <v>79</v>
      </c>
      <c r="C11">
        <v>21</v>
      </c>
      <c r="D11">
        <v>22</v>
      </c>
      <c r="E11">
        <v>78</v>
      </c>
      <c r="G11">
        <v>96</v>
      </c>
      <c r="H11">
        <v>4</v>
      </c>
      <c r="I11">
        <v>23</v>
      </c>
      <c r="J11">
        <v>77</v>
      </c>
      <c r="L11">
        <v>90</v>
      </c>
      <c r="M11">
        <v>10</v>
      </c>
      <c r="N11">
        <v>57</v>
      </c>
      <c r="O11">
        <v>43</v>
      </c>
      <c r="Q11">
        <f t="shared" si="0"/>
        <v>21.5</v>
      </c>
      <c r="R11">
        <f t="shared" si="1"/>
        <v>13.5</v>
      </c>
      <c r="S11">
        <f t="shared" si="2"/>
        <v>33.5</v>
      </c>
      <c r="T11">
        <f t="shared" si="3"/>
        <v>22.833333333333332</v>
      </c>
      <c r="U11">
        <f t="shared" si="4"/>
        <v>13.5</v>
      </c>
      <c r="V11">
        <f t="shared" si="5"/>
        <v>9.3333333333333321</v>
      </c>
    </row>
    <row r="12" spans="1:32" x14ac:dyDescent="0.3">
      <c r="B12">
        <v>89</v>
      </c>
      <c r="C12">
        <v>11</v>
      </c>
      <c r="D12">
        <v>24</v>
      </c>
      <c r="E12">
        <v>76</v>
      </c>
      <c r="G12">
        <v>91</v>
      </c>
      <c r="H12">
        <v>9</v>
      </c>
      <c r="I12">
        <v>17</v>
      </c>
      <c r="J12">
        <v>83</v>
      </c>
      <c r="L12">
        <v>92</v>
      </c>
      <c r="M12">
        <v>8</v>
      </c>
      <c r="N12">
        <v>43</v>
      </c>
      <c r="O12">
        <v>57</v>
      </c>
      <c r="Q12">
        <f t="shared" si="0"/>
        <v>17.5</v>
      </c>
      <c r="R12">
        <f t="shared" si="1"/>
        <v>13</v>
      </c>
      <c r="S12">
        <f t="shared" si="2"/>
        <v>25.5</v>
      </c>
      <c r="T12">
        <f t="shared" si="3"/>
        <v>18.666666666666668</v>
      </c>
      <c r="U12">
        <f t="shared" si="4"/>
        <v>13</v>
      </c>
      <c r="V12">
        <f t="shared" si="5"/>
        <v>5.6666666666666679</v>
      </c>
    </row>
    <row r="13" spans="1:32" x14ac:dyDescent="0.3">
      <c r="B13">
        <v>75</v>
      </c>
      <c r="C13">
        <v>25</v>
      </c>
      <c r="D13">
        <v>15</v>
      </c>
      <c r="E13">
        <v>85</v>
      </c>
      <c r="G13">
        <v>91</v>
      </c>
      <c r="H13">
        <v>9</v>
      </c>
      <c r="I13">
        <v>10</v>
      </c>
      <c r="J13">
        <v>90</v>
      </c>
      <c r="L13">
        <v>84</v>
      </c>
      <c r="M13">
        <v>16</v>
      </c>
      <c r="N13">
        <v>33</v>
      </c>
      <c r="O13">
        <v>67</v>
      </c>
      <c r="Q13">
        <f t="shared" si="0"/>
        <v>20</v>
      </c>
      <c r="R13">
        <f t="shared" si="1"/>
        <v>9.5</v>
      </c>
      <c r="S13">
        <f t="shared" si="2"/>
        <v>24.5</v>
      </c>
      <c r="T13">
        <f t="shared" si="3"/>
        <v>18</v>
      </c>
      <c r="U13">
        <f t="shared" si="4"/>
        <v>9.5</v>
      </c>
      <c r="V13">
        <f t="shared" si="5"/>
        <v>8.5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2"/>
  <sheetViews>
    <sheetView topLeftCell="O1" workbookViewId="0">
      <selection activeCell="AF4" sqref="W4:AF4"/>
    </sheetView>
  </sheetViews>
  <sheetFormatPr defaultRowHeight="14.4" x14ac:dyDescent="0.3"/>
  <cols>
    <col min="21" max="21" width="10.44140625" customWidth="1"/>
  </cols>
  <sheetData>
    <row r="2" spans="1:32" x14ac:dyDescent="0.3">
      <c r="A2" t="s">
        <v>25</v>
      </c>
      <c r="Q2" t="s">
        <v>10</v>
      </c>
      <c r="R2" t="s">
        <v>11</v>
      </c>
      <c r="S2" t="s">
        <v>12</v>
      </c>
      <c r="T2" t="s">
        <v>14</v>
      </c>
      <c r="U2" t="s">
        <v>16</v>
      </c>
      <c r="V2" t="s">
        <v>13</v>
      </c>
      <c r="W2" t="s">
        <v>26</v>
      </c>
      <c r="X2" t="s">
        <v>21</v>
      </c>
      <c r="Y2" t="s">
        <v>27</v>
      </c>
      <c r="Z2" t="s">
        <v>22</v>
      </c>
      <c r="AA2" t="s">
        <v>28</v>
      </c>
      <c r="AB2" t="s">
        <v>23</v>
      </c>
      <c r="AC2" t="s">
        <v>0</v>
      </c>
      <c r="AD2" t="s">
        <v>15</v>
      </c>
      <c r="AE2" t="s">
        <v>17</v>
      </c>
      <c r="AF2" t="s">
        <v>18</v>
      </c>
    </row>
    <row r="3" spans="1:32" x14ac:dyDescent="0.3">
      <c r="A3" t="s">
        <v>19</v>
      </c>
      <c r="F3" t="s">
        <v>29</v>
      </c>
      <c r="K3" t="s">
        <v>20</v>
      </c>
    </row>
    <row r="4" spans="1:32" x14ac:dyDescent="0.3">
      <c r="B4">
        <v>67</v>
      </c>
      <c r="C4">
        <v>33</v>
      </c>
      <c r="D4">
        <v>11</v>
      </c>
      <c r="E4">
        <v>89</v>
      </c>
      <c r="G4">
        <v>93</v>
      </c>
      <c r="H4">
        <v>7</v>
      </c>
      <c r="I4">
        <v>8</v>
      </c>
      <c r="J4">
        <v>92</v>
      </c>
      <c r="L4">
        <v>87</v>
      </c>
      <c r="M4">
        <v>13</v>
      </c>
      <c r="N4">
        <v>60</v>
      </c>
      <c r="O4">
        <v>40</v>
      </c>
      <c r="Q4">
        <f>AVERAGE(C4,D4)</f>
        <v>22</v>
      </c>
      <c r="R4">
        <f>AVERAGE(H4,I4)</f>
        <v>7.5</v>
      </c>
      <c r="S4">
        <f>AVERAGE(M4,N4)</f>
        <v>36.5</v>
      </c>
      <c r="T4">
        <f>AVERAGE(Q4:S4)</f>
        <v>22</v>
      </c>
      <c r="U4">
        <f>MIN(Q4:S4)</f>
        <v>7.5</v>
      </c>
      <c r="V4">
        <f>T4-U4</f>
        <v>14.5</v>
      </c>
      <c r="W4">
        <f>AVERAGE(Q4:Q12)</f>
        <v>23.222222222222221</v>
      </c>
      <c r="X4">
        <f>_xlfn.STDEV.S(Q4:Q12)</f>
        <v>3.032234233110044</v>
      </c>
      <c r="Y4">
        <f>AVERAGE(R4:R12)</f>
        <v>10.277777777777779</v>
      </c>
      <c r="Z4">
        <f>_xlfn.STDEV.S(R4:R12)</f>
        <v>2.3199018178458419</v>
      </c>
      <c r="AA4">
        <f>AVERAGE(S4:S12)</f>
        <v>36.388888888888886</v>
      </c>
      <c r="AB4">
        <f>_xlfn.STDEV.S(S4:S12)</f>
        <v>4.8462471161829015</v>
      </c>
      <c r="AC4">
        <f>AVERAGE(T4:T12)</f>
        <v>23.296296296296298</v>
      </c>
      <c r="AD4">
        <f>_xlfn.STDEV.S(T4:T12)</f>
        <v>2.2985166982960292</v>
      </c>
      <c r="AE4">
        <f>AVERAGE(V4:V12)</f>
        <v>13.018518518518519</v>
      </c>
      <c r="AF4">
        <f>_xlfn.STDEV.S(V4:V12)</f>
        <v>2.2352051304765306</v>
      </c>
    </row>
    <row r="5" spans="1:32" x14ac:dyDescent="0.3">
      <c r="B5">
        <v>70</v>
      </c>
      <c r="C5">
        <v>30</v>
      </c>
      <c r="D5">
        <v>17</v>
      </c>
      <c r="E5">
        <v>83</v>
      </c>
      <c r="G5">
        <v>94</v>
      </c>
      <c r="H5">
        <v>6</v>
      </c>
      <c r="I5">
        <v>13</v>
      </c>
      <c r="J5">
        <v>87</v>
      </c>
      <c r="L5">
        <v>69</v>
      </c>
      <c r="M5">
        <v>31</v>
      </c>
      <c r="N5">
        <v>57</v>
      </c>
      <c r="O5">
        <v>43</v>
      </c>
      <c r="Q5">
        <f t="shared" ref="Q5:Q12" si="0">AVERAGE(C5,D5)</f>
        <v>23.5</v>
      </c>
      <c r="R5">
        <f t="shared" ref="R5:R12" si="1">AVERAGE(H5,I5)</f>
        <v>9.5</v>
      </c>
      <c r="S5">
        <f t="shared" ref="S5:S12" si="2">AVERAGE(M5,N5)</f>
        <v>44</v>
      </c>
      <c r="T5">
        <f t="shared" ref="T5:T12" si="3">AVERAGE(Q5:S5)</f>
        <v>25.666666666666668</v>
      </c>
      <c r="U5">
        <f t="shared" ref="U5:U12" si="4">MIN(Q5:S5)</f>
        <v>9.5</v>
      </c>
      <c r="V5">
        <f t="shared" ref="V5:V12" si="5">T5-U5</f>
        <v>16.166666666666668</v>
      </c>
    </row>
    <row r="6" spans="1:32" x14ac:dyDescent="0.3">
      <c r="B6">
        <v>66</v>
      </c>
      <c r="C6">
        <v>34</v>
      </c>
      <c r="D6">
        <v>15</v>
      </c>
      <c r="E6">
        <v>85</v>
      </c>
      <c r="G6">
        <v>91</v>
      </c>
      <c r="H6">
        <v>9</v>
      </c>
      <c r="I6">
        <v>10</v>
      </c>
      <c r="J6">
        <v>90</v>
      </c>
      <c r="L6">
        <v>86</v>
      </c>
      <c r="M6">
        <v>14</v>
      </c>
      <c r="N6">
        <v>53</v>
      </c>
      <c r="O6">
        <v>47</v>
      </c>
      <c r="Q6">
        <f t="shared" si="0"/>
        <v>24.5</v>
      </c>
      <c r="R6">
        <f t="shared" si="1"/>
        <v>9.5</v>
      </c>
      <c r="S6">
        <f t="shared" si="2"/>
        <v>33.5</v>
      </c>
      <c r="T6">
        <f t="shared" si="3"/>
        <v>22.5</v>
      </c>
      <c r="U6">
        <f t="shared" si="4"/>
        <v>9.5</v>
      </c>
      <c r="V6">
        <f t="shared" si="5"/>
        <v>13</v>
      </c>
    </row>
    <row r="7" spans="1:32" x14ac:dyDescent="0.3">
      <c r="B7">
        <v>76</v>
      </c>
      <c r="C7">
        <v>24</v>
      </c>
      <c r="D7">
        <v>22</v>
      </c>
      <c r="E7">
        <v>78</v>
      </c>
      <c r="G7">
        <v>94</v>
      </c>
      <c r="H7">
        <v>6</v>
      </c>
      <c r="I7">
        <v>16</v>
      </c>
      <c r="J7">
        <v>84</v>
      </c>
      <c r="L7">
        <v>81</v>
      </c>
      <c r="M7">
        <v>19</v>
      </c>
      <c r="N7">
        <v>61</v>
      </c>
      <c r="O7">
        <v>39</v>
      </c>
      <c r="Q7">
        <f t="shared" si="0"/>
        <v>23</v>
      </c>
      <c r="R7">
        <f t="shared" si="1"/>
        <v>11</v>
      </c>
      <c r="S7">
        <f t="shared" si="2"/>
        <v>40</v>
      </c>
      <c r="T7">
        <f t="shared" si="3"/>
        <v>24.666666666666668</v>
      </c>
      <c r="U7">
        <f t="shared" si="4"/>
        <v>11</v>
      </c>
      <c r="V7">
        <f t="shared" si="5"/>
        <v>13.666666666666668</v>
      </c>
    </row>
    <row r="8" spans="1:32" x14ac:dyDescent="0.3">
      <c r="B8">
        <v>64</v>
      </c>
      <c r="C8">
        <v>36</v>
      </c>
      <c r="D8">
        <v>13</v>
      </c>
      <c r="E8">
        <v>87</v>
      </c>
      <c r="G8">
        <v>87</v>
      </c>
      <c r="H8">
        <v>13</v>
      </c>
      <c r="I8">
        <v>10</v>
      </c>
      <c r="J8">
        <v>90</v>
      </c>
      <c r="L8">
        <v>60</v>
      </c>
      <c r="M8">
        <v>40</v>
      </c>
      <c r="N8">
        <v>44</v>
      </c>
      <c r="O8">
        <v>56</v>
      </c>
      <c r="Q8">
        <f t="shared" si="0"/>
        <v>24.5</v>
      </c>
      <c r="R8">
        <f t="shared" si="1"/>
        <v>11.5</v>
      </c>
      <c r="S8">
        <f t="shared" si="2"/>
        <v>42</v>
      </c>
      <c r="T8">
        <f t="shared" si="3"/>
        <v>26</v>
      </c>
      <c r="U8">
        <f t="shared" si="4"/>
        <v>11.5</v>
      </c>
      <c r="V8">
        <f t="shared" si="5"/>
        <v>14.5</v>
      </c>
    </row>
    <row r="9" spans="1:32" x14ac:dyDescent="0.3">
      <c r="B9">
        <v>62</v>
      </c>
      <c r="C9">
        <v>38</v>
      </c>
      <c r="D9">
        <v>11</v>
      </c>
      <c r="E9">
        <v>89</v>
      </c>
      <c r="G9">
        <v>93</v>
      </c>
      <c r="H9">
        <v>7</v>
      </c>
      <c r="I9">
        <v>8</v>
      </c>
      <c r="J9">
        <v>92</v>
      </c>
      <c r="L9">
        <v>78</v>
      </c>
      <c r="M9">
        <v>22</v>
      </c>
      <c r="N9">
        <v>46</v>
      </c>
      <c r="O9">
        <v>54</v>
      </c>
      <c r="Q9">
        <f t="shared" si="0"/>
        <v>24.5</v>
      </c>
      <c r="R9">
        <f t="shared" si="1"/>
        <v>7.5</v>
      </c>
      <c r="S9">
        <f t="shared" si="2"/>
        <v>34</v>
      </c>
      <c r="T9">
        <f t="shared" si="3"/>
        <v>22</v>
      </c>
      <c r="U9">
        <f t="shared" si="4"/>
        <v>7.5</v>
      </c>
      <c r="V9">
        <f t="shared" si="5"/>
        <v>14.5</v>
      </c>
    </row>
    <row r="10" spans="1:32" x14ac:dyDescent="0.3">
      <c r="B10">
        <v>67</v>
      </c>
      <c r="C10">
        <v>33</v>
      </c>
      <c r="D10">
        <v>15</v>
      </c>
      <c r="E10">
        <v>85</v>
      </c>
      <c r="G10">
        <v>85</v>
      </c>
      <c r="H10">
        <v>15</v>
      </c>
      <c r="I10">
        <v>8</v>
      </c>
      <c r="J10">
        <v>92</v>
      </c>
      <c r="L10">
        <v>81</v>
      </c>
      <c r="M10">
        <v>19</v>
      </c>
      <c r="N10">
        <v>38</v>
      </c>
      <c r="O10">
        <v>62</v>
      </c>
      <c r="Q10">
        <f t="shared" si="0"/>
        <v>24</v>
      </c>
      <c r="R10">
        <f t="shared" si="1"/>
        <v>11.5</v>
      </c>
      <c r="S10">
        <f t="shared" si="2"/>
        <v>28.5</v>
      </c>
      <c r="T10">
        <f t="shared" si="3"/>
        <v>21.333333333333332</v>
      </c>
      <c r="U10">
        <f t="shared" si="4"/>
        <v>11.5</v>
      </c>
      <c r="V10">
        <f t="shared" si="5"/>
        <v>9.8333333333333321</v>
      </c>
    </row>
    <row r="11" spans="1:32" x14ac:dyDescent="0.3">
      <c r="B11">
        <v>79</v>
      </c>
      <c r="C11">
        <v>21</v>
      </c>
      <c r="D11">
        <v>11</v>
      </c>
      <c r="E11">
        <v>89</v>
      </c>
      <c r="G11">
        <v>93</v>
      </c>
      <c r="H11">
        <v>7</v>
      </c>
      <c r="I11">
        <v>12</v>
      </c>
      <c r="J11">
        <v>88</v>
      </c>
      <c r="L11">
        <v>85</v>
      </c>
      <c r="M11">
        <v>15</v>
      </c>
      <c r="N11">
        <v>52</v>
      </c>
      <c r="O11">
        <v>48</v>
      </c>
      <c r="Q11">
        <f t="shared" si="0"/>
        <v>16</v>
      </c>
      <c r="R11">
        <f t="shared" si="1"/>
        <v>9.5</v>
      </c>
      <c r="S11">
        <f t="shared" si="2"/>
        <v>33.5</v>
      </c>
      <c r="T11">
        <f t="shared" si="3"/>
        <v>19.666666666666668</v>
      </c>
      <c r="U11">
        <f t="shared" si="4"/>
        <v>9.5</v>
      </c>
      <c r="V11">
        <f t="shared" si="5"/>
        <v>10.166666666666668</v>
      </c>
    </row>
    <row r="12" spans="1:32" x14ac:dyDescent="0.3">
      <c r="B12">
        <v>70</v>
      </c>
      <c r="C12">
        <v>30</v>
      </c>
      <c r="D12">
        <v>24</v>
      </c>
      <c r="E12">
        <v>76</v>
      </c>
      <c r="G12">
        <v>96</v>
      </c>
      <c r="H12">
        <v>4</v>
      </c>
      <c r="I12">
        <v>26</v>
      </c>
      <c r="J12">
        <v>74</v>
      </c>
      <c r="L12">
        <v>85</v>
      </c>
      <c r="M12">
        <v>15</v>
      </c>
      <c r="N12">
        <v>56</v>
      </c>
      <c r="O12">
        <v>44</v>
      </c>
      <c r="Q12">
        <f t="shared" si="0"/>
        <v>27</v>
      </c>
      <c r="R12">
        <f t="shared" si="1"/>
        <v>15</v>
      </c>
      <c r="S12">
        <f t="shared" si="2"/>
        <v>35.5</v>
      </c>
      <c r="T12">
        <f t="shared" si="3"/>
        <v>25.833333333333332</v>
      </c>
      <c r="U12">
        <f t="shared" si="4"/>
        <v>15</v>
      </c>
      <c r="V12">
        <f t="shared" si="5"/>
        <v>10.833333333333332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Foglio1</vt:lpstr>
      <vt:lpstr>PARBS_DIFF_ONLYMIN</vt:lpstr>
      <vt:lpstr>PARBS_DIFF</vt:lpstr>
      <vt:lpstr>PARBS_STDAUG</vt:lpstr>
      <vt:lpstr>PARBS_NOAUG</vt:lpstr>
      <vt:lpstr>MIT_DIFF_ONLYMIN</vt:lpstr>
      <vt:lpstr>MIT_DIFF</vt:lpstr>
      <vt:lpstr>MIT_STDAUG</vt:lpstr>
      <vt:lpstr>MIT_NOAUG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2026-03-29T13:46:35Z</dcterms:modified>
</cp:coreProperties>
</file>