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Utente\Desktop\CultureAwarenessTest\DataAnalysis\TryingToPackStuffBetter\MLT\LC\0.05\"/>
    </mc:Choice>
  </mc:AlternateContent>
  <xr:revisionPtr revIDLastSave="0" documentId="13_ncr:1_{D3EC2828-B747-441E-A54D-2A64FDF524E7}" xr6:coauthVersionLast="47" xr6:coauthVersionMax="47" xr10:uidLastSave="{00000000-0000-0000-0000-000000000000}"/>
  <bookViews>
    <workbookView xWindow="-108" yWindow="-108" windowWidth="23256" windowHeight="12456" firstSheet="9" activeTab="9" xr2:uid="{00000000-000D-0000-FFFF-FFFF00000000}"/>
  </bookViews>
  <sheets>
    <sheet name="Foglio1" sheetId="1" r:id="rId1"/>
    <sheet name="MIT_DIFF_ONLYMIN_STDAUG" sheetId="19" r:id="rId2"/>
    <sheet name="PARBS_ONLYMIN_STDAUG" sheetId="18" r:id="rId3"/>
    <sheet name="MIT_PARBS_DIFF_ONLYMIN_STDAUG" sheetId="17" r:id="rId4"/>
    <sheet name="MIT_DIFF_STDAUG" sheetId="16" r:id="rId5"/>
    <sheet name="MIT_DIFF_NOAUG" sheetId="15" r:id="rId6"/>
    <sheet name="MIT_PARBS_STDAUG" sheetId="14" r:id="rId7"/>
    <sheet name="MIT_PARBS_NOAUG" sheetId="13" r:id="rId8"/>
    <sheet name="MIT_STDAUG" sheetId="12" r:id="rId9"/>
    <sheet name="MIT_NOAUG" sheetId="11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4" i="14" l="1"/>
  <c r="R14" i="14"/>
  <c r="S14" i="14"/>
  <c r="T14" i="14"/>
  <c r="U14" i="14"/>
  <c r="V14" i="14"/>
  <c r="AF12" i="13"/>
  <c r="AE12" i="13"/>
  <c r="AD12" i="13"/>
  <c r="AC12" i="13"/>
  <c r="AB12" i="13"/>
  <c r="AA12" i="13"/>
  <c r="Z12" i="13"/>
  <c r="Y12" i="13"/>
  <c r="X12" i="13"/>
  <c r="W12" i="13"/>
  <c r="Q12" i="13"/>
  <c r="R12" i="13"/>
  <c r="S12" i="13"/>
  <c r="T12" i="13"/>
  <c r="V12" i="13" s="1"/>
  <c r="U12" i="13"/>
  <c r="Q13" i="13"/>
  <c r="R13" i="13"/>
  <c r="S13" i="13"/>
  <c r="T13" i="13"/>
  <c r="U13" i="13"/>
  <c r="V13" i="13"/>
  <c r="Q14" i="13"/>
  <c r="R14" i="13"/>
  <c r="S14" i="13"/>
  <c r="T14" i="13"/>
  <c r="U14" i="13"/>
  <c r="V14" i="13"/>
  <c r="W12" i="12"/>
  <c r="AF12" i="12"/>
  <c r="AE12" i="12"/>
  <c r="AD12" i="12"/>
  <c r="AC12" i="12"/>
  <c r="AB12" i="12"/>
  <c r="AA12" i="12"/>
  <c r="Z12" i="12"/>
  <c r="Y12" i="12"/>
  <c r="X12" i="12"/>
  <c r="X4" i="12"/>
  <c r="W4" i="12"/>
  <c r="Q12" i="12"/>
  <c r="R12" i="12"/>
  <c r="S12" i="12"/>
  <c r="T12" i="12"/>
  <c r="V12" i="12" s="1"/>
  <c r="U12" i="12"/>
  <c r="Q13" i="12"/>
  <c r="R13" i="12"/>
  <c r="S13" i="12"/>
  <c r="T13" i="12"/>
  <c r="U13" i="12"/>
  <c r="V13" i="12"/>
  <c r="Q14" i="12"/>
  <c r="R14" i="12"/>
  <c r="S14" i="12"/>
  <c r="T14" i="12"/>
  <c r="U14" i="12"/>
  <c r="V14" i="12"/>
  <c r="Q15" i="12"/>
  <c r="T15" i="12" s="1"/>
  <c r="R15" i="12"/>
  <c r="S15" i="12"/>
  <c r="Q16" i="12"/>
  <c r="R16" i="12"/>
  <c r="S16" i="12"/>
  <c r="T16" i="12"/>
  <c r="U16" i="12"/>
  <c r="V16" i="12"/>
  <c r="Q17" i="12"/>
  <c r="R17" i="12"/>
  <c r="S17" i="12"/>
  <c r="T17" i="12"/>
  <c r="U17" i="12"/>
  <c r="V17" i="12"/>
  <c r="Q18" i="12"/>
  <c r="T18" i="12" s="1"/>
  <c r="R18" i="12"/>
  <c r="S18" i="12"/>
  <c r="AF13" i="11"/>
  <c r="AE13" i="11"/>
  <c r="AD13" i="11"/>
  <c r="AC13" i="11"/>
  <c r="AB13" i="11"/>
  <c r="AA13" i="11"/>
  <c r="Z13" i="11"/>
  <c r="Y13" i="11"/>
  <c r="X13" i="11"/>
  <c r="W13" i="11"/>
  <c r="Q13" i="11"/>
  <c r="U13" i="11" s="1"/>
  <c r="R13" i="11"/>
  <c r="S13" i="11"/>
  <c r="T13" i="11"/>
  <c r="V13" i="11" s="1"/>
  <c r="Q14" i="11"/>
  <c r="T14" i="11" s="1"/>
  <c r="R14" i="11"/>
  <c r="S14" i="11"/>
  <c r="Q15" i="11"/>
  <c r="R15" i="11"/>
  <c r="S15" i="11"/>
  <c r="T15" i="11"/>
  <c r="U15" i="11"/>
  <c r="V15" i="11"/>
  <c r="W4" i="11"/>
  <c r="AD4" i="18"/>
  <c r="AD5" i="18"/>
  <c r="Q6" i="18"/>
  <c r="V4" i="18" s="1"/>
  <c r="R6" i="18"/>
  <c r="W4" i="18" s="1"/>
  <c r="S6" i="18"/>
  <c r="Z4" i="18" s="1"/>
  <c r="T6" i="18"/>
  <c r="AD6" i="18" s="1"/>
  <c r="AC6" i="18"/>
  <c r="AB12" i="14"/>
  <c r="AA12" i="14"/>
  <c r="Z12" i="14"/>
  <c r="Q12" i="14"/>
  <c r="R12" i="14"/>
  <c r="S12" i="14"/>
  <c r="Q13" i="14"/>
  <c r="R13" i="14"/>
  <c r="S13" i="14"/>
  <c r="AF18" i="19"/>
  <c r="AE18" i="19"/>
  <c r="AB18" i="19"/>
  <c r="AA18" i="19"/>
  <c r="Z18" i="19"/>
  <c r="Y18" i="19"/>
  <c r="X18" i="19"/>
  <c r="W18" i="19"/>
  <c r="V18" i="19"/>
  <c r="U18" i="19"/>
  <c r="Q18" i="19"/>
  <c r="U4" i="19" s="1"/>
  <c r="R18" i="19"/>
  <c r="S18" i="19"/>
  <c r="T18" i="19"/>
  <c r="AC18" i="19"/>
  <c r="AD18" i="19"/>
  <c r="Q19" i="19"/>
  <c r="R19" i="19"/>
  <c r="S19" i="19"/>
  <c r="T19" i="19" s="1"/>
  <c r="AD19" i="19" s="1"/>
  <c r="AC19" i="19"/>
  <c r="AF20" i="16"/>
  <c r="AE20" i="16"/>
  <c r="AB20" i="16"/>
  <c r="AA20" i="16"/>
  <c r="Z20" i="16"/>
  <c r="Y20" i="16"/>
  <c r="X20" i="16"/>
  <c r="W20" i="16"/>
  <c r="V20" i="16"/>
  <c r="U20" i="16"/>
  <c r="Q20" i="16"/>
  <c r="R20" i="16"/>
  <c r="S20" i="16"/>
  <c r="T20" i="16"/>
  <c r="AC20" i="16"/>
  <c r="AD20" i="16" s="1"/>
  <c r="Q21" i="16"/>
  <c r="R21" i="16"/>
  <c r="S21" i="16"/>
  <c r="T21" i="16"/>
  <c r="AC21" i="16"/>
  <c r="AD21" i="16"/>
  <c r="S6" i="17"/>
  <c r="R6" i="17"/>
  <c r="Q6" i="17"/>
  <c r="S5" i="17"/>
  <c r="R5" i="17"/>
  <c r="Q5" i="17"/>
  <c r="S4" i="17"/>
  <c r="R4" i="17"/>
  <c r="W4" i="17" s="1"/>
  <c r="Q4" i="17"/>
  <c r="V4" i="17" s="1"/>
  <c r="S7" i="19"/>
  <c r="R7" i="19"/>
  <c r="Q7" i="19"/>
  <c r="S6" i="19"/>
  <c r="R6" i="19"/>
  <c r="Q6" i="19"/>
  <c r="T6" i="19" s="1"/>
  <c r="S5" i="19"/>
  <c r="R5" i="19"/>
  <c r="Q5" i="19"/>
  <c r="S4" i="19"/>
  <c r="R4" i="19"/>
  <c r="Q4" i="19"/>
  <c r="AF4" i="16"/>
  <c r="AE4" i="16"/>
  <c r="AB4" i="16"/>
  <c r="AA4" i="16"/>
  <c r="Z4" i="16"/>
  <c r="Y4" i="16"/>
  <c r="X4" i="16"/>
  <c r="W4" i="16"/>
  <c r="V4" i="16"/>
  <c r="U4" i="16"/>
  <c r="Q5" i="16"/>
  <c r="T5" i="16" s="1"/>
  <c r="R5" i="16"/>
  <c r="S5" i="16"/>
  <c r="Q6" i="16"/>
  <c r="R6" i="16"/>
  <c r="S6" i="16"/>
  <c r="T6" i="16"/>
  <c r="AC6" i="16"/>
  <c r="AD6" i="16"/>
  <c r="Q7" i="16"/>
  <c r="R7" i="16"/>
  <c r="S7" i="16"/>
  <c r="T7" i="16"/>
  <c r="AD7" i="16" s="1"/>
  <c r="AC7" i="16"/>
  <c r="Q8" i="16"/>
  <c r="R8" i="16"/>
  <c r="S8" i="16"/>
  <c r="T8" i="16"/>
  <c r="AC8" i="16"/>
  <c r="AD8" i="16"/>
  <c r="Q9" i="16"/>
  <c r="R9" i="16"/>
  <c r="S9" i="16"/>
  <c r="T9" i="16"/>
  <c r="AC9" i="16"/>
  <c r="AD9" i="16"/>
  <c r="Q10" i="16"/>
  <c r="T10" i="16" s="1"/>
  <c r="R10" i="16"/>
  <c r="S10" i="16"/>
  <c r="Q11" i="16"/>
  <c r="R11" i="16"/>
  <c r="S11" i="16"/>
  <c r="T11" i="16"/>
  <c r="AC11" i="16"/>
  <c r="AD11" i="16"/>
  <c r="Q12" i="16"/>
  <c r="R12" i="16"/>
  <c r="S12" i="16"/>
  <c r="T12" i="16"/>
  <c r="AC12" i="16"/>
  <c r="AD12" i="16"/>
  <c r="Q13" i="16"/>
  <c r="T13" i="16" s="1"/>
  <c r="R13" i="16"/>
  <c r="S13" i="16"/>
  <c r="AD4" i="16"/>
  <c r="AC4" i="16"/>
  <c r="T4" i="16"/>
  <c r="S4" i="16"/>
  <c r="R4" i="16"/>
  <c r="Q4" i="16"/>
  <c r="S8" i="14"/>
  <c r="R8" i="14"/>
  <c r="Q8" i="14"/>
  <c r="S7" i="14"/>
  <c r="R7" i="14"/>
  <c r="Q7" i="14"/>
  <c r="S6" i="14"/>
  <c r="R6" i="14"/>
  <c r="Q6" i="14"/>
  <c r="S5" i="14"/>
  <c r="R5" i="14"/>
  <c r="Q5" i="14"/>
  <c r="U5" i="14" s="1"/>
  <c r="S4" i="14"/>
  <c r="R4" i="14"/>
  <c r="Q4" i="14"/>
  <c r="S9" i="13"/>
  <c r="R9" i="13"/>
  <c r="Q9" i="13"/>
  <c r="U9" i="13" s="1"/>
  <c r="S8" i="13"/>
  <c r="R8" i="13"/>
  <c r="Q8" i="13"/>
  <c r="T8" i="13" s="1"/>
  <c r="S7" i="13"/>
  <c r="R7" i="13"/>
  <c r="Q7" i="13"/>
  <c r="S6" i="13"/>
  <c r="R6" i="13"/>
  <c r="Q6" i="13"/>
  <c r="U6" i="13" s="1"/>
  <c r="S5" i="13"/>
  <c r="R5" i="13"/>
  <c r="Q5" i="13"/>
  <c r="U5" i="13" s="1"/>
  <c r="S4" i="13"/>
  <c r="R4" i="13"/>
  <c r="Q4" i="13"/>
  <c r="S9" i="12"/>
  <c r="R9" i="12"/>
  <c r="Q9" i="12"/>
  <c r="T9" i="12" s="1"/>
  <c r="S8" i="12"/>
  <c r="R8" i="12"/>
  <c r="Q8" i="12"/>
  <c r="S7" i="12"/>
  <c r="R7" i="12"/>
  <c r="Q7" i="12"/>
  <c r="T7" i="12" s="1"/>
  <c r="S6" i="12"/>
  <c r="AA4" i="12" s="1"/>
  <c r="R6" i="12"/>
  <c r="Q6" i="12"/>
  <c r="U5" i="12"/>
  <c r="S5" i="12"/>
  <c r="R5" i="12"/>
  <c r="Q5" i="12"/>
  <c r="T5" i="12" s="1"/>
  <c r="S4" i="12"/>
  <c r="R4" i="12"/>
  <c r="Q4" i="12"/>
  <c r="T4" i="12" s="1"/>
  <c r="AF4" i="11"/>
  <c r="AE4" i="11"/>
  <c r="AD4" i="11"/>
  <c r="AC4" i="11"/>
  <c r="AB4" i="11"/>
  <c r="AA4" i="11"/>
  <c r="Z4" i="11"/>
  <c r="Y4" i="11"/>
  <c r="X4" i="11"/>
  <c r="Q5" i="11"/>
  <c r="R5" i="11"/>
  <c r="S5" i="11"/>
  <c r="T5" i="11"/>
  <c r="U5" i="11"/>
  <c r="V5" i="11"/>
  <c r="Q6" i="11"/>
  <c r="T6" i="11" s="1"/>
  <c r="R6" i="11"/>
  <c r="S6" i="11"/>
  <c r="Q7" i="11"/>
  <c r="R7" i="11"/>
  <c r="S7" i="11"/>
  <c r="T7" i="11"/>
  <c r="U7" i="11"/>
  <c r="V7" i="11"/>
  <c r="Q8" i="11"/>
  <c r="R8" i="11"/>
  <c r="S8" i="11"/>
  <c r="T8" i="11"/>
  <c r="U8" i="11"/>
  <c r="V8" i="11"/>
  <c r="Q9" i="11"/>
  <c r="R9" i="11"/>
  <c r="S9" i="11"/>
  <c r="T9" i="11"/>
  <c r="U9" i="11"/>
  <c r="V9" i="11"/>
  <c r="Q10" i="11"/>
  <c r="R10" i="11"/>
  <c r="S10" i="11"/>
  <c r="T10" i="11"/>
  <c r="U10" i="11"/>
  <c r="V10" i="11"/>
  <c r="V4" i="11"/>
  <c r="U4" i="11"/>
  <c r="T4" i="11"/>
  <c r="S4" i="11"/>
  <c r="R4" i="11"/>
  <c r="Q4" i="11"/>
  <c r="Q5" i="18"/>
  <c r="R5" i="18"/>
  <c r="S5" i="18"/>
  <c r="S4" i="18"/>
  <c r="R4" i="18"/>
  <c r="Q4" i="18"/>
  <c r="AC4" i="18" s="1"/>
  <c r="AF4" i="15"/>
  <c r="Z4" i="15"/>
  <c r="X4" i="15"/>
  <c r="Y4" i="15"/>
  <c r="W4" i="15"/>
  <c r="V4" i="15"/>
  <c r="Q5" i="15"/>
  <c r="R5" i="15"/>
  <c r="S5" i="15"/>
  <c r="T5" i="15"/>
  <c r="AC5" i="15"/>
  <c r="AD5" i="15"/>
  <c r="S4" i="15"/>
  <c r="R4" i="15"/>
  <c r="Q4" i="15"/>
  <c r="U4" i="15" s="1"/>
  <c r="Z4" i="14" l="1"/>
  <c r="AB4" i="14"/>
  <c r="Y12" i="14"/>
  <c r="U6" i="14"/>
  <c r="X12" i="14"/>
  <c r="T13" i="14"/>
  <c r="U12" i="14"/>
  <c r="T12" i="14"/>
  <c r="V12" i="14" s="1"/>
  <c r="W12" i="14"/>
  <c r="U13" i="14"/>
  <c r="U18" i="12"/>
  <c r="V18" i="12" s="1"/>
  <c r="U15" i="12"/>
  <c r="V15" i="12" s="1"/>
  <c r="U14" i="11"/>
  <c r="V14" i="11" s="1"/>
  <c r="U4" i="18"/>
  <c r="X4" i="18"/>
  <c r="Y4" i="18"/>
  <c r="T5" i="18"/>
  <c r="W4" i="14"/>
  <c r="T6" i="17"/>
  <c r="AC4" i="17"/>
  <c r="AC5" i="17"/>
  <c r="X4" i="17"/>
  <c r="U4" i="17"/>
  <c r="T5" i="17"/>
  <c r="AD5" i="17" s="1"/>
  <c r="Z4" i="17"/>
  <c r="AC6" i="17"/>
  <c r="AD6" i="17" s="1"/>
  <c r="T4" i="17"/>
  <c r="Y4" i="17"/>
  <c r="W4" i="19"/>
  <c r="AC5" i="19"/>
  <c r="AC7" i="19"/>
  <c r="V4" i="19"/>
  <c r="AC4" i="19"/>
  <c r="X4" i="19"/>
  <c r="Y4" i="19"/>
  <c r="Z4" i="19"/>
  <c r="AC6" i="19"/>
  <c r="AD6" i="19" s="1"/>
  <c r="T4" i="19"/>
  <c r="T7" i="19"/>
  <c r="AD7" i="19" s="1"/>
  <c r="T5" i="19"/>
  <c r="AD5" i="19" s="1"/>
  <c r="AD10" i="16"/>
  <c r="AC13" i="16"/>
  <c r="AD13" i="16" s="1"/>
  <c r="AC5" i="16"/>
  <c r="AD5" i="16" s="1"/>
  <c r="AC10" i="16"/>
  <c r="U8" i="14"/>
  <c r="X4" i="14"/>
  <c r="X4" i="13"/>
  <c r="Z4" i="13"/>
  <c r="AB4" i="13"/>
  <c r="U7" i="14"/>
  <c r="T7" i="14"/>
  <c r="T4" i="14"/>
  <c r="T5" i="14"/>
  <c r="V5" i="14" s="1"/>
  <c r="U4" i="14"/>
  <c r="T8" i="14"/>
  <c r="Y4" i="14"/>
  <c r="T6" i="14"/>
  <c r="V6" i="14" s="1"/>
  <c r="AA4" i="14"/>
  <c r="U8" i="13"/>
  <c r="V8" i="13" s="1"/>
  <c r="U7" i="13"/>
  <c r="T7" i="13"/>
  <c r="V7" i="13" s="1"/>
  <c r="T4" i="13"/>
  <c r="T5" i="13"/>
  <c r="V5" i="13" s="1"/>
  <c r="U4" i="13"/>
  <c r="W4" i="13"/>
  <c r="T9" i="13"/>
  <c r="V9" i="13" s="1"/>
  <c r="Y4" i="13"/>
  <c r="T6" i="13"/>
  <c r="V6" i="13" s="1"/>
  <c r="AA4" i="13"/>
  <c r="Z4" i="12"/>
  <c r="V5" i="12"/>
  <c r="T8" i="12"/>
  <c r="U4" i="12"/>
  <c r="V4" i="12" s="1"/>
  <c r="U8" i="12"/>
  <c r="Y4" i="12"/>
  <c r="T6" i="12"/>
  <c r="U6" i="12"/>
  <c r="AB4" i="12"/>
  <c r="U9" i="12"/>
  <c r="V9" i="12" s="1"/>
  <c r="U7" i="12"/>
  <c r="V7" i="12" s="1"/>
  <c r="U6" i="11"/>
  <c r="V6" i="11" s="1"/>
  <c r="T4" i="15"/>
  <c r="AC4" i="15"/>
  <c r="T4" i="18"/>
  <c r="AC5" i="18"/>
  <c r="AC12" i="14" l="1"/>
  <c r="V8" i="14"/>
  <c r="V13" i="14"/>
  <c r="AD12" i="14"/>
  <c r="AF12" i="14"/>
  <c r="AE12" i="14"/>
  <c r="AB4" i="18"/>
  <c r="AA4" i="18"/>
  <c r="AD4" i="17"/>
  <c r="AB4" i="17"/>
  <c r="AA4" i="17"/>
  <c r="AB4" i="19"/>
  <c r="AD4" i="19"/>
  <c r="AA4" i="19"/>
  <c r="V7" i="14"/>
  <c r="AD4" i="14"/>
  <c r="AC4" i="14"/>
  <c r="V4" i="14"/>
  <c r="AD4" i="13"/>
  <c r="AC4" i="13"/>
  <c r="V4" i="13"/>
  <c r="V8" i="12"/>
  <c r="V6" i="12"/>
  <c r="AE4" i="12"/>
  <c r="AF4" i="12"/>
  <c r="AC4" i="12"/>
  <c r="AD4" i="12"/>
  <c r="AD4" i="15"/>
  <c r="AE4" i="15" s="1"/>
  <c r="AB4" i="15"/>
  <c r="AA4" i="15"/>
  <c r="AE4" i="18" l="1"/>
  <c r="AF4" i="18"/>
  <c r="AF4" i="17"/>
  <c r="AE4" i="17"/>
  <c r="AE4" i="19"/>
  <c r="AF4" i="19"/>
  <c r="AF4" i="14"/>
  <c r="AE4" i="14"/>
  <c r="AF4" i="13"/>
  <c r="AE4" i="13"/>
</calcChain>
</file>

<file path=xl/sharedStrings.xml><?xml version="1.0" encoding="utf-8"?>
<sst xmlns="http://schemas.openxmlformats.org/spreadsheetml/2006/main" count="217" uniqueCount="38">
  <si>
    <t>ERR</t>
  </si>
  <si>
    <t>BAL</t>
  </si>
  <si>
    <t>NOAUG</t>
  </si>
  <si>
    <t>ERR0</t>
  </si>
  <si>
    <t>STD0</t>
  </si>
  <si>
    <t>ERR1</t>
  </si>
  <si>
    <t>STD1</t>
  </si>
  <si>
    <t>ERR2</t>
  </si>
  <si>
    <t>STD2</t>
  </si>
  <si>
    <t>ERR_i_0</t>
  </si>
  <si>
    <t>ERR_i_1</t>
  </si>
  <si>
    <t>ERR_i_2</t>
  </si>
  <si>
    <t>CIC_i</t>
  </si>
  <si>
    <t>ERR_i</t>
  </si>
  <si>
    <t>ERR_STD</t>
  </si>
  <si>
    <t>MIN_ERR_i</t>
  </si>
  <si>
    <t>CIC</t>
  </si>
  <si>
    <t>CIC_STD</t>
  </si>
  <si>
    <t>g=0.0001</t>
  </si>
  <si>
    <t>c0</t>
  </si>
  <si>
    <t>c2</t>
  </si>
  <si>
    <t>ERR_0_i</t>
  </si>
  <si>
    <t>ERR_1_i</t>
  </si>
  <si>
    <t>ERR_2_i</t>
  </si>
  <si>
    <t>ERR0_STD</t>
  </si>
  <si>
    <t>ERR1_STD</t>
  </si>
  <si>
    <t>ERR2_STD</t>
  </si>
  <si>
    <t>DIFF</t>
  </si>
  <si>
    <t>DIFF Without retest</t>
  </si>
  <si>
    <t>ERR_0</t>
  </si>
  <si>
    <t>ERR_1</t>
  </si>
  <si>
    <t>ERR_2</t>
  </si>
  <si>
    <t>MIT</t>
  </si>
  <si>
    <t xml:space="preserve">c1 </t>
  </si>
  <si>
    <t>STDAUG</t>
  </si>
  <si>
    <t>PARBS</t>
  </si>
  <si>
    <t>ONLYMIN</t>
  </si>
  <si>
    <t>try3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</si>
</sst>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21"/>
  <sheetViews>
    <sheetView workbookViewId="0">
      <selection activeCell="A2" sqref="A2:XFD16"/>
    </sheetView>
  </sheetViews>
  <sheetFormatPr defaultRowHeight="14.4" x14ac:dyDescent="0.3"/>
  <cols>
    <col min="1" max="1" width="9.88671875" customWidth="1"/>
  </cols>
  <sheetData>
    <row r="1" spans="1:27" x14ac:dyDescent="0.3">
      <c r="G1" t="s">
        <v>3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0</v>
      </c>
      <c r="N1" t="s">
        <v>14</v>
      </c>
      <c r="O1" t="s">
        <v>16</v>
      </c>
      <c r="P1" t="s">
        <v>17</v>
      </c>
    </row>
    <row r="2" spans="1:27" x14ac:dyDescent="0.3">
      <c r="A2" t="s">
        <v>32</v>
      </c>
    </row>
    <row r="3" spans="1:27" x14ac:dyDescent="0.3">
      <c r="B3" t="s">
        <v>1</v>
      </c>
    </row>
    <row r="4" spans="1:27" x14ac:dyDescent="0.3">
      <c r="C4" t="s">
        <v>2</v>
      </c>
      <c r="G4">
        <v>12.357142857142858</v>
      </c>
      <c r="H4">
        <v>1.5197117521174255</v>
      </c>
      <c r="I4">
        <v>16.428571428571427</v>
      </c>
      <c r="J4">
        <v>1.3363062095621221</v>
      </c>
      <c r="K4">
        <v>32.785714285714285</v>
      </c>
      <c r="L4">
        <v>2.4976179127511156</v>
      </c>
      <c r="M4">
        <v>20.523809523809526</v>
      </c>
      <c r="N4">
        <v>1.5348681069786112</v>
      </c>
      <c r="O4">
        <v>8.1666666666666679</v>
      </c>
      <c r="P4">
        <v>0.98130676292531094</v>
      </c>
      <c r="R4">
        <v>10.333333333333334</v>
      </c>
      <c r="S4">
        <v>2.7537852736430528</v>
      </c>
      <c r="T4">
        <v>16.833333333333332</v>
      </c>
      <c r="U4">
        <v>2.0207259421636903</v>
      </c>
      <c r="V4">
        <v>32.5</v>
      </c>
      <c r="W4">
        <v>5.634713834792322</v>
      </c>
      <c r="X4">
        <v>19.888888888888889</v>
      </c>
      <c r="Y4">
        <v>2.3353166174426336</v>
      </c>
      <c r="Z4">
        <v>9.5555555555555554</v>
      </c>
      <c r="AA4">
        <v>0.58531409738070839</v>
      </c>
    </row>
    <row r="5" spans="1:27" x14ac:dyDescent="0.3">
      <c r="C5" t="s">
        <v>34</v>
      </c>
      <c r="F5" t="s">
        <v>18</v>
      </c>
      <c r="G5">
        <v>9.9166666666666661</v>
      </c>
      <c r="H5">
        <v>2.3540744819709238</v>
      </c>
      <c r="I5">
        <v>14.083333333333334</v>
      </c>
      <c r="J5">
        <v>2.1075261959621407</v>
      </c>
      <c r="K5">
        <v>25.75</v>
      </c>
      <c r="L5">
        <v>4.5798471590217948</v>
      </c>
      <c r="M5">
        <v>16.583333333333332</v>
      </c>
      <c r="N5">
        <v>1.4013882006385272</v>
      </c>
      <c r="O5">
        <v>6.75</v>
      </c>
      <c r="P5">
        <v>2.7381055900425419</v>
      </c>
      <c r="R5">
        <v>12.285714285714286</v>
      </c>
      <c r="S5">
        <v>2.4470584868562546</v>
      </c>
      <c r="T5">
        <v>15.642857142857142</v>
      </c>
      <c r="U5">
        <v>1.9086270308410567</v>
      </c>
      <c r="V5">
        <v>26.571428571428573</v>
      </c>
      <c r="W5">
        <v>3.3094381626464764</v>
      </c>
      <c r="X5">
        <v>18.166666666666664</v>
      </c>
      <c r="Y5">
        <v>1.1785113019775788</v>
      </c>
      <c r="Z5">
        <v>5.9523809523809508</v>
      </c>
      <c r="AA5">
        <v>2.00396432500008</v>
      </c>
    </row>
    <row r="6" spans="1:27" x14ac:dyDescent="0.3">
      <c r="C6" t="s">
        <v>27</v>
      </c>
    </row>
    <row r="8" spans="1:27" x14ac:dyDescent="0.3">
      <c r="D8" t="s">
        <v>34</v>
      </c>
      <c r="G8">
        <v>10.45</v>
      </c>
      <c r="H8">
        <v>2.4432446550528732</v>
      </c>
      <c r="I8">
        <v>16.05</v>
      </c>
      <c r="J8">
        <v>2.4088955514462986</v>
      </c>
      <c r="K8">
        <v>27.05</v>
      </c>
      <c r="L8">
        <v>4.0514057916837869</v>
      </c>
      <c r="M8">
        <v>17.850000000000001</v>
      </c>
      <c r="N8">
        <v>1.8214259777966804</v>
      </c>
      <c r="O8">
        <v>7.4</v>
      </c>
      <c r="P8">
        <v>2.4434341346495017</v>
      </c>
    </row>
    <row r="9" spans="1:27" x14ac:dyDescent="0.3">
      <c r="E9" t="s">
        <v>37</v>
      </c>
      <c r="G9">
        <v>13</v>
      </c>
      <c r="H9">
        <v>2.1213203435596424</v>
      </c>
      <c r="I9">
        <v>20</v>
      </c>
      <c r="J9">
        <v>0.70710678118654757</v>
      </c>
      <c r="K9">
        <v>26.25</v>
      </c>
      <c r="L9">
        <v>3.8890872965260113</v>
      </c>
      <c r="M9">
        <v>19.75</v>
      </c>
      <c r="N9">
        <v>0.35355339059327379</v>
      </c>
      <c r="O9">
        <v>6.75</v>
      </c>
      <c r="P9">
        <v>2.4748737341529163</v>
      </c>
    </row>
    <row r="10" spans="1:27" x14ac:dyDescent="0.3">
      <c r="D10" t="s">
        <v>36</v>
      </c>
    </row>
    <row r="11" spans="1:27" x14ac:dyDescent="0.3">
      <c r="E11" t="s">
        <v>34</v>
      </c>
      <c r="G11">
        <v>8.625</v>
      </c>
      <c r="H11">
        <v>1.7017148213885114</v>
      </c>
      <c r="I11">
        <v>15.875</v>
      </c>
      <c r="J11">
        <v>4.5711960506341587</v>
      </c>
      <c r="K11">
        <v>26.75</v>
      </c>
      <c r="L11">
        <v>1.5545631755148024</v>
      </c>
      <c r="M11">
        <v>17.083333333333332</v>
      </c>
      <c r="N11">
        <v>2.0389721448336333</v>
      </c>
      <c r="O11">
        <v>8.4583333333333321</v>
      </c>
      <c r="P11">
        <v>2.3028766229958482</v>
      </c>
    </row>
    <row r="12" spans="1:27" x14ac:dyDescent="0.3">
      <c r="E12" t="s">
        <v>37</v>
      </c>
      <c r="G12">
        <v>11.5</v>
      </c>
      <c r="H12">
        <v>1.4142135623730951</v>
      </c>
      <c r="I12">
        <v>16.25</v>
      </c>
      <c r="J12">
        <v>3.1819805153394638</v>
      </c>
      <c r="K12">
        <v>30.75</v>
      </c>
      <c r="L12">
        <v>3.1819805153394638</v>
      </c>
      <c r="M12">
        <v>19.5</v>
      </c>
      <c r="N12">
        <v>0.47140452079103001</v>
      </c>
      <c r="O12">
        <v>8</v>
      </c>
      <c r="P12">
        <v>0.94280904158206502</v>
      </c>
    </row>
    <row r="14" spans="1:27" x14ac:dyDescent="0.3">
      <c r="B14" t="s">
        <v>35</v>
      </c>
    </row>
    <row r="15" spans="1:27" x14ac:dyDescent="0.3">
      <c r="C15" t="s">
        <v>2</v>
      </c>
      <c r="G15">
        <v>14.333333333333334</v>
      </c>
      <c r="H15">
        <v>2.1602468994692834</v>
      </c>
      <c r="I15">
        <v>16.166666666666668</v>
      </c>
      <c r="J15">
        <v>2.6956755492207609</v>
      </c>
      <c r="K15">
        <v>23.916666666666668</v>
      </c>
      <c r="L15">
        <v>4.4879468208376423</v>
      </c>
      <c r="M15">
        <v>18.138888888888889</v>
      </c>
      <c r="N15">
        <v>1.8481722703094376</v>
      </c>
      <c r="O15">
        <v>4.2222222222222223</v>
      </c>
      <c r="P15">
        <v>1.6113026706042233</v>
      </c>
      <c r="R15">
        <v>14.5</v>
      </c>
      <c r="S15">
        <v>4.7696960070847281</v>
      </c>
      <c r="T15">
        <v>16.5</v>
      </c>
      <c r="U15">
        <v>5.196152422706632</v>
      </c>
      <c r="V15">
        <v>25.333333333333332</v>
      </c>
      <c r="W15">
        <v>1.5275252316519465</v>
      </c>
      <c r="X15">
        <v>18.777777777777775</v>
      </c>
      <c r="Y15">
        <v>3.4251250315107677</v>
      </c>
      <c r="Z15">
        <v>5.4444444444444438</v>
      </c>
      <c r="AA15">
        <v>0.91792842454768508</v>
      </c>
    </row>
    <row r="16" spans="1:27" x14ac:dyDescent="0.3">
      <c r="C16" t="s">
        <v>34</v>
      </c>
      <c r="F16" t="s">
        <v>18</v>
      </c>
      <c r="G16">
        <v>10.5</v>
      </c>
      <c r="H16">
        <v>2.2638462845343543</v>
      </c>
      <c r="I16">
        <v>15.5</v>
      </c>
      <c r="J16">
        <v>3.0207614933986431</v>
      </c>
      <c r="K16">
        <v>17.899999999999999</v>
      </c>
      <c r="L16">
        <v>2.8591956910991616</v>
      </c>
      <c r="M16">
        <v>14.633333333333331</v>
      </c>
      <c r="N16">
        <v>1.3091557924436987</v>
      </c>
      <c r="O16">
        <v>4.1333333333333329</v>
      </c>
      <c r="P16">
        <v>2.3816427570528349</v>
      </c>
      <c r="R16">
        <v>10.5</v>
      </c>
      <c r="S16">
        <v>2.7838821814150108</v>
      </c>
      <c r="T16">
        <v>15.166666666666666</v>
      </c>
      <c r="U16">
        <v>4.2524502740576891</v>
      </c>
      <c r="V16">
        <v>21.666666666666668</v>
      </c>
      <c r="W16">
        <v>1.2583057392117916</v>
      </c>
      <c r="X16">
        <v>15.777777777777777</v>
      </c>
      <c r="Y16">
        <v>2.2381374531648746</v>
      </c>
      <c r="Z16">
        <v>5.2777777777777777</v>
      </c>
      <c r="AA16">
        <v>1.3877773329774237</v>
      </c>
    </row>
    <row r="17" spans="3:16" x14ac:dyDescent="0.3">
      <c r="C17" t="s">
        <v>27</v>
      </c>
    </row>
    <row r="18" spans="3:16" x14ac:dyDescent="0.3">
      <c r="D18" t="s">
        <v>34</v>
      </c>
      <c r="F18" t="s">
        <v>37</v>
      </c>
      <c r="G18">
        <v>12.25</v>
      </c>
      <c r="H18">
        <v>2.4748737341529163</v>
      </c>
      <c r="I18">
        <v>16.75</v>
      </c>
      <c r="J18">
        <v>1.7677669529663689</v>
      </c>
      <c r="K18">
        <v>25.25</v>
      </c>
      <c r="L18">
        <v>0.35355339059327379</v>
      </c>
      <c r="M18">
        <v>18.083333333333336</v>
      </c>
      <c r="N18">
        <v>1.5320646925708539</v>
      </c>
      <c r="O18">
        <v>5.8333333333333339</v>
      </c>
      <c r="P18">
        <v>0.94280904158206169</v>
      </c>
    </row>
    <row r="19" spans="3:16" x14ac:dyDescent="0.3">
      <c r="D19" t="s">
        <v>36</v>
      </c>
    </row>
    <row r="20" spans="3:16" x14ac:dyDescent="0.3">
      <c r="E20" t="s">
        <v>34</v>
      </c>
      <c r="G20">
        <v>11.5</v>
      </c>
      <c r="H20">
        <v>3.2787192621510002</v>
      </c>
      <c r="I20">
        <v>13.833333333333334</v>
      </c>
      <c r="J20">
        <v>1.4433756729740645</v>
      </c>
      <c r="K20">
        <v>24.666666666666668</v>
      </c>
      <c r="L20">
        <v>2.9297326385411577</v>
      </c>
      <c r="M20">
        <v>16.666666666666668</v>
      </c>
      <c r="N20">
        <v>1.5898986690282426</v>
      </c>
      <c r="O20">
        <v>5.166666666666667</v>
      </c>
      <c r="P20">
        <v>1.9649710204252651</v>
      </c>
    </row>
    <row r="21" spans="3:16" x14ac:dyDescent="0.3">
      <c r="F21" t="s">
        <v>37</v>
      </c>
      <c r="G21">
        <v>9.1666666666666661</v>
      </c>
      <c r="H21">
        <v>1.1547005383792495</v>
      </c>
      <c r="I21">
        <v>16</v>
      </c>
      <c r="J21">
        <v>1.8027756377319946</v>
      </c>
      <c r="K21">
        <v>25.833333333333332</v>
      </c>
      <c r="L21">
        <v>3.7527767497325724</v>
      </c>
      <c r="M21">
        <v>17</v>
      </c>
      <c r="N21">
        <v>0.60092521257733233</v>
      </c>
      <c r="O21">
        <v>7.833333333333333</v>
      </c>
      <c r="P21">
        <v>1.6414763002993502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0CE18A-8B26-4E93-B497-B59E55EFEC0E}">
  <dimension ref="A2:AF19"/>
  <sheetViews>
    <sheetView topLeftCell="M1" workbookViewId="0">
      <selection activeCell="Q4" sqref="Q4:AF4"/>
    </sheetView>
  </sheetViews>
  <sheetFormatPr defaultRowHeight="14.4" x14ac:dyDescent="0.3"/>
  <sheetData>
    <row r="2" spans="1:32" x14ac:dyDescent="0.3">
      <c r="A2" t="s">
        <v>28</v>
      </c>
      <c r="Q2" t="s">
        <v>9</v>
      </c>
      <c r="R2" t="s">
        <v>10</v>
      </c>
      <c r="S2" t="s">
        <v>11</v>
      </c>
      <c r="T2" t="s">
        <v>13</v>
      </c>
      <c r="U2" t="s">
        <v>29</v>
      </c>
      <c r="V2" t="s">
        <v>24</v>
      </c>
      <c r="W2" t="s">
        <v>30</v>
      </c>
      <c r="X2" t="s">
        <v>25</v>
      </c>
      <c r="Y2" t="s">
        <v>31</v>
      </c>
      <c r="Z2" t="s">
        <v>26</v>
      </c>
      <c r="AA2" t="s">
        <v>0</v>
      </c>
      <c r="AB2" t="s">
        <v>14</v>
      </c>
      <c r="AC2" t="s">
        <v>15</v>
      </c>
      <c r="AD2" t="s">
        <v>12</v>
      </c>
      <c r="AE2" t="s">
        <v>16</v>
      </c>
      <c r="AF2" t="s">
        <v>17</v>
      </c>
    </row>
    <row r="3" spans="1:32" x14ac:dyDescent="0.3">
      <c r="A3" t="s">
        <v>19</v>
      </c>
      <c r="F3" t="s">
        <v>33</v>
      </c>
      <c r="K3" t="s">
        <v>20</v>
      </c>
    </row>
    <row r="4" spans="1:32" x14ac:dyDescent="0.3">
      <c r="B4">
        <v>93</v>
      </c>
      <c r="C4">
        <v>7</v>
      </c>
      <c r="D4">
        <v>6</v>
      </c>
      <c r="E4">
        <v>94</v>
      </c>
      <c r="G4">
        <v>93</v>
      </c>
      <c r="H4">
        <v>7</v>
      </c>
      <c r="I4">
        <v>32</v>
      </c>
      <c r="J4">
        <v>68</v>
      </c>
      <c r="L4">
        <v>87</v>
      </c>
      <c r="M4">
        <v>13</v>
      </c>
      <c r="N4">
        <v>43</v>
      </c>
      <c r="O4">
        <v>57</v>
      </c>
      <c r="Q4">
        <f>AVERAGE(C4:D4)</f>
        <v>6.5</v>
      </c>
      <c r="R4">
        <f>AVERAGE(H4:I4)</f>
        <v>19.5</v>
      </c>
      <c r="S4">
        <f>AVERAGE(M4:N4)</f>
        <v>28</v>
      </c>
      <c r="T4">
        <f>AVERAGE(Q4:S4)</f>
        <v>18</v>
      </c>
      <c r="U4">
        <f>AVERAGE(Q4:Q20)</f>
        <v>9.5833333333333339</v>
      </c>
      <c r="V4">
        <f>_xlfn.STDEV.S(Q4:Q20)</f>
        <v>2.0836666400042674</v>
      </c>
      <c r="W4">
        <f>AVERAGE(R4:R20)</f>
        <v>16</v>
      </c>
      <c r="X4">
        <f>_xlfn.STDEV.S(R4:R20)</f>
        <v>3.8209946349085602</v>
      </c>
      <c r="Y4">
        <f>AVERAGE(S4:S20)</f>
        <v>28.083333333333332</v>
      </c>
      <c r="Z4">
        <f>_xlfn.STDEV.S(S4:S20)</f>
        <v>2.7823850680067035</v>
      </c>
      <c r="AA4">
        <f>AVERAGE(T4:T20)</f>
        <v>17.888888888888889</v>
      </c>
      <c r="AB4">
        <f>_xlfn.STDEV.S(T4:T20)</f>
        <v>2.0239309020557754</v>
      </c>
      <c r="AC4">
        <f>MIN(Q4:S4)</f>
        <v>6.5</v>
      </c>
      <c r="AD4">
        <f>T4-AC4</f>
        <v>11.5</v>
      </c>
      <c r="AE4">
        <f>AVERAGE(AD4:AD20)</f>
        <v>8.3055555555555554</v>
      </c>
      <c r="AF4">
        <f>_xlfn.STDEV.S(AD4:AD20)</f>
        <v>1.8481722703094403</v>
      </c>
    </row>
    <row r="5" spans="1:32" x14ac:dyDescent="0.3">
      <c r="B5">
        <v>89</v>
      </c>
      <c r="C5">
        <v>11</v>
      </c>
      <c r="D5">
        <v>5</v>
      </c>
      <c r="E5">
        <v>95</v>
      </c>
      <c r="G5">
        <v>97</v>
      </c>
      <c r="H5">
        <v>3</v>
      </c>
      <c r="I5">
        <v>17</v>
      </c>
      <c r="J5">
        <v>83</v>
      </c>
      <c r="L5">
        <v>77</v>
      </c>
      <c r="M5">
        <v>23</v>
      </c>
      <c r="N5">
        <v>26</v>
      </c>
      <c r="O5">
        <v>74</v>
      </c>
      <c r="Q5">
        <f t="shared" ref="Q5:Q7" si="0">AVERAGE(C5:D5)</f>
        <v>8</v>
      </c>
      <c r="R5">
        <f t="shared" ref="R5:R7" si="1">AVERAGE(H5:I5)</f>
        <v>10</v>
      </c>
      <c r="S5">
        <f t="shared" ref="S5:S7" si="2">AVERAGE(M5:N5)</f>
        <v>24.5</v>
      </c>
      <c r="T5">
        <f t="shared" ref="T5:T7" si="3">AVERAGE(Q5:S5)</f>
        <v>14.166666666666666</v>
      </c>
      <c r="AC5">
        <f t="shared" ref="AC5:AC7" si="4">MIN(Q5:S5)</f>
        <v>8</v>
      </c>
      <c r="AD5">
        <f t="shared" ref="AD5:AD7" si="5">T5-AC5</f>
        <v>6.1666666666666661</v>
      </c>
    </row>
    <row r="6" spans="1:32" x14ac:dyDescent="0.3">
      <c r="B6">
        <v>91</v>
      </c>
      <c r="C6">
        <v>9</v>
      </c>
      <c r="D6">
        <v>11</v>
      </c>
      <c r="E6">
        <v>89</v>
      </c>
      <c r="G6">
        <v>92</v>
      </c>
      <c r="H6">
        <v>8</v>
      </c>
      <c r="I6">
        <v>31</v>
      </c>
      <c r="J6">
        <v>69</v>
      </c>
      <c r="L6">
        <v>83</v>
      </c>
      <c r="M6">
        <v>17</v>
      </c>
      <c r="N6">
        <v>37</v>
      </c>
      <c r="O6">
        <v>63</v>
      </c>
      <c r="Q6">
        <f t="shared" si="0"/>
        <v>10</v>
      </c>
      <c r="R6">
        <f t="shared" si="1"/>
        <v>19.5</v>
      </c>
      <c r="S6">
        <f t="shared" si="2"/>
        <v>27</v>
      </c>
      <c r="T6">
        <f t="shared" si="3"/>
        <v>18.833333333333332</v>
      </c>
      <c r="AC6">
        <f t="shared" si="4"/>
        <v>10</v>
      </c>
      <c r="AD6">
        <f t="shared" si="5"/>
        <v>8.8333333333333321</v>
      </c>
    </row>
    <row r="7" spans="1:32" x14ac:dyDescent="0.3">
      <c r="B7">
        <v>90</v>
      </c>
      <c r="C7">
        <v>10</v>
      </c>
      <c r="D7">
        <v>10</v>
      </c>
      <c r="E7">
        <v>90</v>
      </c>
      <c r="G7">
        <v>94</v>
      </c>
      <c r="H7">
        <v>6</v>
      </c>
      <c r="I7">
        <v>23</v>
      </c>
      <c r="J7">
        <v>77</v>
      </c>
      <c r="L7">
        <v>87</v>
      </c>
      <c r="M7">
        <v>13</v>
      </c>
      <c r="N7">
        <v>42</v>
      </c>
      <c r="O7">
        <v>58</v>
      </c>
      <c r="Q7">
        <f t="shared" si="0"/>
        <v>10</v>
      </c>
      <c r="R7">
        <f t="shared" si="1"/>
        <v>14.5</v>
      </c>
      <c r="S7">
        <f t="shared" si="2"/>
        <v>27.5</v>
      </c>
      <c r="T7">
        <f t="shared" si="3"/>
        <v>17.333333333333332</v>
      </c>
      <c r="AC7">
        <f t="shared" si="4"/>
        <v>10</v>
      </c>
      <c r="AD7">
        <f t="shared" si="5"/>
        <v>7.3333333333333321</v>
      </c>
    </row>
    <row r="17" spans="1:32" x14ac:dyDescent="0.3">
      <c r="A17" t="s">
        <v>37</v>
      </c>
    </row>
    <row r="18" spans="1:32" x14ac:dyDescent="0.3">
      <c r="B18">
        <v>91</v>
      </c>
      <c r="C18">
        <v>9</v>
      </c>
      <c r="D18">
        <v>12</v>
      </c>
      <c r="E18">
        <v>88</v>
      </c>
      <c r="G18">
        <v>95</v>
      </c>
      <c r="H18">
        <v>5</v>
      </c>
      <c r="I18">
        <v>32</v>
      </c>
      <c r="J18">
        <v>68</v>
      </c>
      <c r="L18">
        <v>86</v>
      </c>
      <c r="M18">
        <v>14</v>
      </c>
      <c r="N18">
        <v>43</v>
      </c>
      <c r="O18">
        <v>57</v>
      </c>
      <c r="Q18">
        <f>AVERAGE(C18:D18)</f>
        <v>10.5</v>
      </c>
      <c r="R18">
        <f>AVERAGE(H18:I18)</f>
        <v>18.5</v>
      </c>
      <c r="S18">
        <f>AVERAGE(M18:N18)</f>
        <v>28.5</v>
      </c>
      <c r="T18">
        <f>AVERAGE(Q18:S18)</f>
        <v>19.166666666666668</v>
      </c>
      <c r="U18">
        <f>AVERAGE(Q18:Q34)</f>
        <v>11.5</v>
      </c>
      <c r="V18">
        <f>_xlfn.STDEV.S(Q18:Q34)</f>
        <v>1.4142135623730951</v>
      </c>
      <c r="W18">
        <f>AVERAGE(R18:R34)</f>
        <v>16.25</v>
      </c>
      <c r="X18">
        <f>_xlfn.STDEV.S(R18:R34)</f>
        <v>3.1819805153394638</v>
      </c>
      <c r="Y18">
        <f>AVERAGE(S18:S34)</f>
        <v>30.75</v>
      </c>
      <c r="Z18">
        <f>_xlfn.STDEV.S(S18:S34)</f>
        <v>3.1819805153394638</v>
      </c>
      <c r="AA18">
        <f>AVERAGE(T18:T34)</f>
        <v>19.5</v>
      </c>
      <c r="AB18">
        <f>_xlfn.STDEV.S(T18:T34)</f>
        <v>0.47140452079103001</v>
      </c>
      <c r="AC18">
        <f>MIN(Q18:S18)</f>
        <v>10.5</v>
      </c>
      <c r="AD18">
        <f>T18-AC18</f>
        <v>8.6666666666666679</v>
      </c>
      <c r="AE18">
        <f>AVERAGE(AD18:AD34)</f>
        <v>8</v>
      </c>
      <c r="AF18">
        <f>_xlfn.STDEV.S(AD18:AD34)</f>
        <v>0.94280904158206502</v>
      </c>
    </row>
    <row r="19" spans="1:32" x14ac:dyDescent="0.3">
      <c r="B19">
        <v>86</v>
      </c>
      <c r="C19">
        <v>14</v>
      </c>
      <c r="D19">
        <v>11</v>
      </c>
      <c r="E19">
        <v>89</v>
      </c>
      <c r="G19">
        <v>96</v>
      </c>
      <c r="H19">
        <v>4</v>
      </c>
      <c r="I19">
        <v>24</v>
      </c>
      <c r="J19">
        <v>76</v>
      </c>
      <c r="L19">
        <v>77</v>
      </c>
      <c r="M19">
        <v>23</v>
      </c>
      <c r="N19">
        <v>43</v>
      </c>
      <c r="O19">
        <v>57</v>
      </c>
      <c r="Q19">
        <f>AVERAGE(C19:D19)</f>
        <v>12.5</v>
      </c>
      <c r="R19">
        <f>AVERAGE(H19:I19)</f>
        <v>14</v>
      </c>
      <c r="S19">
        <f>AVERAGE(M19:N19)</f>
        <v>33</v>
      </c>
      <c r="T19">
        <f>AVERAGE(Q19:S19)</f>
        <v>19.833333333333332</v>
      </c>
      <c r="AC19">
        <f>MIN(Q19:S19)</f>
        <v>12.5</v>
      </c>
      <c r="AD19">
        <f>T19-AC19</f>
        <v>7.3333333333333321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557A7D-364E-47EE-A0F3-0D888512E587}">
  <dimension ref="A2:AF6"/>
  <sheetViews>
    <sheetView topLeftCell="M1" workbookViewId="0">
      <selection activeCell="AE4" sqref="AE4:AF4"/>
    </sheetView>
  </sheetViews>
  <sheetFormatPr defaultRowHeight="14.4" x14ac:dyDescent="0.3"/>
  <sheetData>
    <row r="2" spans="1:32" x14ac:dyDescent="0.3">
      <c r="A2" t="s">
        <v>28</v>
      </c>
      <c r="Q2" t="s">
        <v>9</v>
      </c>
      <c r="R2" t="s">
        <v>10</v>
      </c>
      <c r="S2" t="s">
        <v>11</v>
      </c>
      <c r="T2" t="s">
        <v>13</v>
      </c>
      <c r="U2" t="s">
        <v>29</v>
      </c>
      <c r="V2" t="s">
        <v>24</v>
      </c>
      <c r="W2" t="s">
        <v>30</v>
      </c>
      <c r="X2" t="s">
        <v>25</v>
      </c>
      <c r="Y2" t="s">
        <v>31</v>
      </c>
      <c r="Z2" t="s">
        <v>26</v>
      </c>
      <c r="AA2" t="s">
        <v>0</v>
      </c>
      <c r="AB2" t="s">
        <v>14</v>
      </c>
      <c r="AC2" t="s">
        <v>15</v>
      </c>
      <c r="AD2" t="s">
        <v>12</v>
      </c>
      <c r="AE2" t="s">
        <v>16</v>
      </c>
      <c r="AF2" t="s">
        <v>17</v>
      </c>
    </row>
    <row r="3" spans="1:32" x14ac:dyDescent="0.3">
      <c r="A3" t="s">
        <v>19</v>
      </c>
      <c r="F3" t="s">
        <v>33</v>
      </c>
      <c r="K3" t="s">
        <v>20</v>
      </c>
    </row>
    <row r="4" spans="1:32" x14ac:dyDescent="0.3">
      <c r="B4">
        <v>93</v>
      </c>
      <c r="C4">
        <v>7</v>
      </c>
      <c r="D4">
        <v>10</v>
      </c>
      <c r="E4">
        <v>90</v>
      </c>
      <c r="G4">
        <v>97</v>
      </c>
      <c r="H4">
        <v>3</v>
      </c>
      <c r="I4">
        <v>25</v>
      </c>
      <c r="J4">
        <v>75</v>
      </c>
      <c r="L4">
        <v>79</v>
      </c>
      <c r="M4">
        <v>21</v>
      </c>
      <c r="N4">
        <v>35</v>
      </c>
      <c r="O4">
        <v>65</v>
      </c>
      <c r="Q4">
        <f>AVERAGE(C4,D4)</f>
        <v>8.5</v>
      </c>
      <c r="R4">
        <f>AVERAGE(H4,I4)</f>
        <v>14</v>
      </c>
      <c r="S4">
        <f>AVERAGE(M4,N4)</f>
        <v>28</v>
      </c>
      <c r="T4">
        <f>AVERAGE(Q4:S4)</f>
        <v>16.833333333333332</v>
      </c>
      <c r="U4">
        <f>AVERAGE(Q4,Q5:Q6)</f>
        <v>9.1666666666666661</v>
      </c>
      <c r="V4">
        <f>_xlfn.STDEV.S(Q4,Q5:Q6)</f>
        <v>1.1547005383792495</v>
      </c>
      <c r="W4">
        <f>AVERAGE(R4,R5:R7)</f>
        <v>16</v>
      </c>
      <c r="X4">
        <f>_xlfn.STDEV.S(R4,R5:R6)</f>
        <v>1.8027756377319946</v>
      </c>
      <c r="Y4">
        <f>AVERAGE(S4,S5:S6)</f>
        <v>25.833333333333332</v>
      </c>
      <c r="Z4">
        <f>_xlfn.STDEV.S(S4,S5:S6)</f>
        <v>3.7527767497325724</v>
      </c>
      <c r="AA4">
        <f>AVERAGE(T4,T5:T6)</f>
        <v>17</v>
      </c>
      <c r="AB4">
        <f>_xlfn.STDEV.S(T4,T5:T6)</f>
        <v>0.60092521257733233</v>
      </c>
      <c r="AC4">
        <f>MIN(Q4:S4)</f>
        <v>8.5</v>
      </c>
      <c r="AD4">
        <f t="shared" ref="AD4:AD5" si="0">(T4-AC4)</f>
        <v>8.3333333333333321</v>
      </c>
      <c r="AE4">
        <f>AVERAGE(AD4,AD5:AD6)</f>
        <v>7.833333333333333</v>
      </c>
      <c r="AF4">
        <f>_xlfn.STDEV.S(AD4,AD5:AD6)</f>
        <v>1.6414763002993502</v>
      </c>
    </row>
    <row r="5" spans="1:32" x14ac:dyDescent="0.3">
      <c r="B5">
        <v>88</v>
      </c>
      <c r="C5">
        <v>12</v>
      </c>
      <c r="D5">
        <v>9</v>
      </c>
      <c r="E5">
        <v>91</v>
      </c>
      <c r="G5">
        <v>96</v>
      </c>
      <c r="H5">
        <v>4</v>
      </c>
      <c r="I5">
        <v>31</v>
      </c>
      <c r="J5">
        <v>69</v>
      </c>
      <c r="L5">
        <v>83</v>
      </c>
      <c r="M5">
        <v>17</v>
      </c>
      <c r="N5">
        <v>26</v>
      </c>
      <c r="O5">
        <v>74</v>
      </c>
      <c r="Q5">
        <f>AVERAGE(C5,D5)</f>
        <v>10.5</v>
      </c>
      <c r="R5">
        <f>AVERAGE(H5,I5)</f>
        <v>17.5</v>
      </c>
      <c r="S5">
        <f>AVERAGE(M5,N5)</f>
        <v>21.5</v>
      </c>
      <c r="T5">
        <f>AVERAGE(Q5:S5)</f>
        <v>16.5</v>
      </c>
      <c r="AC5">
        <f>MIN(Q5:S5)</f>
        <v>10.5</v>
      </c>
      <c r="AD5">
        <f t="shared" si="0"/>
        <v>6</v>
      </c>
    </row>
    <row r="6" spans="1:32" x14ac:dyDescent="0.3">
      <c r="B6">
        <v>93</v>
      </c>
      <c r="C6">
        <v>7</v>
      </c>
      <c r="D6">
        <v>10</v>
      </c>
      <c r="E6">
        <v>90</v>
      </c>
      <c r="G6">
        <v>91</v>
      </c>
      <c r="H6">
        <v>9</v>
      </c>
      <c r="I6">
        <v>24</v>
      </c>
      <c r="J6">
        <v>76</v>
      </c>
      <c r="L6">
        <v>81</v>
      </c>
      <c r="M6">
        <v>19</v>
      </c>
      <c r="N6">
        <v>37</v>
      </c>
      <c r="O6">
        <v>63</v>
      </c>
      <c r="Q6">
        <f>AVERAGE(C6,D6)</f>
        <v>8.5</v>
      </c>
      <c r="R6">
        <f>AVERAGE(H6,I6)</f>
        <v>16.5</v>
      </c>
      <c r="S6">
        <f>AVERAGE(M6,N6)</f>
        <v>28</v>
      </c>
      <c r="T6">
        <f>AVERAGE(Q6:S6)</f>
        <v>17.666666666666668</v>
      </c>
      <c r="AC6">
        <f>MIN(Q6:S6)</f>
        <v>8.5</v>
      </c>
      <c r="AD6">
        <f>(T6-AC6)</f>
        <v>9.1666666666666679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67D71-588A-4985-8ACA-35F7A9B1AF58}">
  <dimension ref="A2:AF6"/>
  <sheetViews>
    <sheetView topLeftCell="E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28</v>
      </c>
      <c r="Q2" t="s">
        <v>9</v>
      </c>
      <c r="R2" t="s">
        <v>10</v>
      </c>
      <c r="S2" t="s">
        <v>11</v>
      </c>
      <c r="T2" t="s">
        <v>13</v>
      </c>
      <c r="U2" t="s">
        <v>29</v>
      </c>
      <c r="V2" t="s">
        <v>24</v>
      </c>
      <c r="W2" t="s">
        <v>30</v>
      </c>
      <c r="X2" t="s">
        <v>25</v>
      </c>
      <c r="Y2" t="s">
        <v>31</v>
      </c>
      <c r="Z2" t="s">
        <v>26</v>
      </c>
      <c r="AA2" t="s">
        <v>0</v>
      </c>
      <c r="AB2" t="s">
        <v>14</v>
      </c>
      <c r="AC2" t="s">
        <v>15</v>
      </c>
      <c r="AD2" t="s">
        <v>12</v>
      </c>
      <c r="AE2" t="s">
        <v>16</v>
      </c>
      <c r="AF2" t="s">
        <v>17</v>
      </c>
    </row>
    <row r="3" spans="1:32" x14ac:dyDescent="0.3">
      <c r="A3" t="s">
        <v>19</v>
      </c>
      <c r="F3" t="s">
        <v>33</v>
      </c>
      <c r="K3" t="s">
        <v>20</v>
      </c>
    </row>
    <row r="4" spans="1:32" x14ac:dyDescent="0.3">
      <c r="B4">
        <v>93</v>
      </c>
      <c r="C4">
        <v>7</v>
      </c>
      <c r="D4">
        <v>9</v>
      </c>
      <c r="E4">
        <v>91</v>
      </c>
      <c r="G4">
        <v>99</v>
      </c>
      <c r="H4">
        <v>1</v>
      </c>
      <c r="I4">
        <v>25</v>
      </c>
      <c r="J4">
        <v>75</v>
      </c>
      <c r="L4">
        <v>83</v>
      </c>
      <c r="M4">
        <v>17</v>
      </c>
      <c r="N4">
        <v>30</v>
      </c>
      <c r="O4">
        <v>70</v>
      </c>
      <c r="Q4">
        <f>AVERAGE(C4:D4)</f>
        <v>8</v>
      </c>
      <c r="R4">
        <f>AVERAGE(H4:I4)</f>
        <v>13</v>
      </c>
      <c r="S4">
        <f>AVERAGE(M4:N4)</f>
        <v>23.5</v>
      </c>
      <c r="T4">
        <f>AVERAGE(Q4:S4)</f>
        <v>14.833333333333334</v>
      </c>
      <c r="U4">
        <f>AVERAGE(Q4:Q13)</f>
        <v>11.5</v>
      </c>
      <c r="V4">
        <f>_xlfn.STDEV.S(Q4:Q13)</f>
        <v>3.2787192621510002</v>
      </c>
      <c r="W4">
        <f>AVERAGE(R4:R13)</f>
        <v>13.833333333333334</v>
      </c>
      <c r="X4">
        <f>_xlfn.STDEV.S(R4:R13)</f>
        <v>1.4433756729740645</v>
      </c>
      <c r="Y4">
        <f>AVERAGE(S4:S13)</f>
        <v>24.666666666666668</v>
      </c>
      <c r="Z4">
        <f>_xlfn.STDEV.S(S4:S13)</f>
        <v>2.9297326385411577</v>
      </c>
      <c r="AA4">
        <f>AVERAGE(T4:T13)</f>
        <v>16.666666666666668</v>
      </c>
      <c r="AB4">
        <f>_xlfn.STDEV.S(T4:T13)</f>
        <v>1.5898986690282426</v>
      </c>
      <c r="AC4">
        <f>MIN(Q4:S4)</f>
        <v>8</v>
      </c>
      <c r="AD4">
        <f>T4-AC4</f>
        <v>6.8333333333333339</v>
      </c>
      <c r="AE4">
        <f>AVERAGE(AD4:AD13)</f>
        <v>5.166666666666667</v>
      </c>
      <c r="AF4">
        <f>_xlfn.STDEV.S(AD4:AD13)</f>
        <v>1.9649710204252651</v>
      </c>
    </row>
    <row r="5" spans="1:32" x14ac:dyDescent="0.3">
      <c r="B5">
        <v>90</v>
      </c>
      <c r="C5">
        <v>10</v>
      </c>
      <c r="D5">
        <v>14</v>
      </c>
      <c r="E5">
        <v>86</v>
      </c>
      <c r="G5">
        <v>91</v>
      </c>
      <c r="H5">
        <v>9</v>
      </c>
      <c r="I5">
        <v>17</v>
      </c>
      <c r="J5">
        <v>83</v>
      </c>
      <c r="L5">
        <v>82</v>
      </c>
      <c r="M5">
        <v>18</v>
      </c>
      <c r="N5">
        <v>38</v>
      </c>
      <c r="O5">
        <v>62</v>
      </c>
      <c r="Q5">
        <f t="shared" ref="Q5:Q6" si="0">AVERAGE(C5:D5)</f>
        <v>12</v>
      </c>
      <c r="R5">
        <f t="shared" ref="R5:R6" si="1">AVERAGE(H5:I5)</f>
        <v>13</v>
      </c>
      <c r="S5">
        <f t="shared" ref="S5:S6" si="2">AVERAGE(M5:N5)</f>
        <v>28</v>
      </c>
      <c r="T5">
        <f t="shared" ref="T5:T6" si="3">AVERAGE(Q5:S5)</f>
        <v>17.666666666666668</v>
      </c>
      <c r="AC5">
        <f t="shared" ref="AC5:AC6" si="4">MIN(Q5:S5)</f>
        <v>12</v>
      </c>
      <c r="AD5">
        <f t="shared" ref="AD5:AD6" si="5">T5-AC5</f>
        <v>5.6666666666666679</v>
      </c>
    </row>
    <row r="6" spans="1:32" x14ac:dyDescent="0.3">
      <c r="B6">
        <v>90</v>
      </c>
      <c r="C6">
        <v>10</v>
      </c>
      <c r="D6">
        <v>19</v>
      </c>
      <c r="E6">
        <v>81</v>
      </c>
      <c r="G6">
        <v>93</v>
      </c>
      <c r="H6">
        <v>7</v>
      </c>
      <c r="I6">
        <v>24</v>
      </c>
      <c r="J6">
        <v>76</v>
      </c>
      <c r="L6">
        <v>83</v>
      </c>
      <c r="M6">
        <v>17</v>
      </c>
      <c r="N6">
        <v>28</v>
      </c>
      <c r="O6">
        <v>72</v>
      </c>
      <c r="Q6">
        <f t="shared" si="0"/>
        <v>14.5</v>
      </c>
      <c r="R6">
        <f t="shared" si="1"/>
        <v>15.5</v>
      </c>
      <c r="S6">
        <f t="shared" si="2"/>
        <v>22.5</v>
      </c>
      <c r="T6">
        <f t="shared" si="3"/>
        <v>17.5</v>
      </c>
      <c r="AC6">
        <f t="shared" si="4"/>
        <v>14.5</v>
      </c>
      <c r="AD6">
        <f t="shared" si="5"/>
        <v>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C68C5-0EAB-4233-98F5-D346BC512EB4}">
  <dimension ref="A2:AF21"/>
  <sheetViews>
    <sheetView topLeftCell="N1" workbookViewId="0">
      <selection activeCell="AF20" activeCellId="2" sqref="U20:AB20 AE20 AF20"/>
    </sheetView>
  </sheetViews>
  <sheetFormatPr defaultRowHeight="14.4" x14ac:dyDescent="0.3"/>
  <sheetData>
    <row r="2" spans="1:32" x14ac:dyDescent="0.3">
      <c r="A2" t="s">
        <v>28</v>
      </c>
      <c r="Q2" t="s">
        <v>9</v>
      </c>
      <c r="R2" t="s">
        <v>10</v>
      </c>
      <c r="S2" t="s">
        <v>11</v>
      </c>
      <c r="T2" t="s">
        <v>13</v>
      </c>
      <c r="U2" t="s">
        <v>29</v>
      </c>
      <c r="V2" t="s">
        <v>24</v>
      </c>
      <c r="W2" t="s">
        <v>30</v>
      </c>
      <c r="X2" t="s">
        <v>25</v>
      </c>
      <c r="Y2" t="s">
        <v>31</v>
      </c>
      <c r="Z2" t="s">
        <v>26</v>
      </c>
      <c r="AA2" t="s">
        <v>0</v>
      </c>
      <c r="AB2" t="s">
        <v>14</v>
      </c>
      <c r="AC2" t="s">
        <v>15</v>
      </c>
      <c r="AD2" t="s">
        <v>12</v>
      </c>
      <c r="AE2" t="s">
        <v>16</v>
      </c>
      <c r="AF2" t="s">
        <v>17</v>
      </c>
    </row>
    <row r="3" spans="1:32" x14ac:dyDescent="0.3">
      <c r="A3" t="s">
        <v>19</v>
      </c>
      <c r="F3" t="s">
        <v>33</v>
      </c>
      <c r="K3" t="s">
        <v>20</v>
      </c>
    </row>
    <row r="4" spans="1:32" x14ac:dyDescent="0.3">
      <c r="B4">
        <v>91</v>
      </c>
      <c r="C4">
        <v>9</v>
      </c>
      <c r="D4">
        <v>8</v>
      </c>
      <c r="E4">
        <v>92</v>
      </c>
      <c r="G4">
        <v>94</v>
      </c>
      <c r="H4">
        <v>6</v>
      </c>
      <c r="I4">
        <v>29</v>
      </c>
      <c r="J4">
        <v>71</v>
      </c>
      <c r="L4">
        <v>85</v>
      </c>
      <c r="M4">
        <v>15</v>
      </c>
      <c r="N4">
        <v>32</v>
      </c>
      <c r="O4">
        <v>68</v>
      </c>
      <c r="Q4">
        <f>AVERAGE(C4:D4)</f>
        <v>8.5</v>
      </c>
      <c r="R4">
        <f>AVERAGE(H4:I4)</f>
        <v>17.5</v>
      </c>
      <c r="S4">
        <f>AVERAGE(M4:N4)</f>
        <v>23.5</v>
      </c>
      <c r="T4">
        <f>AVERAGE(Q4:S4)</f>
        <v>16.5</v>
      </c>
      <c r="U4">
        <f>AVERAGE(Q4:Q13)</f>
        <v>10.45</v>
      </c>
      <c r="V4">
        <f>_xlfn.STDEV.S(Q4:Q13)</f>
        <v>2.4432446550528732</v>
      </c>
      <c r="W4">
        <f>AVERAGE(R4:R13)</f>
        <v>16.05</v>
      </c>
      <c r="X4">
        <f>_xlfn.STDEV.S(R4:R13)</f>
        <v>2.4088955514462986</v>
      </c>
      <c r="Y4">
        <f>AVERAGE(S4:S13)</f>
        <v>27.05</v>
      </c>
      <c r="Z4">
        <f>_xlfn.STDEV.S(S4:S13)</f>
        <v>4.0514057916837869</v>
      </c>
      <c r="AA4">
        <f>AVERAGE(T4:T13)</f>
        <v>17.850000000000001</v>
      </c>
      <c r="AB4">
        <f>_xlfn.STDEV.S(T4:T13)</f>
        <v>1.8214259777966804</v>
      </c>
      <c r="AC4">
        <f>MIN(Q4:S4)</f>
        <v>8.5</v>
      </c>
      <c r="AD4">
        <f>T4-AC4</f>
        <v>8</v>
      </c>
      <c r="AE4">
        <f>AVERAGE(AD4:AD13)</f>
        <v>7.4</v>
      </c>
      <c r="AF4">
        <f>_xlfn.STDEV.S(AD4:AD13)</f>
        <v>2.4434341346495017</v>
      </c>
    </row>
    <row r="5" spans="1:32" x14ac:dyDescent="0.3">
      <c r="B5">
        <v>89</v>
      </c>
      <c r="C5">
        <v>11</v>
      </c>
      <c r="D5">
        <v>11</v>
      </c>
      <c r="E5">
        <v>89</v>
      </c>
      <c r="G5">
        <v>93</v>
      </c>
      <c r="H5">
        <v>7</v>
      </c>
      <c r="I5">
        <v>18</v>
      </c>
      <c r="J5">
        <v>82</v>
      </c>
      <c r="L5">
        <v>84</v>
      </c>
      <c r="M5">
        <v>16</v>
      </c>
      <c r="N5">
        <v>41</v>
      </c>
      <c r="O5">
        <v>59</v>
      </c>
      <c r="Q5">
        <f t="shared" ref="Q5:Q13" si="0">AVERAGE(C5:D5)</f>
        <v>11</v>
      </c>
      <c r="R5">
        <f t="shared" ref="R5:R13" si="1">AVERAGE(H5:I5)</f>
        <v>12.5</v>
      </c>
      <c r="S5">
        <f t="shared" ref="S5:S13" si="2">AVERAGE(M5:N5)</f>
        <v>28.5</v>
      </c>
      <c r="T5">
        <f t="shared" ref="T5:T13" si="3">AVERAGE(Q5:S5)</f>
        <v>17.333333333333332</v>
      </c>
      <c r="AC5">
        <f t="shared" ref="AC5:AC13" si="4">MIN(Q5:S5)</f>
        <v>11</v>
      </c>
      <c r="AD5">
        <f t="shared" ref="AD5:AD13" si="5">T5-AC5</f>
        <v>6.3333333333333321</v>
      </c>
    </row>
    <row r="6" spans="1:32" x14ac:dyDescent="0.3">
      <c r="B6">
        <v>98</v>
      </c>
      <c r="C6">
        <v>2</v>
      </c>
      <c r="D6">
        <v>13</v>
      </c>
      <c r="E6">
        <v>87</v>
      </c>
      <c r="G6">
        <v>98</v>
      </c>
      <c r="H6">
        <v>2</v>
      </c>
      <c r="I6">
        <v>30</v>
      </c>
      <c r="J6">
        <v>70</v>
      </c>
      <c r="L6">
        <v>76</v>
      </c>
      <c r="M6">
        <v>24</v>
      </c>
      <c r="N6">
        <v>29</v>
      </c>
      <c r="O6">
        <v>71</v>
      </c>
      <c r="Q6">
        <f t="shared" si="0"/>
        <v>7.5</v>
      </c>
      <c r="R6">
        <f t="shared" si="1"/>
        <v>16</v>
      </c>
      <c r="S6">
        <f t="shared" si="2"/>
        <v>26.5</v>
      </c>
      <c r="T6">
        <f t="shared" si="3"/>
        <v>16.666666666666668</v>
      </c>
      <c r="AC6">
        <f t="shared" si="4"/>
        <v>7.5</v>
      </c>
      <c r="AD6">
        <f t="shared" si="5"/>
        <v>9.1666666666666679</v>
      </c>
    </row>
    <row r="7" spans="1:32" x14ac:dyDescent="0.3">
      <c r="B7">
        <v>91</v>
      </c>
      <c r="C7">
        <v>9</v>
      </c>
      <c r="D7">
        <v>20</v>
      </c>
      <c r="E7">
        <v>80</v>
      </c>
      <c r="G7">
        <v>94</v>
      </c>
      <c r="H7">
        <v>6</v>
      </c>
      <c r="I7">
        <v>23</v>
      </c>
      <c r="J7">
        <v>77</v>
      </c>
      <c r="L7">
        <v>83</v>
      </c>
      <c r="M7">
        <v>17</v>
      </c>
      <c r="N7">
        <v>25</v>
      </c>
      <c r="O7">
        <v>75</v>
      </c>
      <c r="Q7">
        <f t="shared" si="0"/>
        <v>14.5</v>
      </c>
      <c r="R7">
        <f t="shared" si="1"/>
        <v>14.5</v>
      </c>
      <c r="S7">
        <f t="shared" si="2"/>
        <v>21</v>
      </c>
      <c r="T7">
        <f t="shared" si="3"/>
        <v>16.666666666666668</v>
      </c>
      <c r="AC7">
        <f t="shared" si="4"/>
        <v>14.5</v>
      </c>
      <c r="AD7">
        <f t="shared" si="5"/>
        <v>2.1666666666666679</v>
      </c>
    </row>
    <row r="8" spans="1:32" x14ac:dyDescent="0.3">
      <c r="B8">
        <v>93</v>
      </c>
      <c r="C8">
        <v>7</v>
      </c>
      <c r="D8">
        <v>16</v>
      </c>
      <c r="E8">
        <v>84</v>
      </c>
      <c r="G8">
        <v>94</v>
      </c>
      <c r="H8">
        <v>6</v>
      </c>
      <c r="I8">
        <v>34</v>
      </c>
      <c r="J8">
        <v>66</v>
      </c>
      <c r="L8">
        <v>83</v>
      </c>
      <c r="M8">
        <v>17</v>
      </c>
      <c r="N8">
        <v>50</v>
      </c>
      <c r="O8">
        <v>50</v>
      </c>
      <c r="Q8">
        <f t="shared" si="0"/>
        <v>11.5</v>
      </c>
      <c r="R8">
        <f t="shared" si="1"/>
        <v>20</v>
      </c>
      <c r="S8">
        <f t="shared" si="2"/>
        <v>33.5</v>
      </c>
      <c r="T8">
        <f t="shared" si="3"/>
        <v>21.666666666666668</v>
      </c>
      <c r="AC8">
        <f t="shared" si="4"/>
        <v>11.5</v>
      </c>
      <c r="AD8">
        <f t="shared" si="5"/>
        <v>10.166666666666668</v>
      </c>
    </row>
    <row r="9" spans="1:32" x14ac:dyDescent="0.3">
      <c r="B9">
        <v>93</v>
      </c>
      <c r="C9">
        <v>7</v>
      </c>
      <c r="D9">
        <v>16</v>
      </c>
      <c r="E9">
        <v>84</v>
      </c>
      <c r="G9">
        <v>94</v>
      </c>
      <c r="H9">
        <v>6</v>
      </c>
      <c r="I9">
        <v>28</v>
      </c>
      <c r="J9">
        <v>72</v>
      </c>
      <c r="L9">
        <v>86</v>
      </c>
      <c r="M9">
        <v>14</v>
      </c>
      <c r="N9">
        <v>40</v>
      </c>
      <c r="O9">
        <v>60</v>
      </c>
      <c r="Q9">
        <f t="shared" si="0"/>
        <v>11.5</v>
      </c>
      <c r="R9">
        <f t="shared" si="1"/>
        <v>17</v>
      </c>
      <c r="S9">
        <f t="shared" si="2"/>
        <v>27</v>
      </c>
      <c r="T9">
        <f t="shared" si="3"/>
        <v>18.5</v>
      </c>
      <c r="AC9">
        <f t="shared" si="4"/>
        <v>11.5</v>
      </c>
      <c r="AD9">
        <f t="shared" si="5"/>
        <v>7</v>
      </c>
    </row>
    <row r="10" spans="1:32" x14ac:dyDescent="0.3">
      <c r="B10">
        <v>89</v>
      </c>
      <c r="C10">
        <v>11</v>
      </c>
      <c r="D10">
        <v>10</v>
      </c>
      <c r="E10">
        <v>90</v>
      </c>
      <c r="G10">
        <v>91</v>
      </c>
      <c r="H10">
        <v>9</v>
      </c>
      <c r="I10">
        <v>22</v>
      </c>
      <c r="J10">
        <v>78</v>
      </c>
      <c r="L10">
        <v>75</v>
      </c>
      <c r="M10">
        <v>25</v>
      </c>
      <c r="N10">
        <v>28</v>
      </c>
      <c r="O10">
        <v>72</v>
      </c>
      <c r="Q10">
        <f t="shared" si="0"/>
        <v>10.5</v>
      </c>
      <c r="R10">
        <f t="shared" si="1"/>
        <v>15.5</v>
      </c>
      <c r="S10">
        <f t="shared" si="2"/>
        <v>26.5</v>
      </c>
      <c r="T10">
        <f t="shared" si="3"/>
        <v>17.5</v>
      </c>
      <c r="AC10">
        <f t="shared" si="4"/>
        <v>10.5</v>
      </c>
      <c r="AD10">
        <f t="shared" si="5"/>
        <v>7</v>
      </c>
    </row>
    <row r="11" spans="1:32" x14ac:dyDescent="0.3">
      <c r="B11">
        <v>95</v>
      </c>
      <c r="C11">
        <v>5</v>
      </c>
      <c r="D11">
        <v>8</v>
      </c>
      <c r="E11">
        <v>92</v>
      </c>
      <c r="G11">
        <v>99</v>
      </c>
      <c r="H11">
        <v>1</v>
      </c>
      <c r="I11">
        <v>25</v>
      </c>
      <c r="J11">
        <v>75</v>
      </c>
      <c r="L11">
        <v>75</v>
      </c>
      <c r="M11">
        <v>25</v>
      </c>
      <c r="N11">
        <v>40</v>
      </c>
      <c r="O11">
        <v>60</v>
      </c>
      <c r="Q11">
        <f t="shared" si="0"/>
        <v>6.5</v>
      </c>
      <c r="R11">
        <f t="shared" si="1"/>
        <v>13</v>
      </c>
      <c r="S11">
        <f t="shared" si="2"/>
        <v>32.5</v>
      </c>
      <c r="T11">
        <f t="shared" si="3"/>
        <v>17.333333333333332</v>
      </c>
      <c r="AC11">
        <f t="shared" si="4"/>
        <v>6.5</v>
      </c>
      <c r="AD11">
        <f t="shared" si="5"/>
        <v>10.833333333333332</v>
      </c>
    </row>
    <row r="12" spans="1:32" x14ac:dyDescent="0.3">
      <c r="B12">
        <v>90</v>
      </c>
      <c r="C12">
        <v>10</v>
      </c>
      <c r="D12">
        <v>16</v>
      </c>
      <c r="E12">
        <v>84</v>
      </c>
      <c r="G12">
        <v>95</v>
      </c>
      <c r="H12">
        <v>5</v>
      </c>
      <c r="I12">
        <v>33</v>
      </c>
      <c r="J12">
        <v>67</v>
      </c>
      <c r="L12">
        <v>85</v>
      </c>
      <c r="M12">
        <v>15</v>
      </c>
      <c r="N12">
        <v>43</v>
      </c>
      <c r="O12">
        <v>57</v>
      </c>
      <c r="Q12">
        <f t="shared" si="0"/>
        <v>13</v>
      </c>
      <c r="R12">
        <f t="shared" si="1"/>
        <v>19</v>
      </c>
      <c r="S12">
        <f t="shared" si="2"/>
        <v>29</v>
      </c>
      <c r="T12">
        <f t="shared" si="3"/>
        <v>20.333333333333332</v>
      </c>
      <c r="AC12">
        <f t="shared" si="4"/>
        <v>13</v>
      </c>
      <c r="AD12">
        <f t="shared" si="5"/>
        <v>7.3333333333333321</v>
      </c>
    </row>
    <row r="13" spans="1:32" x14ac:dyDescent="0.3">
      <c r="B13">
        <v>95</v>
      </c>
      <c r="C13">
        <v>5</v>
      </c>
      <c r="D13">
        <v>15</v>
      </c>
      <c r="E13">
        <v>85</v>
      </c>
      <c r="G13">
        <v>93</v>
      </c>
      <c r="H13">
        <v>7</v>
      </c>
      <c r="I13">
        <v>24</v>
      </c>
      <c r="J13">
        <v>76</v>
      </c>
      <c r="L13">
        <v>86</v>
      </c>
      <c r="M13">
        <v>14</v>
      </c>
      <c r="N13">
        <v>31</v>
      </c>
      <c r="O13">
        <v>69</v>
      </c>
      <c r="Q13">
        <f t="shared" si="0"/>
        <v>10</v>
      </c>
      <c r="R13">
        <f t="shared" si="1"/>
        <v>15.5</v>
      </c>
      <c r="S13">
        <f t="shared" si="2"/>
        <v>22.5</v>
      </c>
      <c r="T13">
        <f t="shared" si="3"/>
        <v>16</v>
      </c>
      <c r="AC13">
        <f t="shared" si="4"/>
        <v>10</v>
      </c>
      <c r="AD13">
        <f t="shared" si="5"/>
        <v>6</v>
      </c>
    </row>
    <row r="19" spans="1:32" x14ac:dyDescent="0.3">
      <c r="A19" t="s">
        <v>37</v>
      </c>
    </row>
    <row r="20" spans="1:32" x14ac:dyDescent="0.3">
      <c r="B20">
        <v>94</v>
      </c>
      <c r="C20">
        <v>6</v>
      </c>
      <c r="D20">
        <v>17</v>
      </c>
      <c r="E20">
        <v>83</v>
      </c>
      <c r="G20">
        <v>97</v>
      </c>
      <c r="H20">
        <v>3</v>
      </c>
      <c r="I20">
        <v>36</v>
      </c>
      <c r="J20">
        <v>64</v>
      </c>
      <c r="L20">
        <v>93</v>
      </c>
      <c r="M20">
        <v>7</v>
      </c>
      <c r="N20">
        <v>51</v>
      </c>
      <c r="O20">
        <v>49</v>
      </c>
      <c r="Q20">
        <f t="shared" ref="Q20:Q21" si="6">AVERAGE(C20:D20)</f>
        <v>11.5</v>
      </c>
      <c r="R20">
        <f t="shared" ref="R20:R21" si="7">AVERAGE(H20:I20)</f>
        <v>19.5</v>
      </c>
      <c r="S20">
        <f t="shared" ref="S20:S21" si="8">AVERAGE(M20:N20)</f>
        <v>29</v>
      </c>
      <c r="T20">
        <f t="shared" ref="T20:T21" si="9">AVERAGE(Q20:S20)</f>
        <v>20</v>
      </c>
      <c r="U20">
        <f>AVERAGE(Q20:Q29)</f>
        <v>13</v>
      </c>
      <c r="V20">
        <f>_xlfn.STDEV.S(Q20:Q29)</f>
        <v>2.1213203435596424</v>
      </c>
      <c r="W20">
        <f>AVERAGE(R20:R29)</f>
        <v>20</v>
      </c>
      <c r="X20">
        <f>_xlfn.STDEV.S(R20:R29)</f>
        <v>0.70710678118654757</v>
      </c>
      <c r="Y20">
        <f>AVERAGE(S20:S29)</f>
        <v>26.25</v>
      </c>
      <c r="Z20">
        <f>_xlfn.STDEV.S(S20:S29)</f>
        <v>3.8890872965260113</v>
      </c>
      <c r="AA20">
        <f>AVERAGE(T20:T29)</f>
        <v>19.75</v>
      </c>
      <c r="AB20">
        <f>_xlfn.STDEV.S(T20:T29)</f>
        <v>0.35355339059327379</v>
      </c>
      <c r="AC20">
        <f t="shared" ref="AC20:AC21" si="10">MIN(Q20:S20)</f>
        <v>11.5</v>
      </c>
      <c r="AD20">
        <f t="shared" ref="AD20:AD21" si="11">T20-AC20</f>
        <v>8.5</v>
      </c>
      <c r="AE20">
        <f>AVERAGE(AD20:AD29)</f>
        <v>6.75</v>
      </c>
      <c r="AF20">
        <f>_xlfn.STDEV.S(AD20:AD29)</f>
        <v>2.4748737341529163</v>
      </c>
    </row>
    <row r="21" spans="1:32" x14ac:dyDescent="0.3">
      <c r="B21">
        <v>87</v>
      </c>
      <c r="C21">
        <v>13</v>
      </c>
      <c r="D21">
        <v>16</v>
      </c>
      <c r="E21">
        <v>84</v>
      </c>
      <c r="G21">
        <v>92</v>
      </c>
      <c r="H21">
        <v>8</v>
      </c>
      <c r="I21">
        <v>33</v>
      </c>
      <c r="J21">
        <v>67</v>
      </c>
      <c r="L21">
        <v>85</v>
      </c>
      <c r="M21">
        <v>15</v>
      </c>
      <c r="N21">
        <v>32</v>
      </c>
      <c r="O21">
        <v>68</v>
      </c>
      <c r="Q21">
        <f t="shared" si="6"/>
        <v>14.5</v>
      </c>
      <c r="R21">
        <f t="shared" si="7"/>
        <v>20.5</v>
      </c>
      <c r="S21">
        <f t="shared" si="8"/>
        <v>23.5</v>
      </c>
      <c r="T21">
        <f t="shared" si="9"/>
        <v>19.5</v>
      </c>
      <c r="AC21">
        <f t="shared" si="10"/>
        <v>14.5</v>
      </c>
      <c r="AD21">
        <f t="shared" si="11"/>
        <v>5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3B137-6F6F-47C7-80DB-2FF2B4BCD957}">
  <dimension ref="A2:AF5"/>
  <sheetViews>
    <sheetView workbookViewId="0">
      <selection activeCell="B4" sqref="B4:O5"/>
    </sheetView>
  </sheetViews>
  <sheetFormatPr defaultRowHeight="14.4" x14ac:dyDescent="0.3"/>
  <sheetData>
    <row r="2" spans="1:32" x14ac:dyDescent="0.3">
      <c r="Q2" t="s">
        <v>9</v>
      </c>
      <c r="R2" t="s">
        <v>10</v>
      </c>
      <c r="S2" t="s">
        <v>11</v>
      </c>
      <c r="T2" t="s">
        <v>13</v>
      </c>
      <c r="U2" t="s">
        <v>29</v>
      </c>
      <c r="V2" t="s">
        <v>24</v>
      </c>
      <c r="W2" t="s">
        <v>30</v>
      </c>
      <c r="X2" t="s">
        <v>25</v>
      </c>
      <c r="Y2" t="s">
        <v>31</v>
      </c>
      <c r="Z2" t="s">
        <v>26</v>
      </c>
      <c r="AA2" t="s">
        <v>0</v>
      </c>
      <c r="AB2" t="s">
        <v>14</v>
      </c>
      <c r="AC2" t="s">
        <v>15</v>
      </c>
      <c r="AD2" t="s">
        <v>12</v>
      </c>
      <c r="AE2" t="s">
        <v>16</v>
      </c>
      <c r="AF2" t="s">
        <v>17</v>
      </c>
    </row>
    <row r="3" spans="1:32" x14ac:dyDescent="0.3">
      <c r="A3" t="s">
        <v>19</v>
      </c>
      <c r="F3" t="s">
        <v>33</v>
      </c>
      <c r="K3" t="s">
        <v>20</v>
      </c>
    </row>
    <row r="4" spans="1:32" x14ac:dyDescent="0.3">
      <c r="Q4" t="e">
        <f>AVERAGE(D4,C4)</f>
        <v>#DIV/0!</v>
      </c>
      <c r="R4" t="e">
        <f>AVERAGE(H4,I4)</f>
        <v>#DIV/0!</v>
      </c>
      <c r="S4" t="e">
        <f>AVERAGE(M4,N4)</f>
        <v>#DIV/0!</v>
      </c>
      <c r="T4" t="e">
        <f>AVERAGE(Q4:S4)</f>
        <v>#DIV/0!</v>
      </c>
      <c r="U4" t="e">
        <f>AVERAGE(Q4,Q5)</f>
        <v>#DIV/0!</v>
      </c>
      <c r="V4" t="e">
        <f>_xlfn.STDEV.S(Q4,Q5)</f>
        <v>#DIV/0!</v>
      </c>
      <c r="W4" t="e">
        <f>AVERAGE(R4,R5)</f>
        <v>#DIV/0!</v>
      </c>
      <c r="X4" t="e">
        <f>_xlfn.STDEV.S(R4,R5)</f>
        <v>#DIV/0!</v>
      </c>
      <c r="Y4" t="e">
        <f>AVERAGE(S4,S5)</f>
        <v>#DIV/0!</v>
      </c>
      <c r="Z4" t="e">
        <f>_xlfn.STDEV.S(S4,S5)</f>
        <v>#DIV/0!</v>
      </c>
      <c r="AA4" t="e">
        <f>AVERAGE(T4,T5)</f>
        <v>#DIV/0!</v>
      </c>
      <c r="AB4" t="e">
        <f>_xlfn.STDEV.S(T4,T5)</f>
        <v>#DIV/0!</v>
      </c>
      <c r="AC4" t="e">
        <f>MIN(Q4:S4)</f>
        <v>#DIV/0!</v>
      </c>
      <c r="AD4" t="e">
        <f>(1/3)*(T4-AC4)</f>
        <v>#DIV/0!</v>
      </c>
      <c r="AE4" t="e">
        <f>AVERAGE(AD4,AD5)</f>
        <v>#DIV/0!</v>
      </c>
      <c r="AF4" t="e">
        <f>_xlfn.STDEV.S(AD5,AD4)</f>
        <v>#DIV/0!</v>
      </c>
    </row>
    <row r="5" spans="1:32" x14ac:dyDescent="0.3">
      <c r="Q5" t="e">
        <f t="shared" ref="Q5" si="0">AVERAGE(D5,C5)</f>
        <v>#DIV/0!</v>
      </c>
      <c r="R5" t="e">
        <f t="shared" ref="R5" si="1">AVERAGE(H5,I5)</f>
        <v>#DIV/0!</v>
      </c>
      <c r="S5" t="e">
        <f t="shared" ref="S5" si="2">AVERAGE(M5,N5)</f>
        <v>#DIV/0!</v>
      </c>
      <c r="T5" t="e">
        <f t="shared" ref="T5" si="3">AVERAGE(Q5:S5)</f>
        <v>#DIV/0!</v>
      </c>
      <c r="AC5" t="e">
        <f t="shared" ref="AC5" si="4">MIN(Q5:S5)</f>
        <v>#DIV/0!</v>
      </c>
      <c r="AD5" t="e">
        <f t="shared" ref="AD5" si="5">(1/3)*(T5-AC5)</f>
        <v>#DIV/0!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6D673-4552-407C-AD95-3B60150A1024}">
  <dimension ref="A2:AF14"/>
  <sheetViews>
    <sheetView topLeftCell="L1" workbookViewId="0">
      <selection activeCell="W12" sqref="W12:AF12"/>
    </sheetView>
  </sheetViews>
  <sheetFormatPr defaultRowHeight="14.4" x14ac:dyDescent="0.3"/>
  <sheetData>
    <row r="2" spans="1:32" x14ac:dyDescent="0.3">
      <c r="A2" t="s">
        <v>28</v>
      </c>
      <c r="Q2" t="s">
        <v>21</v>
      </c>
      <c r="R2" t="s">
        <v>22</v>
      </c>
      <c r="S2" t="s">
        <v>23</v>
      </c>
      <c r="T2" t="s">
        <v>13</v>
      </c>
      <c r="U2" t="s">
        <v>15</v>
      </c>
      <c r="V2" t="s">
        <v>12</v>
      </c>
      <c r="W2" t="s">
        <v>3</v>
      </c>
      <c r="X2" t="s">
        <v>24</v>
      </c>
      <c r="Y2" t="s">
        <v>5</v>
      </c>
      <c r="Z2" t="s">
        <v>25</v>
      </c>
      <c r="AA2" t="s">
        <v>7</v>
      </c>
      <c r="AB2" t="s">
        <v>26</v>
      </c>
      <c r="AC2" t="s">
        <v>0</v>
      </c>
      <c r="AD2" t="s">
        <v>14</v>
      </c>
      <c r="AE2" t="s">
        <v>16</v>
      </c>
      <c r="AF2" t="s">
        <v>17</v>
      </c>
    </row>
    <row r="3" spans="1:32" x14ac:dyDescent="0.3">
      <c r="A3" t="s">
        <v>19</v>
      </c>
      <c r="F3" t="s">
        <v>33</v>
      </c>
      <c r="K3" t="s">
        <v>20</v>
      </c>
    </row>
    <row r="4" spans="1:32" x14ac:dyDescent="0.3">
      <c r="B4">
        <v>90</v>
      </c>
      <c r="C4">
        <v>10</v>
      </c>
      <c r="D4">
        <v>9</v>
      </c>
      <c r="E4">
        <v>91</v>
      </c>
      <c r="G4">
        <v>95</v>
      </c>
      <c r="H4">
        <v>5</v>
      </c>
      <c r="I4">
        <v>30</v>
      </c>
      <c r="J4">
        <v>70</v>
      </c>
      <c r="L4">
        <v>86</v>
      </c>
      <c r="M4">
        <v>14</v>
      </c>
      <c r="N4">
        <v>24</v>
      </c>
      <c r="O4">
        <v>76</v>
      </c>
      <c r="Q4">
        <f>AVERAGE(C4:D4)</f>
        <v>9.5</v>
      </c>
      <c r="R4">
        <f>AVERAGE(H4:I4)</f>
        <v>17.5</v>
      </c>
      <c r="S4">
        <f>AVERAGE(M4:N4)</f>
        <v>19</v>
      </c>
      <c r="T4">
        <f>AVERAGE(Q4:S4)</f>
        <v>15.333333333333334</v>
      </c>
      <c r="U4">
        <f>MIN(Q4:S4)</f>
        <v>9.5</v>
      </c>
      <c r="V4">
        <f>T4-U4</f>
        <v>5.8333333333333339</v>
      </c>
      <c r="W4">
        <f>AVERAGE(Q4:Q10)</f>
        <v>10.5</v>
      </c>
      <c r="X4">
        <f>_xlfn.STDEV.S(Q4:Q10)</f>
        <v>2.2638462845343543</v>
      </c>
      <c r="Y4">
        <f>AVERAGE(R4:R10)</f>
        <v>15.5</v>
      </c>
      <c r="Z4">
        <f>_xlfn.STDEV.S(R4:R10)</f>
        <v>3.0207614933986431</v>
      </c>
      <c r="AA4">
        <f>AVERAGE(S4:S10)</f>
        <v>17.899999999999999</v>
      </c>
      <c r="AB4">
        <f>_xlfn.STDEV.S(S4:S10)</f>
        <v>2.8591956910991616</v>
      </c>
      <c r="AC4">
        <f>AVERAGE(T4:T10)</f>
        <v>14.633333333333331</v>
      </c>
      <c r="AD4">
        <f>_xlfn.STDEV.S(T4:T10)</f>
        <v>1.3091557924436987</v>
      </c>
      <c r="AE4">
        <f>AVERAGE(V4:V10)</f>
        <v>4.1333333333333329</v>
      </c>
      <c r="AF4">
        <f>_xlfn.STDEV.S(V4:V10)</f>
        <v>2.3816427570528349</v>
      </c>
    </row>
    <row r="5" spans="1:32" x14ac:dyDescent="0.3">
      <c r="B5">
        <v>87</v>
      </c>
      <c r="C5">
        <v>13</v>
      </c>
      <c r="D5">
        <v>12</v>
      </c>
      <c r="E5">
        <v>88</v>
      </c>
      <c r="G5">
        <v>91</v>
      </c>
      <c r="H5">
        <v>9</v>
      </c>
      <c r="I5">
        <v>16</v>
      </c>
      <c r="J5">
        <v>84</v>
      </c>
      <c r="L5">
        <v>86</v>
      </c>
      <c r="M5">
        <v>14</v>
      </c>
      <c r="N5">
        <v>15</v>
      </c>
      <c r="O5">
        <v>85</v>
      </c>
      <c r="Q5">
        <f t="shared" ref="Q5:Q8" si="0">AVERAGE(C5:D5)</f>
        <v>12.5</v>
      </c>
      <c r="R5">
        <f t="shared" ref="R5:R8" si="1">AVERAGE(H5:I5)</f>
        <v>12.5</v>
      </c>
      <c r="S5">
        <f t="shared" ref="S5:S8" si="2">AVERAGE(M5:N5)</f>
        <v>14.5</v>
      </c>
      <c r="T5">
        <f t="shared" ref="T5:T8" si="3">AVERAGE(Q5:S5)</f>
        <v>13.166666666666666</v>
      </c>
      <c r="U5">
        <f t="shared" ref="U5:U8" si="4">MIN(Q5:S5)</f>
        <v>12.5</v>
      </c>
      <c r="V5">
        <f t="shared" ref="V5:V8" si="5">T5-U5</f>
        <v>0.66666666666666607</v>
      </c>
    </row>
    <row r="6" spans="1:32" x14ac:dyDescent="0.3">
      <c r="B6">
        <v>88</v>
      </c>
      <c r="C6">
        <v>12</v>
      </c>
      <c r="D6">
        <v>11</v>
      </c>
      <c r="E6">
        <v>89</v>
      </c>
      <c r="G6">
        <v>93</v>
      </c>
      <c r="H6">
        <v>7</v>
      </c>
      <c r="I6">
        <v>30</v>
      </c>
      <c r="J6">
        <v>70</v>
      </c>
      <c r="L6">
        <v>78</v>
      </c>
      <c r="M6">
        <v>22</v>
      </c>
      <c r="N6">
        <v>16</v>
      </c>
      <c r="O6">
        <v>84</v>
      </c>
      <c r="Q6">
        <f t="shared" si="0"/>
        <v>11.5</v>
      </c>
      <c r="R6">
        <f t="shared" si="1"/>
        <v>18.5</v>
      </c>
      <c r="S6">
        <f t="shared" si="2"/>
        <v>19</v>
      </c>
      <c r="T6">
        <f t="shared" si="3"/>
        <v>16.333333333333332</v>
      </c>
      <c r="U6">
        <f t="shared" si="4"/>
        <v>11.5</v>
      </c>
      <c r="V6">
        <f t="shared" si="5"/>
        <v>4.8333333333333321</v>
      </c>
    </row>
    <row r="7" spans="1:32" x14ac:dyDescent="0.3">
      <c r="B7">
        <v>91</v>
      </c>
      <c r="C7">
        <v>9</v>
      </c>
      <c r="D7">
        <v>15</v>
      </c>
      <c r="E7">
        <v>85</v>
      </c>
      <c r="G7">
        <v>96</v>
      </c>
      <c r="H7">
        <v>4</v>
      </c>
      <c r="I7">
        <v>30</v>
      </c>
      <c r="J7">
        <v>70</v>
      </c>
      <c r="L7">
        <v>85</v>
      </c>
      <c r="M7">
        <v>15</v>
      </c>
      <c r="N7">
        <v>16</v>
      </c>
      <c r="O7">
        <v>84</v>
      </c>
      <c r="Q7">
        <f t="shared" si="0"/>
        <v>12</v>
      </c>
      <c r="R7">
        <f t="shared" si="1"/>
        <v>17</v>
      </c>
      <c r="S7">
        <f t="shared" si="2"/>
        <v>15.5</v>
      </c>
      <c r="T7">
        <f t="shared" si="3"/>
        <v>14.833333333333334</v>
      </c>
      <c r="U7">
        <f t="shared" si="4"/>
        <v>12</v>
      </c>
      <c r="V7">
        <f t="shared" si="5"/>
        <v>2.8333333333333339</v>
      </c>
    </row>
    <row r="8" spans="1:32" x14ac:dyDescent="0.3">
      <c r="B8">
        <v>91</v>
      </c>
      <c r="C8">
        <v>9</v>
      </c>
      <c r="D8">
        <v>5</v>
      </c>
      <c r="E8">
        <v>95</v>
      </c>
      <c r="G8">
        <v>95</v>
      </c>
      <c r="H8">
        <v>5</v>
      </c>
      <c r="I8">
        <v>19</v>
      </c>
      <c r="J8">
        <v>81</v>
      </c>
      <c r="L8">
        <v>84</v>
      </c>
      <c r="M8">
        <v>16</v>
      </c>
      <c r="N8">
        <v>27</v>
      </c>
      <c r="O8">
        <v>73</v>
      </c>
      <c r="Q8">
        <f t="shared" si="0"/>
        <v>7</v>
      </c>
      <c r="R8">
        <f t="shared" si="1"/>
        <v>12</v>
      </c>
      <c r="S8">
        <f t="shared" si="2"/>
        <v>21.5</v>
      </c>
      <c r="T8">
        <f t="shared" si="3"/>
        <v>13.5</v>
      </c>
      <c r="U8">
        <f t="shared" si="4"/>
        <v>7</v>
      </c>
      <c r="V8">
        <f t="shared" si="5"/>
        <v>6.5</v>
      </c>
    </row>
    <row r="11" spans="1:32" x14ac:dyDescent="0.3">
      <c r="A11" t="s">
        <v>37</v>
      </c>
    </row>
    <row r="12" spans="1:32" x14ac:dyDescent="0.3">
      <c r="B12">
        <v>93</v>
      </c>
      <c r="C12">
        <v>7</v>
      </c>
      <c r="D12">
        <v>9</v>
      </c>
      <c r="E12">
        <v>91</v>
      </c>
      <c r="G12">
        <v>98</v>
      </c>
      <c r="H12">
        <v>2</v>
      </c>
      <c r="I12">
        <v>25</v>
      </c>
      <c r="J12">
        <v>75</v>
      </c>
      <c r="L12">
        <v>80</v>
      </c>
      <c r="M12">
        <v>20</v>
      </c>
      <c r="N12">
        <v>26</v>
      </c>
      <c r="O12">
        <v>74</v>
      </c>
      <c r="Q12">
        <f t="shared" ref="Q12" si="6">AVERAGE(C12:D12)</f>
        <v>8</v>
      </c>
      <c r="R12">
        <f t="shared" ref="R12" si="7">AVERAGE(H12:I12)</f>
        <v>13.5</v>
      </c>
      <c r="S12">
        <f t="shared" ref="S12" si="8">AVERAGE(M12:N12)</f>
        <v>23</v>
      </c>
      <c r="T12">
        <f t="shared" ref="T12" si="9">AVERAGE(Q12:S12)</f>
        <v>14.833333333333334</v>
      </c>
      <c r="U12">
        <f t="shared" ref="U12" si="10">MIN(Q12:S12)</f>
        <v>8</v>
      </c>
      <c r="V12">
        <f t="shared" ref="V12" si="11">T12-U12</f>
        <v>6.8333333333333339</v>
      </c>
      <c r="W12">
        <f>AVERAGE(Q12:Q18)</f>
        <v>10.5</v>
      </c>
      <c r="X12">
        <f>_xlfn.STDEV.S(Q12:Q18)</f>
        <v>2.7838821814150108</v>
      </c>
      <c r="Y12">
        <f>AVERAGE(R12:R18)</f>
        <v>15.166666666666666</v>
      </c>
      <c r="Z12">
        <f>_xlfn.STDEV.S(R12:R18)</f>
        <v>4.2524502740576891</v>
      </c>
      <c r="AA12">
        <f>AVERAGE(S12:S18)</f>
        <v>21.666666666666668</v>
      </c>
      <c r="AB12">
        <f>_xlfn.STDEV.S(S12:S18)</f>
        <v>1.2583057392117916</v>
      </c>
      <c r="AC12">
        <f>AVERAGE(T12:T18)</f>
        <v>15.777777777777777</v>
      </c>
      <c r="AD12">
        <f>_xlfn.STDEV.S(T12:T18)</f>
        <v>2.2381374531648746</v>
      </c>
      <c r="AE12">
        <f>AVERAGE(V12:V18)</f>
        <v>5.2777777777777777</v>
      </c>
      <c r="AF12">
        <f>_xlfn.STDEV.S(V12:V18)</f>
        <v>1.3877773329774237</v>
      </c>
    </row>
    <row r="13" spans="1:32" x14ac:dyDescent="0.3">
      <c r="B13">
        <v>89</v>
      </c>
      <c r="C13">
        <v>11</v>
      </c>
      <c r="D13">
        <v>16</v>
      </c>
      <c r="E13">
        <v>84</v>
      </c>
      <c r="G13">
        <v>98</v>
      </c>
      <c r="H13">
        <v>2</v>
      </c>
      <c r="I13">
        <v>38</v>
      </c>
      <c r="J13">
        <v>62</v>
      </c>
      <c r="L13">
        <v>81</v>
      </c>
      <c r="M13">
        <v>19</v>
      </c>
      <c r="N13">
        <v>24</v>
      </c>
      <c r="O13">
        <v>76</v>
      </c>
      <c r="Q13">
        <f>AVERAGE(C13:D13)</f>
        <v>13.5</v>
      </c>
      <c r="R13">
        <f>AVERAGE(H13:I13)</f>
        <v>20</v>
      </c>
      <c r="S13">
        <f>AVERAGE(M13:N13)</f>
        <v>21.5</v>
      </c>
      <c r="T13">
        <f>AVERAGE(Q13:S13)</f>
        <v>18.333333333333332</v>
      </c>
      <c r="U13">
        <f>MIN(Q13:S13)</f>
        <v>13.5</v>
      </c>
      <c r="V13">
        <f>T13-U13</f>
        <v>4.8333333333333321</v>
      </c>
    </row>
    <row r="14" spans="1:32" x14ac:dyDescent="0.3">
      <c r="B14">
        <v>93</v>
      </c>
      <c r="C14">
        <v>7</v>
      </c>
      <c r="D14">
        <v>13</v>
      </c>
      <c r="E14">
        <v>87</v>
      </c>
      <c r="G14">
        <v>97</v>
      </c>
      <c r="H14">
        <v>3</v>
      </c>
      <c r="I14">
        <v>21</v>
      </c>
      <c r="J14">
        <v>79</v>
      </c>
      <c r="L14">
        <v>75</v>
      </c>
      <c r="M14">
        <v>25</v>
      </c>
      <c r="N14">
        <v>16</v>
      </c>
      <c r="O14">
        <v>84</v>
      </c>
      <c r="Q14">
        <f>AVERAGE(C14:D14)</f>
        <v>10</v>
      </c>
      <c r="R14">
        <f>AVERAGE(H14:I14)</f>
        <v>12</v>
      </c>
      <c r="S14">
        <f>AVERAGE(M14:N14)</f>
        <v>20.5</v>
      </c>
      <c r="T14">
        <f>AVERAGE(Q14:S14)</f>
        <v>14.166666666666666</v>
      </c>
      <c r="U14">
        <f>MIN(Q14:S14)</f>
        <v>10</v>
      </c>
      <c r="V14">
        <f>T14-U14</f>
        <v>4.1666666666666661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9CF4A-6F3D-4BA0-B506-17E3C93FB04B}">
  <dimension ref="A2:AF14"/>
  <sheetViews>
    <sheetView topLeftCell="K1" workbookViewId="0">
      <selection activeCell="W12" sqref="W12:AF12"/>
    </sheetView>
  </sheetViews>
  <sheetFormatPr defaultRowHeight="14.4" x14ac:dyDescent="0.3"/>
  <sheetData>
    <row r="2" spans="1:32" x14ac:dyDescent="0.3">
      <c r="A2" t="s">
        <v>28</v>
      </c>
      <c r="Q2" t="s">
        <v>21</v>
      </c>
      <c r="R2" t="s">
        <v>22</v>
      </c>
      <c r="S2" t="s">
        <v>23</v>
      </c>
      <c r="T2" t="s">
        <v>13</v>
      </c>
      <c r="U2" t="s">
        <v>15</v>
      </c>
      <c r="V2" t="s">
        <v>12</v>
      </c>
      <c r="W2" t="s">
        <v>3</v>
      </c>
      <c r="X2" t="s">
        <v>24</v>
      </c>
      <c r="Y2" t="s">
        <v>5</v>
      </c>
      <c r="Z2" t="s">
        <v>25</v>
      </c>
      <c r="AA2" t="s">
        <v>7</v>
      </c>
      <c r="AB2" t="s">
        <v>26</v>
      </c>
      <c r="AC2" t="s">
        <v>0</v>
      </c>
      <c r="AD2" t="s">
        <v>14</v>
      </c>
      <c r="AE2" t="s">
        <v>16</v>
      </c>
      <c r="AF2" t="s">
        <v>17</v>
      </c>
    </row>
    <row r="3" spans="1:32" x14ac:dyDescent="0.3">
      <c r="A3" t="s">
        <v>19</v>
      </c>
      <c r="F3" t="s">
        <v>33</v>
      </c>
      <c r="K3" t="s">
        <v>20</v>
      </c>
    </row>
    <row r="4" spans="1:32" x14ac:dyDescent="0.3">
      <c r="B4">
        <v>88</v>
      </c>
      <c r="C4">
        <v>12</v>
      </c>
      <c r="D4">
        <v>10</v>
      </c>
      <c r="E4">
        <v>90</v>
      </c>
      <c r="G4">
        <v>90</v>
      </c>
      <c r="H4">
        <v>10</v>
      </c>
      <c r="I4">
        <v>26</v>
      </c>
      <c r="J4">
        <v>74</v>
      </c>
      <c r="L4">
        <v>83</v>
      </c>
      <c r="M4">
        <v>17</v>
      </c>
      <c r="N4">
        <v>25</v>
      </c>
      <c r="O4">
        <v>75</v>
      </c>
      <c r="Q4">
        <f>AVERAGE(C4:D4)</f>
        <v>11</v>
      </c>
      <c r="R4">
        <f>AVERAGE(H4:I4)</f>
        <v>18</v>
      </c>
      <c r="S4">
        <f>AVERAGE(M4:N4)</f>
        <v>21</v>
      </c>
      <c r="T4">
        <f>AVERAGE(Q4:S4)</f>
        <v>16.666666666666668</v>
      </c>
      <c r="U4">
        <f>MIN(Q4:S4)</f>
        <v>11</v>
      </c>
      <c r="V4">
        <f>T4-U4</f>
        <v>5.6666666666666679</v>
      </c>
      <c r="W4">
        <f>AVERAGE(Q4:Q10)</f>
        <v>14.333333333333334</v>
      </c>
      <c r="X4">
        <f>_xlfn.STDEV.S(Q4:Q10)</f>
        <v>2.1602468994692834</v>
      </c>
      <c r="Y4">
        <f>AVERAGE(R4:R10)</f>
        <v>16.166666666666668</v>
      </c>
      <c r="Z4">
        <f>_xlfn.STDEV.S(R4:R10)</f>
        <v>2.6956755492207609</v>
      </c>
      <c r="AA4">
        <f>AVERAGE(S4:S10)</f>
        <v>23.916666666666668</v>
      </c>
      <c r="AB4">
        <f>_xlfn.STDEV.S(S4:S10)</f>
        <v>4.4879468208376423</v>
      </c>
      <c r="AC4">
        <f>AVERAGE(T4:T10)</f>
        <v>18.138888888888889</v>
      </c>
      <c r="AD4">
        <f>_xlfn.STDEV.S(T4:T10)</f>
        <v>1.8481722703094376</v>
      </c>
      <c r="AE4">
        <f>AVERAGE(V4:V10)</f>
        <v>4.2222222222222223</v>
      </c>
      <c r="AF4">
        <f>_xlfn.STDEV.S(V4:V10)</f>
        <v>1.6113026706042233</v>
      </c>
    </row>
    <row r="5" spans="1:32" x14ac:dyDescent="0.3">
      <c r="B5">
        <v>88</v>
      </c>
      <c r="C5">
        <v>12</v>
      </c>
      <c r="D5">
        <v>14</v>
      </c>
      <c r="E5">
        <v>86</v>
      </c>
      <c r="G5">
        <v>94</v>
      </c>
      <c r="H5">
        <v>6</v>
      </c>
      <c r="I5">
        <v>24</v>
      </c>
      <c r="J5">
        <v>76</v>
      </c>
      <c r="L5">
        <v>72</v>
      </c>
      <c r="M5">
        <v>28</v>
      </c>
      <c r="N5">
        <v>31</v>
      </c>
      <c r="O5">
        <v>69</v>
      </c>
      <c r="Q5">
        <f t="shared" ref="Q5:Q9" si="0">AVERAGE(C5:D5)</f>
        <v>13</v>
      </c>
      <c r="R5">
        <f t="shared" ref="R5:R9" si="1">AVERAGE(H5:I5)</f>
        <v>15</v>
      </c>
      <c r="S5">
        <f t="shared" ref="S5:S9" si="2">AVERAGE(M5:N5)</f>
        <v>29.5</v>
      </c>
      <c r="T5">
        <f t="shared" ref="T5:T9" si="3">AVERAGE(Q5:S5)</f>
        <v>19.166666666666668</v>
      </c>
      <c r="U5">
        <f t="shared" ref="U5:U9" si="4">MIN(Q5:S5)</f>
        <v>13</v>
      </c>
      <c r="V5">
        <f t="shared" ref="V5:V9" si="5">T5-U5</f>
        <v>6.1666666666666679</v>
      </c>
    </row>
    <row r="6" spans="1:32" x14ac:dyDescent="0.3">
      <c r="B6">
        <v>85</v>
      </c>
      <c r="C6">
        <v>15</v>
      </c>
      <c r="D6">
        <v>19</v>
      </c>
      <c r="E6">
        <v>81</v>
      </c>
      <c r="G6">
        <v>91</v>
      </c>
      <c r="H6">
        <v>9</v>
      </c>
      <c r="I6">
        <v>27</v>
      </c>
      <c r="J6">
        <v>73</v>
      </c>
      <c r="L6">
        <v>68</v>
      </c>
      <c r="M6">
        <v>32</v>
      </c>
      <c r="N6">
        <v>18</v>
      </c>
      <c r="O6">
        <v>82</v>
      </c>
      <c r="Q6">
        <f t="shared" si="0"/>
        <v>17</v>
      </c>
      <c r="R6">
        <f t="shared" si="1"/>
        <v>18</v>
      </c>
      <c r="S6">
        <f t="shared" si="2"/>
        <v>25</v>
      </c>
      <c r="T6">
        <f t="shared" si="3"/>
        <v>20</v>
      </c>
      <c r="U6">
        <f t="shared" si="4"/>
        <v>17</v>
      </c>
      <c r="V6">
        <f t="shared" si="5"/>
        <v>3</v>
      </c>
    </row>
    <row r="7" spans="1:32" x14ac:dyDescent="0.3">
      <c r="B7">
        <v>84</v>
      </c>
      <c r="C7">
        <v>16</v>
      </c>
      <c r="D7">
        <v>14</v>
      </c>
      <c r="E7">
        <v>86</v>
      </c>
      <c r="G7">
        <v>94</v>
      </c>
      <c r="H7">
        <v>6</v>
      </c>
      <c r="I7">
        <v>20</v>
      </c>
      <c r="J7">
        <v>80</v>
      </c>
      <c r="L7">
        <v>75</v>
      </c>
      <c r="M7">
        <v>25</v>
      </c>
      <c r="N7">
        <v>10</v>
      </c>
      <c r="O7">
        <v>90</v>
      </c>
      <c r="Q7">
        <f t="shared" si="0"/>
        <v>15</v>
      </c>
      <c r="R7">
        <f t="shared" si="1"/>
        <v>13</v>
      </c>
      <c r="S7">
        <f t="shared" si="2"/>
        <v>17.5</v>
      </c>
      <c r="T7">
        <f t="shared" si="3"/>
        <v>15.166666666666666</v>
      </c>
      <c r="U7">
        <f t="shared" si="4"/>
        <v>13</v>
      </c>
      <c r="V7">
        <f t="shared" si="5"/>
        <v>2.1666666666666661</v>
      </c>
    </row>
    <row r="8" spans="1:32" x14ac:dyDescent="0.3">
      <c r="B8">
        <v>80</v>
      </c>
      <c r="C8">
        <v>20</v>
      </c>
      <c r="D8">
        <v>12</v>
      </c>
      <c r="E8">
        <v>88</v>
      </c>
      <c r="G8">
        <v>85</v>
      </c>
      <c r="H8">
        <v>15</v>
      </c>
      <c r="I8">
        <v>24</v>
      </c>
      <c r="J8">
        <v>76</v>
      </c>
      <c r="L8">
        <v>82</v>
      </c>
      <c r="M8">
        <v>18</v>
      </c>
      <c r="N8">
        <v>27</v>
      </c>
      <c r="O8">
        <v>73</v>
      </c>
      <c r="Q8">
        <f t="shared" si="0"/>
        <v>16</v>
      </c>
      <c r="R8">
        <f t="shared" si="1"/>
        <v>19.5</v>
      </c>
      <c r="S8">
        <f t="shared" si="2"/>
        <v>22.5</v>
      </c>
      <c r="T8">
        <f t="shared" si="3"/>
        <v>19.333333333333332</v>
      </c>
      <c r="U8">
        <f t="shared" si="4"/>
        <v>16</v>
      </c>
      <c r="V8">
        <f t="shared" si="5"/>
        <v>3.3333333333333321</v>
      </c>
    </row>
    <row r="9" spans="1:32" x14ac:dyDescent="0.3">
      <c r="B9">
        <v>84</v>
      </c>
      <c r="C9">
        <v>16</v>
      </c>
      <c r="D9">
        <v>12</v>
      </c>
      <c r="E9">
        <v>88</v>
      </c>
      <c r="G9">
        <v>95</v>
      </c>
      <c r="H9">
        <v>5</v>
      </c>
      <c r="I9">
        <v>22</v>
      </c>
      <c r="J9">
        <v>78</v>
      </c>
      <c r="L9">
        <v>77</v>
      </c>
      <c r="M9">
        <v>23</v>
      </c>
      <c r="N9">
        <v>33</v>
      </c>
      <c r="O9">
        <v>67</v>
      </c>
      <c r="Q9">
        <f t="shared" si="0"/>
        <v>14</v>
      </c>
      <c r="R9">
        <f t="shared" si="1"/>
        <v>13.5</v>
      </c>
      <c r="S9">
        <f t="shared" si="2"/>
        <v>28</v>
      </c>
      <c r="T9">
        <f t="shared" si="3"/>
        <v>18.5</v>
      </c>
      <c r="U9">
        <f t="shared" si="4"/>
        <v>13.5</v>
      </c>
      <c r="V9">
        <f t="shared" si="5"/>
        <v>5</v>
      </c>
    </row>
    <row r="11" spans="1:32" x14ac:dyDescent="0.3">
      <c r="A11" t="s">
        <v>37</v>
      </c>
    </row>
    <row r="12" spans="1:32" x14ac:dyDescent="0.3">
      <c r="B12">
        <v>90</v>
      </c>
      <c r="C12">
        <v>10</v>
      </c>
      <c r="D12">
        <v>8</v>
      </c>
      <c r="E12">
        <v>92</v>
      </c>
      <c r="G12">
        <v>95</v>
      </c>
      <c r="H12">
        <v>5</v>
      </c>
      <c r="I12">
        <v>22</v>
      </c>
      <c r="J12">
        <v>78</v>
      </c>
      <c r="L12">
        <v>79</v>
      </c>
      <c r="M12">
        <v>21</v>
      </c>
      <c r="N12">
        <v>27</v>
      </c>
      <c r="O12">
        <v>73</v>
      </c>
      <c r="Q12">
        <f t="shared" ref="Q12:Q14" si="6">AVERAGE(C12:D12)</f>
        <v>9</v>
      </c>
      <c r="R12">
        <f t="shared" ref="R12:R14" si="7">AVERAGE(H12:I12)</f>
        <v>13.5</v>
      </c>
      <c r="S12">
        <f t="shared" ref="S12:S14" si="8">AVERAGE(M12:N12)</f>
        <v>24</v>
      </c>
      <c r="T12">
        <f t="shared" ref="T12:T14" si="9">AVERAGE(Q12:S12)</f>
        <v>15.5</v>
      </c>
      <c r="U12">
        <f t="shared" ref="U12:U14" si="10">MIN(Q12:S12)</f>
        <v>9</v>
      </c>
      <c r="V12">
        <f t="shared" ref="V12:V14" si="11">T12-U12</f>
        <v>6.5</v>
      </c>
      <c r="W12">
        <f>AVERAGE(Q12:Q18)</f>
        <v>14.5</v>
      </c>
      <c r="X12">
        <f>_xlfn.STDEV.S(Q12:Q18)</f>
        <v>4.7696960070847281</v>
      </c>
      <c r="Y12">
        <f>AVERAGE(R12:R18)</f>
        <v>16.5</v>
      </c>
      <c r="Z12">
        <f>_xlfn.STDEV.S(R12:R18)</f>
        <v>5.196152422706632</v>
      </c>
      <c r="AA12">
        <f>AVERAGE(S12:S18)</f>
        <v>25.333333333333332</v>
      </c>
      <c r="AB12">
        <f>_xlfn.STDEV.S(S12:S18)</f>
        <v>1.5275252316519465</v>
      </c>
      <c r="AC12">
        <f>AVERAGE(T12:T18)</f>
        <v>18.777777777777775</v>
      </c>
      <c r="AD12">
        <f>_xlfn.STDEV.S(T12:T18)</f>
        <v>3.4251250315107677</v>
      </c>
      <c r="AE12">
        <f>AVERAGE(V12:V18)</f>
        <v>5.4444444444444438</v>
      </c>
      <c r="AF12">
        <f>_xlfn.STDEV.S(V12:V18)</f>
        <v>0.91792842454768508</v>
      </c>
    </row>
    <row r="13" spans="1:32" x14ac:dyDescent="0.3">
      <c r="B13">
        <v>84</v>
      </c>
      <c r="C13">
        <v>16</v>
      </c>
      <c r="D13">
        <v>18</v>
      </c>
      <c r="E13">
        <v>82</v>
      </c>
      <c r="G13">
        <v>94</v>
      </c>
      <c r="H13">
        <v>6</v>
      </c>
      <c r="I13">
        <v>21</v>
      </c>
      <c r="J13">
        <v>79</v>
      </c>
      <c r="L13">
        <v>83</v>
      </c>
      <c r="M13">
        <v>17</v>
      </c>
      <c r="N13">
        <v>33</v>
      </c>
      <c r="O13">
        <v>67</v>
      </c>
      <c r="Q13">
        <f t="shared" si="6"/>
        <v>17</v>
      </c>
      <c r="R13">
        <f t="shared" si="7"/>
        <v>13.5</v>
      </c>
      <c r="S13">
        <f t="shared" si="8"/>
        <v>25</v>
      </c>
      <c r="T13">
        <f t="shared" si="9"/>
        <v>18.5</v>
      </c>
      <c r="U13">
        <f t="shared" si="10"/>
        <v>13.5</v>
      </c>
      <c r="V13">
        <f t="shared" si="11"/>
        <v>5</v>
      </c>
    </row>
    <row r="14" spans="1:32" x14ac:dyDescent="0.3">
      <c r="B14">
        <v>84</v>
      </c>
      <c r="C14">
        <v>16</v>
      </c>
      <c r="D14">
        <v>19</v>
      </c>
      <c r="E14">
        <v>81</v>
      </c>
      <c r="G14">
        <v>86</v>
      </c>
      <c r="H14">
        <v>14</v>
      </c>
      <c r="I14">
        <v>31</v>
      </c>
      <c r="J14">
        <v>69</v>
      </c>
      <c r="L14">
        <v>77</v>
      </c>
      <c r="M14">
        <v>23</v>
      </c>
      <c r="N14">
        <v>31</v>
      </c>
      <c r="O14">
        <v>69</v>
      </c>
      <c r="Q14">
        <f t="shared" si="6"/>
        <v>17.5</v>
      </c>
      <c r="R14">
        <f t="shared" si="7"/>
        <v>22.5</v>
      </c>
      <c r="S14">
        <f t="shared" si="8"/>
        <v>27</v>
      </c>
      <c r="T14">
        <f t="shared" si="9"/>
        <v>22.333333333333332</v>
      </c>
      <c r="U14">
        <f t="shared" si="10"/>
        <v>17.5</v>
      </c>
      <c r="V14">
        <f t="shared" si="11"/>
        <v>4.8333333333333321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CA91D-5E11-4BE7-9F8B-616A902FA88F}">
  <dimension ref="A2:AF18"/>
  <sheetViews>
    <sheetView topLeftCell="K1" workbookViewId="0">
      <selection activeCell="W12" sqref="W12:AF12"/>
    </sheetView>
  </sheetViews>
  <sheetFormatPr defaultRowHeight="14.4" x14ac:dyDescent="0.3"/>
  <sheetData>
    <row r="2" spans="1:32" x14ac:dyDescent="0.3">
      <c r="A2" t="s">
        <v>28</v>
      </c>
      <c r="Q2" t="s">
        <v>21</v>
      </c>
      <c r="R2" t="s">
        <v>22</v>
      </c>
      <c r="S2" t="s">
        <v>23</v>
      </c>
      <c r="T2" t="s">
        <v>13</v>
      </c>
      <c r="U2" t="s">
        <v>15</v>
      </c>
      <c r="V2" t="s">
        <v>12</v>
      </c>
      <c r="W2" t="s">
        <v>3</v>
      </c>
      <c r="X2" t="s">
        <v>24</v>
      </c>
      <c r="Y2" t="s">
        <v>5</v>
      </c>
      <c r="Z2" t="s">
        <v>25</v>
      </c>
      <c r="AA2" t="s">
        <v>7</v>
      </c>
      <c r="AB2" t="s">
        <v>26</v>
      </c>
      <c r="AC2" t="s">
        <v>0</v>
      </c>
      <c r="AD2" t="s">
        <v>14</v>
      </c>
      <c r="AE2" t="s">
        <v>16</v>
      </c>
      <c r="AF2" t="s">
        <v>17</v>
      </c>
    </row>
    <row r="3" spans="1:32" x14ac:dyDescent="0.3">
      <c r="A3" t="s">
        <v>19</v>
      </c>
      <c r="F3" t="s">
        <v>33</v>
      </c>
      <c r="K3" t="s">
        <v>20</v>
      </c>
    </row>
    <row r="4" spans="1:32" x14ac:dyDescent="0.3">
      <c r="B4">
        <v>86</v>
      </c>
      <c r="C4">
        <v>14</v>
      </c>
      <c r="D4">
        <v>14</v>
      </c>
      <c r="E4">
        <v>86</v>
      </c>
      <c r="G4">
        <v>95</v>
      </c>
      <c r="H4">
        <v>5</v>
      </c>
      <c r="I4">
        <v>22</v>
      </c>
      <c r="J4">
        <v>78</v>
      </c>
      <c r="L4">
        <v>86</v>
      </c>
      <c r="M4">
        <v>14</v>
      </c>
      <c r="N4">
        <v>22</v>
      </c>
      <c r="O4">
        <v>78</v>
      </c>
      <c r="Q4">
        <f>AVERAGE(C4:D4)</f>
        <v>14</v>
      </c>
      <c r="R4">
        <f>AVERAGE(H4:I4)</f>
        <v>13.5</v>
      </c>
      <c r="S4">
        <f>AVERAGE(M4:N4)</f>
        <v>18</v>
      </c>
      <c r="T4">
        <f>AVERAGE(Q4:S4)</f>
        <v>15.166666666666666</v>
      </c>
      <c r="U4">
        <f>MIN(Q4:S4)</f>
        <v>13.5</v>
      </c>
      <c r="V4">
        <f>T4-U4</f>
        <v>1.6666666666666661</v>
      </c>
      <c r="W4">
        <f>AVERAGE(Q4:Q10)</f>
        <v>9.9166666666666661</v>
      </c>
      <c r="X4">
        <f>_xlfn.STDEV.S(Q4:Q10)</f>
        <v>2.3540744819709238</v>
      </c>
      <c r="Y4">
        <f>AVERAGE(R4:R10)</f>
        <v>14.083333333333334</v>
      </c>
      <c r="Z4">
        <f>_xlfn.STDEV.S(R4:R10)</f>
        <v>2.1075261959621407</v>
      </c>
      <c r="AA4">
        <f>AVERAGE(S4:S10)</f>
        <v>25.75</v>
      </c>
      <c r="AB4">
        <f>_xlfn.STDEV.S(S4:S10)</f>
        <v>4.5798471590217948</v>
      </c>
      <c r="AC4">
        <f>AVERAGE(T4:T10)</f>
        <v>16.583333333333332</v>
      </c>
      <c r="AD4">
        <f>_xlfn.STDEV.S(T4:T10)</f>
        <v>1.4013882006385272</v>
      </c>
      <c r="AE4">
        <f>AVERAGE(V4:V10)</f>
        <v>6.75</v>
      </c>
      <c r="AF4">
        <f>_xlfn.STDEV.S(V4:V10)</f>
        <v>2.7381055900425419</v>
      </c>
    </row>
    <row r="5" spans="1:32" x14ac:dyDescent="0.3">
      <c r="B5">
        <v>94</v>
      </c>
      <c r="C5">
        <v>6</v>
      </c>
      <c r="D5">
        <v>8</v>
      </c>
      <c r="E5">
        <v>92</v>
      </c>
      <c r="G5">
        <v>97</v>
      </c>
      <c r="H5">
        <v>3</v>
      </c>
      <c r="I5">
        <v>20</v>
      </c>
      <c r="J5">
        <v>80</v>
      </c>
      <c r="L5">
        <v>84</v>
      </c>
      <c r="M5">
        <v>16</v>
      </c>
      <c r="N5">
        <v>46</v>
      </c>
      <c r="O5">
        <v>54</v>
      </c>
      <c r="Q5">
        <f t="shared" ref="Q5:Q9" si="0">AVERAGE(C5:D5)</f>
        <v>7</v>
      </c>
      <c r="R5">
        <f t="shared" ref="R5:R9" si="1">AVERAGE(H5:I5)</f>
        <v>11.5</v>
      </c>
      <c r="S5">
        <f t="shared" ref="S5:S9" si="2">AVERAGE(M5:N5)</f>
        <v>31</v>
      </c>
      <c r="T5">
        <f t="shared" ref="T5:T9" si="3">AVERAGE(Q5:S5)</f>
        <v>16.5</v>
      </c>
      <c r="U5">
        <f t="shared" ref="U5:U9" si="4">MIN(Q5:S5)</f>
        <v>7</v>
      </c>
      <c r="V5">
        <f t="shared" ref="V5:V9" si="5">T5-U5</f>
        <v>9.5</v>
      </c>
    </row>
    <row r="6" spans="1:32" x14ac:dyDescent="0.3">
      <c r="B6">
        <v>90</v>
      </c>
      <c r="C6">
        <v>10</v>
      </c>
      <c r="D6">
        <v>11</v>
      </c>
      <c r="E6">
        <v>89</v>
      </c>
      <c r="G6">
        <v>96</v>
      </c>
      <c r="H6">
        <v>4</v>
      </c>
      <c r="I6">
        <v>26</v>
      </c>
      <c r="J6">
        <v>74</v>
      </c>
      <c r="L6">
        <v>79</v>
      </c>
      <c r="M6">
        <v>21</v>
      </c>
      <c r="N6">
        <v>35</v>
      </c>
      <c r="O6">
        <v>65</v>
      </c>
      <c r="Q6">
        <f t="shared" si="0"/>
        <v>10.5</v>
      </c>
      <c r="R6">
        <f t="shared" si="1"/>
        <v>15</v>
      </c>
      <c r="S6">
        <f t="shared" si="2"/>
        <v>28</v>
      </c>
      <c r="T6">
        <f t="shared" si="3"/>
        <v>17.833333333333332</v>
      </c>
      <c r="U6">
        <f t="shared" si="4"/>
        <v>10.5</v>
      </c>
      <c r="V6">
        <f t="shared" si="5"/>
        <v>7.3333333333333321</v>
      </c>
    </row>
    <row r="7" spans="1:32" x14ac:dyDescent="0.3">
      <c r="B7">
        <v>87</v>
      </c>
      <c r="C7">
        <v>13</v>
      </c>
      <c r="D7">
        <v>4</v>
      </c>
      <c r="E7">
        <v>96</v>
      </c>
      <c r="G7">
        <v>92</v>
      </c>
      <c r="H7">
        <v>8</v>
      </c>
      <c r="I7">
        <v>17</v>
      </c>
      <c r="J7">
        <v>83</v>
      </c>
      <c r="L7">
        <v>87</v>
      </c>
      <c r="M7">
        <v>13</v>
      </c>
      <c r="N7">
        <v>33</v>
      </c>
      <c r="O7">
        <v>67</v>
      </c>
      <c r="Q7">
        <f t="shared" si="0"/>
        <v>8.5</v>
      </c>
      <c r="R7">
        <f t="shared" si="1"/>
        <v>12.5</v>
      </c>
      <c r="S7">
        <f t="shared" si="2"/>
        <v>23</v>
      </c>
      <c r="T7">
        <f t="shared" si="3"/>
        <v>14.666666666666666</v>
      </c>
      <c r="U7">
        <f t="shared" si="4"/>
        <v>8.5</v>
      </c>
      <c r="V7">
        <f t="shared" si="5"/>
        <v>6.1666666666666661</v>
      </c>
    </row>
    <row r="8" spans="1:32" x14ac:dyDescent="0.3">
      <c r="B8">
        <v>89</v>
      </c>
      <c r="C8">
        <v>11</v>
      </c>
      <c r="D8">
        <v>9</v>
      </c>
      <c r="E8">
        <v>91</v>
      </c>
      <c r="G8">
        <v>96</v>
      </c>
      <c r="H8">
        <v>4</v>
      </c>
      <c r="I8">
        <v>25</v>
      </c>
      <c r="J8">
        <v>75</v>
      </c>
      <c r="L8">
        <v>80</v>
      </c>
      <c r="M8">
        <v>20</v>
      </c>
      <c r="N8">
        <v>35</v>
      </c>
      <c r="O8">
        <v>65</v>
      </c>
      <c r="Q8">
        <f t="shared" si="0"/>
        <v>10</v>
      </c>
      <c r="R8">
        <f t="shared" si="1"/>
        <v>14.5</v>
      </c>
      <c r="S8">
        <f t="shared" si="2"/>
        <v>27.5</v>
      </c>
      <c r="T8">
        <f t="shared" si="3"/>
        <v>17.333333333333332</v>
      </c>
      <c r="U8">
        <f t="shared" si="4"/>
        <v>10</v>
      </c>
      <c r="V8">
        <f t="shared" si="5"/>
        <v>7.3333333333333321</v>
      </c>
    </row>
    <row r="9" spans="1:32" x14ac:dyDescent="0.3">
      <c r="B9">
        <v>95</v>
      </c>
      <c r="C9">
        <v>5</v>
      </c>
      <c r="D9">
        <v>14</v>
      </c>
      <c r="E9">
        <v>86</v>
      </c>
      <c r="G9">
        <v>96</v>
      </c>
      <c r="H9">
        <v>4</v>
      </c>
      <c r="I9">
        <v>31</v>
      </c>
      <c r="J9">
        <v>69</v>
      </c>
      <c r="L9">
        <v>82</v>
      </c>
      <c r="M9">
        <v>18</v>
      </c>
      <c r="N9">
        <v>36</v>
      </c>
      <c r="O9">
        <v>64</v>
      </c>
      <c r="Q9">
        <f t="shared" si="0"/>
        <v>9.5</v>
      </c>
      <c r="R9">
        <f t="shared" si="1"/>
        <v>17.5</v>
      </c>
      <c r="S9">
        <f t="shared" si="2"/>
        <v>27</v>
      </c>
      <c r="T9">
        <f t="shared" si="3"/>
        <v>18</v>
      </c>
      <c r="U9">
        <f t="shared" si="4"/>
        <v>9.5</v>
      </c>
      <c r="V9">
        <f t="shared" si="5"/>
        <v>8.5</v>
      </c>
    </row>
    <row r="11" spans="1:32" x14ac:dyDescent="0.3">
      <c r="A11" t="s">
        <v>37</v>
      </c>
    </row>
    <row r="12" spans="1:32" x14ac:dyDescent="0.3">
      <c r="B12">
        <v>95</v>
      </c>
      <c r="C12">
        <v>5</v>
      </c>
      <c r="D12">
        <v>14</v>
      </c>
      <c r="E12">
        <v>86</v>
      </c>
      <c r="G12">
        <v>95</v>
      </c>
      <c r="H12">
        <v>5</v>
      </c>
      <c r="I12">
        <v>24</v>
      </c>
      <c r="J12">
        <v>76</v>
      </c>
      <c r="L12">
        <v>85</v>
      </c>
      <c r="M12">
        <v>15</v>
      </c>
      <c r="N12">
        <v>42</v>
      </c>
      <c r="O12">
        <v>58</v>
      </c>
      <c r="Q12">
        <f t="shared" ref="Q12:Q18" si="6">AVERAGE(C12:D12)</f>
        <v>9.5</v>
      </c>
      <c r="R12">
        <f t="shared" ref="R12:R18" si="7">AVERAGE(H12:I12)</f>
        <v>14.5</v>
      </c>
      <c r="S12">
        <f t="shared" ref="S12:S18" si="8">AVERAGE(M12:N12)</f>
        <v>28.5</v>
      </c>
      <c r="T12">
        <f t="shared" ref="T12:T18" si="9">AVERAGE(Q12:S12)</f>
        <v>17.5</v>
      </c>
      <c r="U12">
        <f t="shared" ref="U12:U18" si="10">MIN(Q12:S12)</f>
        <v>9.5</v>
      </c>
      <c r="V12">
        <f t="shared" ref="V12:V18" si="11">T12-U12</f>
        <v>8</v>
      </c>
      <c r="W12">
        <f>AVERAGE(Q12:Q18)</f>
        <v>12.285714285714286</v>
      </c>
      <c r="X12">
        <f>_xlfn.STDEV.S(Q12:Q18)</f>
        <v>2.4470584868562546</v>
      </c>
      <c r="Y12">
        <f>AVERAGE(R12:R18)</f>
        <v>15.642857142857142</v>
      </c>
      <c r="Z12">
        <f>_xlfn.STDEV.S(R12:R18)</f>
        <v>1.9086270308410567</v>
      </c>
      <c r="AA12">
        <f>AVERAGE(S12:S18)</f>
        <v>26.571428571428573</v>
      </c>
      <c r="AB12">
        <f>_xlfn.STDEV.S(S12:S18)</f>
        <v>3.3094381626464764</v>
      </c>
      <c r="AC12">
        <f>AVERAGE(T12:T18)</f>
        <v>18.166666666666664</v>
      </c>
      <c r="AD12">
        <f>_xlfn.STDEV.S(T12:T18)</f>
        <v>1.1785113019775788</v>
      </c>
      <c r="AE12">
        <f>AVERAGE(V12:V18)</f>
        <v>5.9523809523809508</v>
      </c>
      <c r="AF12">
        <f>_xlfn.STDEV.S(V12:V18)</f>
        <v>2.00396432500008</v>
      </c>
    </row>
    <row r="13" spans="1:32" x14ac:dyDescent="0.3">
      <c r="B13">
        <v>88</v>
      </c>
      <c r="C13">
        <v>12</v>
      </c>
      <c r="D13">
        <v>15</v>
      </c>
      <c r="E13">
        <v>85</v>
      </c>
      <c r="G13">
        <v>98</v>
      </c>
      <c r="H13">
        <v>2</v>
      </c>
      <c r="I13">
        <v>34</v>
      </c>
      <c r="J13">
        <v>66</v>
      </c>
      <c r="L13">
        <v>90</v>
      </c>
      <c r="M13">
        <v>10</v>
      </c>
      <c r="N13">
        <v>33</v>
      </c>
      <c r="O13">
        <v>67</v>
      </c>
      <c r="Q13">
        <f t="shared" si="6"/>
        <v>13.5</v>
      </c>
      <c r="R13">
        <f t="shared" si="7"/>
        <v>18</v>
      </c>
      <c r="S13">
        <f t="shared" si="8"/>
        <v>21.5</v>
      </c>
      <c r="T13">
        <f t="shared" si="9"/>
        <v>17.666666666666668</v>
      </c>
      <c r="U13">
        <f t="shared" si="10"/>
        <v>13.5</v>
      </c>
      <c r="V13">
        <f t="shared" si="11"/>
        <v>4.1666666666666679</v>
      </c>
    </row>
    <row r="14" spans="1:32" x14ac:dyDescent="0.3">
      <c r="B14">
        <v>94</v>
      </c>
      <c r="C14">
        <v>6</v>
      </c>
      <c r="D14">
        <v>19</v>
      </c>
      <c r="E14">
        <v>81</v>
      </c>
      <c r="G14">
        <v>99</v>
      </c>
      <c r="H14">
        <v>1</v>
      </c>
      <c r="I14">
        <v>33</v>
      </c>
      <c r="J14">
        <v>67</v>
      </c>
      <c r="L14">
        <v>75</v>
      </c>
      <c r="M14">
        <v>25</v>
      </c>
      <c r="N14">
        <v>26</v>
      </c>
      <c r="O14">
        <v>74</v>
      </c>
      <c r="Q14">
        <f t="shared" si="6"/>
        <v>12.5</v>
      </c>
      <c r="R14">
        <f t="shared" si="7"/>
        <v>17</v>
      </c>
      <c r="S14">
        <f t="shared" si="8"/>
        <v>25.5</v>
      </c>
      <c r="T14">
        <f t="shared" si="9"/>
        <v>18.333333333333332</v>
      </c>
      <c r="U14">
        <f t="shared" si="10"/>
        <v>12.5</v>
      </c>
      <c r="V14">
        <f t="shared" si="11"/>
        <v>5.8333333333333321</v>
      </c>
    </row>
    <row r="15" spans="1:32" x14ac:dyDescent="0.3">
      <c r="B15">
        <v>88</v>
      </c>
      <c r="C15">
        <v>12</v>
      </c>
      <c r="D15">
        <v>18</v>
      </c>
      <c r="E15">
        <v>82</v>
      </c>
      <c r="G15">
        <v>99</v>
      </c>
      <c r="H15">
        <v>1</v>
      </c>
      <c r="I15">
        <v>30</v>
      </c>
      <c r="J15">
        <v>70</v>
      </c>
      <c r="L15">
        <v>86</v>
      </c>
      <c r="M15">
        <v>14</v>
      </c>
      <c r="N15">
        <v>32</v>
      </c>
      <c r="O15">
        <v>68</v>
      </c>
      <c r="Q15">
        <f t="shared" si="6"/>
        <v>15</v>
      </c>
      <c r="R15">
        <f t="shared" si="7"/>
        <v>15.5</v>
      </c>
      <c r="S15">
        <f t="shared" si="8"/>
        <v>23</v>
      </c>
      <c r="T15">
        <f t="shared" si="9"/>
        <v>17.833333333333332</v>
      </c>
      <c r="U15">
        <f t="shared" si="10"/>
        <v>15</v>
      </c>
      <c r="V15">
        <f t="shared" si="11"/>
        <v>2.8333333333333321</v>
      </c>
    </row>
    <row r="16" spans="1:32" x14ac:dyDescent="0.3">
      <c r="B16">
        <v>91</v>
      </c>
      <c r="C16">
        <v>9</v>
      </c>
      <c r="D16">
        <v>8</v>
      </c>
      <c r="E16">
        <v>92</v>
      </c>
      <c r="G16">
        <v>95</v>
      </c>
      <c r="H16">
        <v>5</v>
      </c>
      <c r="I16">
        <v>21</v>
      </c>
      <c r="J16">
        <v>79</v>
      </c>
      <c r="L16">
        <v>86</v>
      </c>
      <c r="M16">
        <v>14</v>
      </c>
      <c r="N16">
        <v>42</v>
      </c>
      <c r="O16">
        <v>58</v>
      </c>
      <c r="Q16">
        <f t="shared" si="6"/>
        <v>8.5</v>
      </c>
      <c r="R16">
        <f t="shared" si="7"/>
        <v>13</v>
      </c>
      <c r="S16">
        <f t="shared" si="8"/>
        <v>28</v>
      </c>
      <c r="T16">
        <f t="shared" si="9"/>
        <v>16.5</v>
      </c>
      <c r="U16">
        <f t="shared" si="10"/>
        <v>8.5</v>
      </c>
      <c r="V16">
        <f t="shared" si="11"/>
        <v>8</v>
      </c>
    </row>
    <row r="17" spans="2:22" x14ac:dyDescent="0.3">
      <c r="B17">
        <v>92</v>
      </c>
      <c r="C17">
        <v>8</v>
      </c>
      <c r="D17">
        <v>17</v>
      </c>
      <c r="E17">
        <v>83</v>
      </c>
      <c r="G17">
        <v>95</v>
      </c>
      <c r="H17">
        <v>5</v>
      </c>
      <c r="I17">
        <v>30</v>
      </c>
      <c r="J17">
        <v>70</v>
      </c>
      <c r="L17">
        <v>89</v>
      </c>
      <c r="M17">
        <v>11</v>
      </c>
      <c r="N17">
        <v>49</v>
      </c>
      <c r="O17">
        <v>51</v>
      </c>
      <c r="Q17">
        <f t="shared" si="6"/>
        <v>12.5</v>
      </c>
      <c r="R17">
        <f t="shared" si="7"/>
        <v>17.5</v>
      </c>
      <c r="S17">
        <f t="shared" si="8"/>
        <v>30</v>
      </c>
      <c r="T17">
        <f t="shared" si="9"/>
        <v>20</v>
      </c>
      <c r="U17">
        <f t="shared" si="10"/>
        <v>12.5</v>
      </c>
      <c r="V17">
        <f t="shared" si="11"/>
        <v>7.5</v>
      </c>
    </row>
    <row r="18" spans="2:22" x14ac:dyDescent="0.3">
      <c r="B18">
        <v>94</v>
      </c>
      <c r="C18">
        <v>6</v>
      </c>
      <c r="D18">
        <v>23</v>
      </c>
      <c r="E18">
        <v>77</v>
      </c>
      <c r="G18">
        <v>97</v>
      </c>
      <c r="H18">
        <v>3</v>
      </c>
      <c r="I18">
        <v>25</v>
      </c>
      <c r="J18">
        <v>75</v>
      </c>
      <c r="L18">
        <v>76</v>
      </c>
      <c r="M18">
        <v>24</v>
      </c>
      <c r="N18">
        <v>35</v>
      </c>
      <c r="O18">
        <v>65</v>
      </c>
      <c r="Q18">
        <f t="shared" si="6"/>
        <v>14.5</v>
      </c>
      <c r="R18">
        <f t="shared" si="7"/>
        <v>14</v>
      </c>
      <c r="S18">
        <f t="shared" si="8"/>
        <v>29.5</v>
      </c>
      <c r="T18">
        <f t="shared" si="9"/>
        <v>19.333333333333332</v>
      </c>
      <c r="U18">
        <f t="shared" si="10"/>
        <v>14</v>
      </c>
      <c r="V18">
        <f t="shared" si="11"/>
        <v>5.3333333333333321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8B926-3ADF-46D7-8F68-CEFFC1D24F6E}">
  <dimension ref="A2:AF15"/>
  <sheetViews>
    <sheetView tabSelected="1" topLeftCell="M1" workbookViewId="0">
      <selection activeCell="W13" sqref="W13:AF13"/>
    </sheetView>
  </sheetViews>
  <sheetFormatPr defaultRowHeight="14.4" x14ac:dyDescent="0.3"/>
  <sheetData>
    <row r="2" spans="1:32" x14ac:dyDescent="0.3">
      <c r="A2" t="s">
        <v>28</v>
      </c>
      <c r="Q2" t="s">
        <v>21</v>
      </c>
      <c r="R2" t="s">
        <v>22</v>
      </c>
      <c r="S2" t="s">
        <v>23</v>
      </c>
      <c r="T2" t="s">
        <v>13</v>
      </c>
      <c r="U2" t="s">
        <v>15</v>
      </c>
      <c r="V2" t="s">
        <v>12</v>
      </c>
      <c r="W2" t="s">
        <v>3</v>
      </c>
      <c r="X2" t="s">
        <v>24</v>
      </c>
      <c r="Y2" t="s">
        <v>5</v>
      </c>
      <c r="Z2" t="s">
        <v>25</v>
      </c>
      <c r="AA2" t="s">
        <v>7</v>
      </c>
      <c r="AB2" t="s">
        <v>26</v>
      </c>
      <c r="AC2" t="s">
        <v>0</v>
      </c>
      <c r="AD2" t="s">
        <v>14</v>
      </c>
      <c r="AE2" t="s">
        <v>16</v>
      </c>
      <c r="AF2" t="s">
        <v>17</v>
      </c>
    </row>
    <row r="3" spans="1:32" x14ac:dyDescent="0.3">
      <c r="A3" t="s">
        <v>19</v>
      </c>
      <c r="F3" t="s">
        <v>33</v>
      </c>
      <c r="K3" t="s">
        <v>20</v>
      </c>
    </row>
    <row r="4" spans="1:32" x14ac:dyDescent="0.3">
      <c r="B4">
        <v>90</v>
      </c>
      <c r="C4">
        <v>10</v>
      </c>
      <c r="D4">
        <v>11</v>
      </c>
      <c r="E4">
        <v>89</v>
      </c>
      <c r="G4">
        <v>96</v>
      </c>
      <c r="H4">
        <v>4</v>
      </c>
      <c r="I4">
        <v>23</v>
      </c>
      <c r="J4">
        <v>77</v>
      </c>
      <c r="L4">
        <v>83</v>
      </c>
      <c r="M4">
        <v>17</v>
      </c>
      <c r="N4">
        <v>40</v>
      </c>
      <c r="O4">
        <v>60</v>
      </c>
      <c r="Q4">
        <f>AVERAGE(C4:D4)</f>
        <v>10.5</v>
      </c>
      <c r="R4">
        <f>AVERAGE(H4:I4)</f>
        <v>13.5</v>
      </c>
      <c r="S4">
        <f>AVERAGE(M4:N4)</f>
        <v>28.5</v>
      </c>
      <c r="T4">
        <f>AVERAGE(Q4:S4)</f>
        <v>17.5</v>
      </c>
      <c r="U4">
        <f>MIN(Q4:S4)</f>
        <v>10.5</v>
      </c>
      <c r="V4">
        <f>T4-U4</f>
        <v>7</v>
      </c>
      <c r="W4">
        <f>AVERAGE(Q4:Q10)</f>
        <v>12.357142857142858</v>
      </c>
      <c r="X4">
        <f>_xlfn.STDEV.S(Q4:Q10)</f>
        <v>1.5197117521174255</v>
      </c>
      <c r="Y4">
        <f>AVERAGE(R4:R10)</f>
        <v>16.428571428571427</v>
      </c>
      <c r="Z4">
        <f>_xlfn.STDEV.S(R4:R10)</f>
        <v>1.3363062095621221</v>
      </c>
      <c r="AA4">
        <f>AVERAGE(S4:S10)</f>
        <v>32.785714285714285</v>
      </c>
      <c r="AB4">
        <f>_xlfn.STDEV.S(S4:S10)</f>
        <v>2.4976179127511156</v>
      </c>
      <c r="AC4">
        <f>AVERAGE(T4:T10)</f>
        <v>20.523809523809526</v>
      </c>
      <c r="AD4">
        <f>_xlfn.STDEV.S(T4:T10)</f>
        <v>1.5348681069786112</v>
      </c>
      <c r="AE4">
        <f>AVERAGE(V4:V10)</f>
        <v>8.1666666666666679</v>
      </c>
      <c r="AF4">
        <f>_xlfn.STDEV.S(V4:V10)</f>
        <v>0.98130676292531094</v>
      </c>
    </row>
    <row r="5" spans="1:32" x14ac:dyDescent="0.3">
      <c r="B5">
        <v>87</v>
      </c>
      <c r="C5">
        <v>13</v>
      </c>
      <c r="D5">
        <v>13</v>
      </c>
      <c r="E5">
        <v>87</v>
      </c>
      <c r="G5">
        <v>86</v>
      </c>
      <c r="H5">
        <v>14</v>
      </c>
      <c r="I5">
        <v>20</v>
      </c>
      <c r="J5">
        <v>80</v>
      </c>
      <c r="L5">
        <v>83</v>
      </c>
      <c r="M5">
        <v>17</v>
      </c>
      <c r="N5">
        <v>48</v>
      </c>
      <c r="O5">
        <v>52</v>
      </c>
      <c r="Q5">
        <f t="shared" ref="Q5:Q10" si="0">AVERAGE(C5:D5)</f>
        <v>13</v>
      </c>
      <c r="R5">
        <f t="shared" ref="R5:R10" si="1">AVERAGE(H5:I5)</f>
        <v>17</v>
      </c>
      <c r="S5">
        <f t="shared" ref="S5:S10" si="2">AVERAGE(M5:N5)</f>
        <v>32.5</v>
      </c>
      <c r="T5">
        <f t="shared" ref="T5:T10" si="3">AVERAGE(Q5:S5)</f>
        <v>20.833333333333332</v>
      </c>
      <c r="U5">
        <f t="shared" ref="U5:U10" si="4">MIN(Q5:S5)</f>
        <v>13</v>
      </c>
      <c r="V5">
        <f t="shared" ref="V5:V10" si="5">T5-U5</f>
        <v>7.8333333333333321</v>
      </c>
    </row>
    <row r="6" spans="1:32" x14ac:dyDescent="0.3">
      <c r="A6" t="s">
        <v>19</v>
      </c>
      <c r="B6">
        <v>86</v>
      </c>
      <c r="C6">
        <v>14</v>
      </c>
      <c r="D6">
        <v>14</v>
      </c>
      <c r="E6">
        <v>86</v>
      </c>
      <c r="G6">
        <v>97</v>
      </c>
      <c r="H6">
        <v>3</v>
      </c>
      <c r="I6">
        <v>31</v>
      </c>
      <c r="J6">
        <v>69</v>
      </c>
      <c r="L6">
        <v>87</v>
      </c>
      <c r="M6">
        <v>13</v>
      </c>
      <c r="N6">
        <v>57</v>
      </c>
      <c r="O6">
        <v>43</v>
      </c>
      <c r="Q6">
        <f t="shared" si="0"/>
        <v>14</v>
      </c>
      <c r="R6">
        <f t="shared" si="1"/>
        <v>17</v>
      </c>
      <c r="S6">
        <f t="shared" si="2"/>
        <v>35</v>
      </c>
      <c r="T6">
        <f t="shared" si="3"/>
        <v>22</v>
      </c>
      <c r="U6">
        <f t="shared" si="4"/>
        <v>14</v>
      </c>
      <c r="V6">
        <f t="shared" si="5"/>
        <v>8</v>
      </c>
    </row>
    <row r="7" spans="1:32" x14ac:dyDescent="0.3">
      <c r="B7">
        <v>87</v>
      </c>
      <c r="C7">
        <v>13</v>
      </c>
      <c r="D7">
        <v>14</v>
      </c>
      <c r="E7">
        <v>86</v>
      </c>
      <c r="G7">
        <v>92</v>
      </c>
      <c r="H7">
        <v>8</v>
      </c>
      <c r="I7">
        <v>25</v>
      </c>
      <c r="J7">
        <v>75</v>
      </c>
      <c r="L7">
        <v>77</v>
      </c>
      <c r="M7">
        <v>23</v>
      </c>
      <c r="N7">
        <v>41</v>
      </c>
      <c r="O7">
        <v>59</v>
      </c>
      <c r="Q7">
        <f t="shared" si="0"/>
        <v>13.5</v>
      </c>
      <c r="R7">
        <f t="shared" si="1"/>
        <v>16.5</v>
      </c>
      <c r="S7">
        <f t="shared" si="2"/>
        <v>32</v>
      </c>
      <c r="T7">
        <f t="shared" si="3"/>
        <v>20.666666666666668</v>
      </c>
      <c r="U7">
        <f t="shared" si="4"/>
        <v>13.5</v>
      </c>
      <c r="V7">
        <f t="shared" si="5"/>
        <v>7.1666666666666679</v>
      </c>
    </row>
    <row r="8" spans="1:32" x14ac:dyDescent="0.3">
      <c r="B8">
        <v>85</v>
      </c>
      <c r="C8">
        <v>15</v>
      </c>
      <c r="D8">
        <v>5</v>
      </c>
      <c r="E8">
        <v>95</v>
      </c>
      <c r="G8">
        <v>92</v>
      </c>
      <c r="H8">
        <v>8</v>
      </c>
      <c r="I8">
        <v>27</v>
      </c>
      <c r="J8">
        <v>73</v>
      </c>
      <c r="L8">
        <v>82</v>
      </c>
      <c r="M8">
        <v>18</v>
      </c>
      <c r="N8">
        <v>45</v>
      </c>
      <c r="O8">
        <v>55</v>
      </c>
      <c r="Q8">
        <f t="shared" si="0"/>
        <v>10</v>
      </c>
      <c r="R8">
        <f t="shared" si="1"/>
        <v>17.5</v>
      </c>
      <c r="S8">
        <f t="shared" si="2"/>
        <v>31.5</v>
      </c>
      <c r="T8">
        <f t="shared" si="3"/>
        <v>19.666666666666668</v>
      </c>
      <c r="U8">
        <f t="shared" si="4"/>
        <v>10</v>
      </c>
      <c r="V8">
        <f t="shared" si="5"/>
        <v>9.6666666666666679</v>
      </c>
    </row>
    <row r="9" spans="1:32" x14ac:dyDescent="0.3">
      <c r="B9">
        <v>89</v>
      </c>
      <c r="C9">
        <v>11</v>
      </c>
      <c r="D9">
        <v>14</v>
      </c>
      <c r="E9">
        <v>86</v>
      </c>
      <c r="G9">
        <v>94</v>
      </c>
      <c r="H9">
        <v>6</v>
      </c>
      <c r="I9">
        <v>27</v>
      </c>
      <c r="J9">
        <v>73</v>
      </c>
      <c r="L9">
        <v>68</v>
      </c>
      <c r="M9">
        <v>32</v>
      </c>
      <c r="N9">
        <v>40</v>
      </c>
      <c r="O9">
        <v>60</v>
      </c>
      <c r="Q9">
        <f t="shared" si="0"/>
        <v>12.5</v>
      </c>
      <c r="R9">
        <f t="shared" si="1"/>
        <v>16.5</v>
      </c>
      <c r="S9">
        <f t="shared" si="2"/>
        <v>36</v>
      </c>
      <c r="T9">
        <f t="shared" si="3"/>
        <v>21.666666666666668</v>
      </c>
      <c r="U9">
        <f t="shared" si="4"/>
        <v>12.5</v>
      </c>
      <c r="V9">
        <f t="shared" si="5"/>
        <v>9.1666666666666679</v>
      </c>
    </row>
    <row r="10" spans="1:32" x14ac:dyDescent="0.3">
      <c r="B10">
        <v>85</v>
      </c>
      <c r="C10">
        <v>15</v>
      </c>
      <c r="D10">
        <v>11</v>
      </c>
      <c r="E10">
        <v>89</v>
      </c>
      <c r="G10">
        <v>97</v>
      </c>
      <c r="H10">
        <v>3</v>
      </c>
      <c r="I10">
        <v>31</v>
      </c>
      <c r="J10">
        <v>69</v>
      </c>
      <c r="L10">
        <v>81</v>
      </c>
      <c r="M10">
        <v>19</v>
      </c>
      <c r="N10">
        <v>49</v>
      </c>
      <c r="O10">
        <v>51</v>
      </c>
      <c r="Q10">
        <f t="shared" si="0"/>
        <v>13</v>
      </c>
      <c r="R10">
        <f t="shared" si="1"/>
        <v>17</v>
      </c>
      <c r="S10">
        <f t="shared" si="2"/>
        <v>34</v>
      </c>
      <c r="T10">
        <f t="shared" si="3"/>
        <v>21.333333333333332</v>
      </c>
      <c r="U10">
        <f t="shared" si="4"/>
        <v>13</v>
      </c>
      <c r="V10">
        <f t="shared" si="5"/>
        <v>8.3333333333333321</v>
      </c>
    </row>
    <row r="12" spans="1:32" x14ac:dyDescent="0.3">
      <c r="A12" t="s">
        <v>37</v>
      </c>
    </row>
    <row r="13" spans="1:32" x14ac:dyDescent="0.3">
      <c r="B13">
        <v>87</v>
      </c>
      <c r="C13">
        <v>13</v>
      </c>
      <c r="D13">
        <v>4</v>
      </c>
      <c r="E13">
        <v>96</v>
      </c>
      <c r="G13">
        <v>93</v>
      </c>
      <c r="H13">
        <v>7</v>
      </c>
      <c r="I13">
        <v>26</v>
      </c>
      <c r="J13">
        <v>74</v>
      </c>
      <c r="L13">
        <v>82</v>
      </c>
      <c r="M13">
        <v>18</v>
      </c>
      <c r="N13">
        <v>40</v>
      </c>
      <c r="O13">
        <v>60</v>
      </c>
      <c r="Q13">
        <f t="shared" ref="Q13:Q15" si="6">AVERAGE(C13:D13)</f>
        <v>8.5</v>
      </c>
      <c r="R13">
        <f t="shared" ref="R13:R15" si="7">AVERAGE(H13:I13)</f>
        <v>16.5</v>
      </c>
      <c r="S13">
        <f t="shared" ref="S13:S15" si="8">AVERAGE(M13:N13)</f>
        <v>29</v>
      </c>
      <c r="T13">
        <f t="shared" ref="T13:T15" si="9">AVERAGE(Q13:S13)</f>
        <v>18</v>
      </c>
      <c r="U13">
        <f t="shared" ref="U13:U15" si="10">MIN(Q13:S13)</f>
        <v>8.5</v>
      </c>
      <c r="V13">
        <f t="shared" ref="V13:V15" si="11">T13-U13</f>
        <v>9.5</v>
      </c>
      <c r="W13">
        <f>AVERAGE(Q13:Q19)</f>
        <v>10.333333333333334</v>
      </c>
      <c r="X13">
        <f>_xlfn.STDEV.S(Q13:Q19)</f>
        <v>2.7537852736430528</v>
      </c>
      <c r="Y13">
        <f>AVERAGE(R13:R19)</f>
        <v>16.833333333333332</v>
      </c>
      <c r="Z13">
        <f>_xlfn.STDEV.S(R13:R19)</f>
        <v>2.0207259421636903</v>
      </c>
      <c r="AA13">
        <f>AVERAGE(S13:S19)</f>
        <v>32.5</v>
      </c>
      <c r="AB13">
        <f>_xlfn.STDEV.S(S13:S19)</f>
        <v>5.634713834792322</v>
      </c>
      <c r="AC13">
        <f>AVERAGE(T13:T19)</f>
        <v>19.888888888888889</v>
      </c>
      <c r="AD13">
        <f>_xlfn.STDEV.S(T13:T19)</f>
        <v>2.3353166174426336</v>
      </c>
      <c r="AE13">
        <f>AVERAGE(V13:V19)</f>
        <v>9.5555555555555554</v>
      </c>
      <c r="AF13">
        <f>_xlfn.STDEV.S(V13:V19)</f>
        <v>0.58531409738070839</v>
      </c>
    </row>
    <row r="14" spans="1:32" x14ac:dyDescent="0.3">
      <c r="B14">
        <v>83</v>
      </c>
      <c r="C14">
        <v>17</v>
      </c>
      <c r="D14">
        <v>10</v>
      </c>
      <c r="E14">
        <v>90</v>
      </c>
      <c r="G14">
        <v>97</v>
      </c>
      <c r="H14">
        <v>3</v>
      </c>
      <c r="I14">
        <v>27</v>
      </c>
      <c r="J14">
        <v>73</v>
      </c>
      <c r="L14">
        <v>69</v>
      </c>
      <c r="M14">
        <v>31</v>
      </c>
      <c r="N14">
        <v>47</v>
      </c>
      <c r="O14">
        <v>53</v>
      </c>
      <c r="Q14">
        <f t="shared" si="6"/>
        <v>13.5</v>
      </c>
      <c r="R14">
        <f t="shared" si="7"/>
        <v>15</v>
      </c>
      <c r="S14">
        <f t="shared" si="8"/>
        <v>39</v>
      </c>
      <c r="T14">
        <f t="shared" si="9"/>
        <v>22.5</v>
      </c>
      <c r="U14">
        <f t="shared" si="10"/>
        <v>13.5</v>
      </c>
      <c r="V14">
        <f t="shared" si="11"/>
        <v>9</v>
      </c>
    </row>
    <row r="15" spans="1:32" x14ac:dyDescent="0.3">
      <c r="B15">
        <v>86</v>
      </c>
      <c r="C15">
        <v>14</v>
      </c>
      <c r="D15">
        <v>4</v>
      </c>
      <c r="E15">
        <v>96</v>
      </c>
      <c r="G15">
        <v>93</v>
      </c>
      <c r="H15">
        <v>7</v>
      </c>
      <c r="I15">
        <v>31</v>
      </c>
      <c r="J15">
        <v>69</v>
      </c>
      <c r="L15">
        <v>86</v>
      </c>
      <c r="M15">
        <v>14</v>
      </c>
      <c r="N15">
        <v>45</v>
      </c>
      <c r="O15">
        <v>55</v>
      </c>
      <c r="Q15">
        <f t="shared" si="6"/>
        <v>9</v>
      </c>
      <c r="R15">
        <f t="shared" si="7"/>
        <v>19</v>
      </c>
      <c r="S15">
        <f t="shared" si="8"/>
        <v>29.5</v>
      </c>
      <c r="T15">
        <f t="shared" si="9"/>
        <v>19.166666666666668</v>
      </c>
      <c r="U15">
        <f t="shared" si="10"/>
        <v>9</v>
      </c>
      <c r="V15">
        <f t="shared" si="11"/>
        <v>10.166666666666668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10</vt:i4>
      </vt:variant>
    </vt:vector>
  </HeadingPairs>
  <TitlesOfParts>
    <vt:vector size="10" baseType="lpstr">
      <vt:lpstr>Foglio1</vt:lpstr>
      <vt:lpstr>MIT_DIFF_ONLYMIN_STDAUG</vt:lpstr>
      <vt:lpstr>PARBS_ONLYMIN_STDAUG</vt:lpstr>
      <vt:lpstr>MIT_PARBS_DIFF_ONLYMIN_STDAUG</vt:lpstr>
      <vt:lpstr>MIT_DIFF_STDAUG</vt:lpstr>
      <vt:lpstr>MIT_DIFF_NOAUG</vt:lpstr>
      <vt:lpstr>MIT_PARBS_STDAUG</vt:lpstr>
      <vt:lpstr>MIT_PARBS_NOAUG</vt:lpstr>
      <vt:lpstr>MIT_STDAUG</vt:lpstr>
      <vt:lpstr>MIT_NOAUG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enzo petrocco</dc:creator>
  <cp:lastModifiedBy>Enzo Ubaldo Petrocco</cp:lastModifiedBy>
  <dcterms:created xsi:type="dcterms:W3CDTF">2015-06-05T18:19:34Z</dcterms:created>
  <dcterms:modified xsi:type="dcterms:W3CDTF">2026-03-18T18:52:22Z</dcterms:modified>
</cp:coreProperties>
</file>