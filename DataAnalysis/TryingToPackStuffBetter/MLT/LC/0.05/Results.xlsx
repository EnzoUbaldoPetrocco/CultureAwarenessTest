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MLT\LC\0.05\"/>
    </mc:Choice>
  </mc:AlternateContent>
  <xr:revisionPtr revIDLastSave="0" documentId="13_ncr:1_{A2EA5520-34CE-4BFC-ADBE-59DE56C918BE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Foglio1" sheetId="1" r:id="rId1"/>
    <sheet name="PARBS_DIFF_ONLYMIN" sheetId="17" r:id="rId2"/>
    <sheet name="PARBS_DIFF" sheetId="20" r:id="rId3"/>
    <sheet name="PARBS_STDAUG" sheetId="14" r:id="rId4"/>
    <sheet name="PARBS_NOAUG" sheetId="13" r:id="rId5"/>
    <sheet name="MIT_DIFF_ONLYMIN" sheetId="19" r:id="rId6"/>
    <sheet name="MIT_DIFF" sheetId="16" r:id="rId7"/>
    <sheet name="MIT_STDAUG" sheetId="12" r:id="rId8"/>
    <sheet name="MIT_NOAUG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1" l="1"/>
  <c r="R5" i="11"/>
  <c r="S5" i="11"/>
  <c r="T5" i="11"/>
  <c r="U5" i="11"/>
  <c r="V5" i="11"/>
  <c r="Q6" i="11"/>
  <c r="T6" i="11" s="1"/>
  <c r="R6" i="11"/>
  <c r="S6" i="11"/>
  <c r="Q7" i="11"/>
  <c r="U7" i="11" s="1"/>
  <c r="R7" i="11"/>
  <c r="S7" i="11"/>
  <c r="T7" i="11"/>
  <c r="V7" i="11" s="1"/>
  <c r="Q8" i="11"/>
  <c r="R8" i="11"/>
  <c r="S8" i="11"/>
  <c r="T8" i="11"/>
  <c r="U8" i="11"/>
  <c r="V8" i="11"/>
  <c r="Q9" i="11"/>
  <c r="R9" i="11"/>
  <c r="S9" i="11"/>
  <c r="T9" i="11"/>
  <c r="U9" i="11"/>
  <c r="V9" i="11"/>
  <c r="Q10" i="11"/>
  <c r="T10" i="11" s="1"/>
  <c r="R10" i="11"/>
  <c r="S10" i="11"/>
  <c r="Q11" i="11"/>
  <c r="U11" i="11" s="1"/>
  <c r="R11" i="11"/>
  <c r="S11" i="11"/>
  <c r="T11" i="11"/>
  <c r="V11" i="11" s="1"/>
  <c r="Q12" i="11"/>
  <c r="R12" i="11"/>
  <c r="S12" i="11"/>
  <c r="T12" i="11"/>
  <c r="U12" i="11"/>
  <c r="V12" i="11"/>
  <c r="Q5" i="12"/>
  <c r="R5" i="12"/>
  <c r="S5" i="12"/>
  <c r="T5" i="12"/>
  <c r="U5" i="12"/>
  <c r="V5" i="12"/>
  <c r="Q6" i="12"/>
  <c r="T6" i="12" s="1"/>
  <c r="R6" i="12"/>
  <c r="S6" i="12"/>
  <c r="Q7" i="12"/>
  <c r="U7" i="12" s="1"/>
  <c r="R7" i="12"/>
  <c r="S7" i="12"/>
  <c r="T7" i="12"/>
  <c r="V7" i="12" s="1"/>
  <c r="Q8" i="12"/>
  <c r="R8" i="12"/>
  <c r="S8" i="12"/>
  <c r="T8" i="12"/>
  <c r="U8" i="12"/>
  <c r="V8" i="12"/>
  <c r="Q9" i="12"/>
  <c r="R9" i="12"/>
  <c r="S9" i="12"/>
  <c r="T9" i="12"/>
  <c r="U9" i="12"/>
  <c r="V9" i="12"/>
  <c r="Q10" i="12"/>
  <c r="U10" i="12" s="1"/>
  <c r="R10" i="12"/>
  <c r="S10" i="12"/>
  <c r="Q11" i="12"/>
  <c r="U11" i="12" s="1"/>
  <c r="R11" i="12"/>
  <c r="S11" i="12"/>
  <c r="T11" i="12"/>
  <c r="V11" i="12" s="1"/>
  <c r="Q12" i="12"/>
  <c r="R12" i="12"/>
  <c r="S12" i="12"/>
  <c r="T12" i="12"/>
  <c r="U12" i="12"/>
  <c r="V12" i="12"/>
  <c r="Q13" i="12"/>
  <c r="R13" i="12"/>
  <c r="S13" i="12"/>
  <c r="T13" i="12"/>
  <c r="U13" i="12"/>
  <c r="V13" i="12"/>
  <c r="Q36" i="16"/>
  <c r="T36" i="16" s="1"/>
  <c r="R36" i="16"/>
  <c r="S36" i="16"/>
  <c r="Q37" i="16"/>
  <c r="R37" i="16"/>
  <c r="S37" i="16"/>
  <c r="T37" i="16"/>
  <c r="U37" i="16"/>
  <c r="V37" i="16"/>
  <c r="Q38" i="16"/>
  <c r="R38" i="16"/>
  <c r="S38" i="16"/>
  <c r="T38" i="16"/>
  <c r="U38" i="16"/>
  <c r="V38" i="16"/>
  <c r="Q5" i="19"/>
  <c r="R5" i="19"/>
  <c r="S5" i="19"/>
  <c r="T5" i="19"/>
  <c r="U5" i="19"/>
  <c r="V5" i="19"/>
  <c r="Q6" i="19"/>
  <c r="R6" i="19"/>
  <c r="S6" i="19"/>
  <c r="T6" i="19"/>
  <c r="U6" i="19"/>
  <c r="V6" i="19"/>
  <c r="Q7" i="19"/>
  <c r="U7" i="19" s="1"/>
  <c r="R7" i="19"/>
  <c r="S7" i="19"/>
  <c r="T7" i="19"/>
  <c r="V7" i="19" s="1"/>
  <c r="Q8" i="19"/>
  <c r="R8" i="19"/>
  <c r="S8" i="19"/>
  <c r="T8" i="19"/>
  <c r="U8" i="19"/>
  <c r="V8" i="19"/>
  <c r="Q9" i="19"/>
  <c r="R9" i="19"/>
  <c r="S9" i="19"/>
  <c r="T9" i="19"/>
  <c r="U9" i="19"/>
  <c r="V9" i="19"/>
  <c r="Q10" i="19"/>
  <c r="T10" i="19" s="1"/>
  <c r="R10" i="19"/>
  <c r="S10" i="19"/>
  <c r="Q5" i="13"/>
  <c r="R5" i="13"/>
  <c r="S5" i="13"/>
  <c r="T5" i="13"/>
  <c r="U5" i="13"/>
  <c r="V5" i="13"/>
  <c r="Q6" i="13"/>
  <c r="R6" i="13"/>
  <c r="S6" i="13"/>
  <c r="T6" i="13"/>
  <c r="U6" i="13"/>
  <c r="V6" i="13"/>
  <c r="Q7" i="13"/>
  <c r="U7" i="13" s="1"/>
  <c r="R7" i="13"/>
  <c r="S7" i="13"/>
  <c r="T7" i="13"/>
  <c r="V7" i="13" s="1"/>
  <c r="Q8" i="13"/>
  <c r="R8" i="13"/>
  <c r="S8" i="13"/>
  <c r="T8" i="13"/>
  <c r="U8" i="13"/>
  <c r="V8" i="13"/>
  <c r="Q9" i="13"/>
  <c r="R9" i="13"/>
  <c r="S9" i="13"/>
  <c r="T9" i="13"/>
  <c r="U9" i="13"/>
  <c r="V9" i="13"/>
  <c r="Q10" i="13"/>
  <c r="T10" i="13" s="1"/>
  <c r="R10" i="13"/>
  <c r="S10" i="13"/>
  <c r="Q11" i="13"/>
  <c r="R11" i="13"/>
  <c r="T11" i="13" s="1"/>
  <c r="S11" i="13"/>
  <c r="Q12" i="13"/>
  <c r="R12" i="13"/>
  <c r="S12" i="13"/>
  <c r="T12" i="13"/>
  <c r="U12" i="13"/>
  <c r="V12" i="13"/>
  <c r="Q5" i="14"/>
  <c r="R5" i="14"/>
  <c r="S5" i="14"/>
  <c r="T5" i="14"/>
  <c r="U5" i="14"/>
  <c r="V5" i="14"/>
  <c r="Q6" i="14"/>
  <c r="R6" i="14"/>
  <c r="S6" i="14"/>
  <c r="T6" i="14"/>
  <c r="U6" i="14"/>
  <c r="V6" i="14"/>
  <c r="Q7" i="14"/>
  <c r="U7" i="14" s="1"/>
  <c r="R7" i="14"/>
  <c r="S7" i="14"/>
  <c r="T7" i="14"/>
  <c r="V7" i="14" s="1"/>
  <c r="Q8" i="14"/>
  <c r="U8" i="14" s="1"/>
  <c r="R8" i="14"/>
  <c r="S8" i="14"/>
  <c r="T8" i="14"/>
  <c r="V8" i="14" s="1"/>
  <c r="Q9" i="14"/>
  <c r="R9" i="14"/>
  <c r="S9" i="14"/>
  <c r="T9" i="14"/>
  <c r="U9" i="14"/>
  <c r="V9" i="14"/>
  <c r="Q10" i="14"/>
  <c r="U10" i="14" s="1"/>
  <c r="R10" i="14"/>
  <c r="S10" i="14"/>
  <c r="Q11" i="14"/>
  <c r="T11" i="14" s="1"/>
  <c r="R11" i="14"/>
  <c r="S11" i="14"/>
  <c r="Q12" i="14"/>
  <c r="R12" i="14"/>
  <c r="S12" i="14"/>
  <c r="T12" i="14"/>
  <c r="U12" i="14"/>
  <c r="V12" i="14"/>
  <c r="Q13" i="14"/>
  <c r="R13" i="14"/>
  <c r="S13" i="14"/>
  <c r="T13" i="14"/>
  <c r="U13" i="14"/>
  <c r="V13" i="14"/>
  <c r="Q14" i="14"/>
  <c r="R14" i="14"/>
  <c r="S14" i="14"/>
  <c r="T14" i="14"/>
  <c r="U14" i="14"/>
  <c r="V14" i="14"/>
  <c r="Q5" i="20"/>
  <c r="R5" i="20"/>
  <c r="S5" i="20"/>
  <c r="T5" i="20"/>
  <c r="U5" i="20"/>
  <c r="V5" i="20"/>
  <c r="Q6" i="20"/>
  <c r="R6" i="20"/>
  <c r="S6" i="20"/>
  <c r="T6" i="20"/>
  <c r="U6" i="20"/>
  <c r="V6" i="20"/>
  <c r="Q7" i="20"/>
  <c r="U7" i="20" s="1"/>
  <c r="R7" i="20"/>
  <c r="S7" i="20"/>
  <c r="T7" i="20"/>
  <c r="V7" i="20" s="1"/>
  <c r="Q8" i="20"/>
  <c r="R8" i="20"/>
  <c r="S8" i="20"/>
  <c r="T8" i="20"/>
  <c r="U8" i="20"/>
  <c r="V8" i="20"/>
  <c r="Q9" i="20"/>
  <c r="R9" i="20"/>
  <c r="S9" i="20"/>
  <c r="T9" i="20"/>
  <c r="U9" i="20"/>
  <c r="V9" i="20"/>
  <c r="Q10" i="20"/>
  <c r="T10" i="20" s="1"/>
  <c r="R10" i="20"/>
  <c r="S10" i="20"/>
  <c r="Q11" i="20"/>
  <c r="R11" i="20"/>
  <c r="S11" i="20"/>
  <c r="T11" i="20"/>
  <c r="U11" i="20"/>
  <c r="V11" i="20"/>
  <c r="Q12" i="20"/>
  <c r="R12" i="20"/>
  <c r="S12" i="20"/>
  <c r="T12" i="20"/>
  <c r="U12" i="20"/>
  <c r="V12" i="20"/>
  <c r="Q5" i="17"/>
  <c r="U5" i="17" s="1"/>
  <c r="R5" i="17"/>
  <c r="S5" i="17"/>
  <c r="T5" i="17"/>
  <c r="Q6" i="17"/>
  <c r="R6" i="17"/>
  <c r="S6" i="17"/>
  <c r="T6" i="17"/>
  <c r="U6" i="17"/>
  <c r="V6" i="17"/>
  <c r="Q7" i="17"/>
  <c r="R7" i="17"/>
  <c r="S7" i="17"/>
  <c r="T7" i="17"/>
  <c r="V7" i="17" s="1"/>
  <c r="U7" i="17"/>
  <c r="Q8" i="17"/>
  <c r="T8" i="17" s="1"/>
  <c r="R8" i="17"/>
  <c r="S8" i="17"/>
  <c r="Q9" i="17"/>
  <c r="R9" i="17"/>
  <c r="S9" i="17"/>
  <c r="T9" i="17"/>
  <c r="U9" i="17"/>
  <c r="V9" i="17"/>
  <c r="Q10" i="17"/>
  <c r="R10" i="17"/>
  <c r="T10" i="17" s="1"/>
  <c r="V10" i="17" s="1"/>
  <c r="S10" i="17"/>
  <c r="U10" i="17"/>
  <c r="S4" i="17"/>
  <c r="R4" i="17"/>
  <c r="Q4" i="17"/>
  <c r="X4" i="20"/>
  <c r="S4" i="20"/>
  <c r="R4" i="20"/>
  <c r="Q4" i="20"/>
  <c r="S4" i="14"/>
  <c r="R4" i="14"/>
  <c r="Q4" i="14"/>
  <c r="S4" i="13"/>
  <c r="R4" i="13"/>
  <c r="Q4" i="13"/>
  <c r="S4" i="19"/>
  <c r="R4" i="19"/>
  <c r="Q4" i="19"/>
  <c r="S35" i="16"/>
  <c r="R35" i="16"/>
  <c r="Q35" i="16"/>
  <c r="S4" i="12"/>
  <c r="R4" i="12"/>
  <c r="Q4" i="12"/>
  <c r="AF4" i="16"/>
  <c r="AB4" i="16"/>
  <c r="Z4" i="16"/>
  <c r="Y4" i="16"/>
  <c r="X4" i="16"/>
  <c r="W4" i="16"/>
  <c r="V4" i="16"/>
  <c r="U4" i="16"/>
  <c r="Q16" i="16"/>
  <c r="R16" i="16"/>
  <c r="S16" i="16"/>
  <c r="T16" i="16"/>
  <c r="AC16" i="16"/>
  <c r="AD16" i="16"/>
  <c r="Q17" i="16"/>
  <c r="R17" i="16"/>
  <c r="S17" i="16"/>
  <c r="T17" i="16"/>
  <c r="AC17" i="16"/>
  <c r="AD17" i="16"/>
  <c r="Q18" i="16"/>
  <c r="R18" i="16"/>
  <c r="S18" i="16"/>
  <c r="T18" i="16"/>
  <c r="AC18" i="16"/>
  <c r="AD18" i="16"/>
  <c r="Q19" i="16"/>
  <c r="R19" i="16"/>
  <c r="S19" i="16"/>
  <c r="T19" i="16"/>
  <c r="AC19" i="16"/>
  <c r="AD19" i="16"/>
  <c r="AE4" i="16"/>
  <c r="AA4" i="16"/>
  <c r="Q5" i="16"/>
  <c r="R5" i="16"/>
  <c r="T5" i="16" s="1"/>
  <c r="AD5" i="16" s="1"/>
  <c r="S5" i="16"/>
  <c r="AC5" i="16"/>
  <c r="Q6" i="16"/>
  <c r="T6" i="16" s="1"/>
  <c r="R6" i="16"/>
  <c r="S6" i="16"/>
  <c r="Q7" i="16"/>
  <c r="AC7" i="16" s="1"/>
  <c r="R7" i="16"/>
  <c r="S7" i="16"/>
  <c r="T7" i="16"/>
  <c r="Q8" i="16"/>
  <c r="R8" i="16"/>
  <c r="S8" i="16"/>
  <c r="T8" i="16"/>
  <c r="AC8" i="16"/>
  <c r="AD8" i="16"/>
  <c r="Q9" i="16"/>
  <c r="R9" i="16"/>
  <c r="S9" i="16"/>
  <c r="T9" i="16"/>
  <c r="AC9" i="16"/>
  <c r="AD9" i="16"/>
  <c r="Q10" i="16"/>
  <c r="T10" i="16" s="1"/>
  <c r="R10" i="16"/>
  <c r="S10" i="16"/>
  <c r="Q11" i="16"/>
  <c r="AC11" i="16" s="1"/>
  <c r="R11" i="16"/>
  <c r="S11" i="16"/>
  <c r="T11" i="16"/>
  <c r="AD11" i="16" s="1"/>
  <c r="Q12" i="16"/>
  <c r="R12" i="16"/>
  <c r="S12" i="16"/>
  <c r="T12" i="16"/>
  <c r="AC12" i="16"/>
  <c r="AD12" i="16"/>
  <c r="Q13" i="16"/>
  <c r="R13" i="16"/>
  <c r="T13" i="16" s="1"/>
  <c r="AD13" i="16" s="1"/>
  <c r="S13" i="16"/>
  <c r="AC13" i="16"/>
  <c r="AD4" i="16"/>
  <c r="AC4" i="16"/>
  <c r="T4" i="16"/>
  <c r="S4" i="16"/>
  <c r="R4" i="16"/>
  <c r="Q4" i="16"/>
  <c r="S4" i="11"/>
  <c r="R4" i="11"/>
  <c r="Q4" i="11"/>
  <c r="U6" i="11" l="1"/>
  <c r="V6" i="11" s="1"/>
  <c r="W4" i="11"/>
  <c r="AB4" i="11"/>
  <c r="U10" i="11"/>
  <c r="V10" i="11" s="1"/>
  <c r="Z4" i="11"/>
  <c r="V6" i="12"/>
  <c r="U6" i="12"/>
  <c r="T10" i="12"/>
  <c r="V10" i="12" s="1"/>
  <c r="U36" i="16"/>
  <c r="V36" i="16" s="1"/>
  <c r="X4" i="19"/>
  <c r="U10" i="19"/>
  <c r="V10" i="19" s="1"/>
  <c r="U11" i="13"/>
  <c r="V11" i="13" s="1"/>
  <c r="U10" i="13"/>
  <c r="V10" i="13" s="1"/>
  <c r="AA4" i="14"/>
  <c r="U11" i="14"/>
  <c r="V11" i="14" s="1"/>
  <c r="Z4" i="14"/>
  <c r="T10" i="14"/>
  <c r="V10" i="14" s="1"/>
  <c r="W4" i="20"/>
  <c r="U10" i="20"/>
  <c r="V10" i="20" s="1"/>
  <c r="Z4" i="20"/>
  <c r="AB4" i="20"/>
  <c r="V8" i="17"/>
  <c r="V5" i="17"/>
  <c r="U8" i="17"/>
  <c r="AA4" i="20"/>
  <c r="Y4" i="20"/>
  <c r="AA4" i="11"/>
  <c r="Y4" i="11"/>
  <c r="X4" i="11"/>
  <c r="X4" i="17"/>
  <c r="Z4" i="17"/>
  <c r="AB4" i="17"/>
  <c r="T4" i="17"/>
  <c r="U4" i="17"/>
  <c r="W4" i="17"/>
  <c r="Y4" i="17"/>
  <c r="AA4" i="17"/>
  <c r="T4" i="20"/>
  <c r="U4" i="20"/>
  <c r="X4" i="14"/>
  <c r="AB4" i="14"/>
  <c r="T4" i="14"/>
  <c r="U4" i="14"/>
  <c r="W4" i="14"/>
  <c r="Y4" i="14"/>
  <c r="X4" i="13"/>
  <c r="AB4" i="13"/>
  <c r="Z4" i="13"/>
  <c r="T4" i="13"/>
  <c r="U4" i="13"/>
  <c r="W4" i="13"/>
  <c r="Y4" i="13"/>
  <c r="AA4" i="13"/>
  <c r="Z4" i="19"/>
  <c r="AB4" i="19"/>
  <c r="T4" i="19"/>
  <c r="U4" i="19"/>
  <c r="W4" i="19"/>
  <c r="Y4" i="19"/>
  <c r="AA4" i="19"/>
  <c r="X35" i="16"/>
  <c r="AB35" i="16"/>
  <c r="Z35" i="16"/>
  <c r="T35" i="16"/>
  <c r="U35" i="16"/>
  <c r="W16" i="16"/>
  <c r="W35" i="16"/>
  <c r="Z16" i="16"/>
  <c r="X16" i="16"/>
  <c r="Y35" i="16"/>
  <c r="AA35" i="16"/>
  <c r="W4" i="12"/>
  <c r="Z4" i="12"/>
  <c r="AB4" i="12"/>
  <c r="Y4" i="12"/>
  <c r="X4" i="12"/>
  <c r="T4" i="12"/>
  <c r="U4" i="12"/>
  <c r="AA4" i="12"/>
  <c r="U4" i="11"/>
  <c r="V16" i="16"/>
  <c r="Y16" i="16"/>
  <c r="U16" i="16"/>
  <c r="AD7" i="16"/>
  <c r="AC6" i="16"/>
  <c r="AD6" i="16" s="1"/>
  <c r="AC10" i="16"/>
  <c r="AD10" i="16" s="1"/>
  <c r="T4" i="11"/>
  <c r="AD4" i="20" l="1"/>
  <c r="AC4" i="20"/>
  <c r="AD4" i="11"/>
  <c r="AC4" i="11"/>
  <c r="AD4" i="17"/>
  <c r="AC4" i="17"/>
  <c r="V4" i="17"/>
  <c r="V4" i="20"/>
  <c r="V4" i="14"/>
  <c r="AD4" i="14"/>
  <c r="AC4" i="14"/>
  <c r="AC4" i="13"/>
  <c r="V4" i="13"/>
  <c r="AD4" i="13"/>
  <c r="AD4" i="19"/>
  <c r="AC4" i="19"/>
  <c r="V4" i="19"/>
  <c r="AD35" i="16"/>
  <c r="AF16" i="16" s="1"/>
  <c r="AC35" i="16"/>
  <c r="V35" i="16"/>
  <c r="AD4" i="12"/>
  <c r="AC4" i="12"/>
  <c r="V4" i="12"/>
  <c r="V4" i="11"/>
  <c r="AB16" i="16"/>
  <c r="AA16" i="16"/>
  <c r="AF4" i="20" l="1"/>
  <c r="AE4" i="20"/>
  <c r="AE4" i="11"/>
  <c r="AF4" i="11"/>
  <c r="AF4" i="17"/>
  <c r="AE4" i="17"/>
  <c r="AF4" i="14"/>
  <c r="AE4" i="14"/>
  <c r="AF4" i="13"/>
  <c r="AE4" i="13"/>
  <c r="AF4" i="19"/>
  <c r="AE4" i="19"/>
  <c r="AE16" i="16"/>
  <c r="AE35" i="16"/>
  <c r="AF35" i="16"/>
  <c r="AF4" i="12"/>
  <c r="AE4" i="12"/>
</calcChain>
</file>

<file path=xl/sharedStrings.xml><?xml version="1.0" encoding="utf-8"?>
<sst xmlns="http://schemas.openxmlformats.org/spreadsheetml/2006/main" count="198" uniqueCount="35">
  <si>
    <t>ERR</t>
  </si>
  <si>
    <t>STD</t>
  </si>
  <si>
    <t>BAL</t>
  </si>
  <si>
    <t>NOAUG</t>
  </si>
  <si>
    <t>ERR0</t>
  </si>
  <si>
    <t>STD0</t>
  </si>
  <si>
    <t>ERR1</t>
  </si>
  <si>
    <t>STD1</t>
  </si>
  <si>
    <t>ERR2</t>
  </si>
  <si>
    <t>STD2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</si>
  <si>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</si>
  <si>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</si>
  <si>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</si>
  <si>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</si>
  <si>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</si>
  <si>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</si>
  <si>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</si>
  <si>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</si>
  <si>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</si>
  <si>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g=0.1</t>
  </si>
  <si>
    <t>c0</t>
  </si>
  <si>
    <t>c2</t>
  </si>
  <si>
    <t>ERR0_STD</t>
  </si>
  <si>
    <t>ERR1_STD</t>
  </si>
  <si>
    <t>ERR2_STD</t>
  </si>
  <si>
    <t>DIFF</t>
  </si>
  <si>
    <t>DIFF Without retest</t>
  </si>
  <si>
    <t>ERR_0</t>
  </si>
  <si>
    <t>ERR_1</t>
  </si>
  <si>
    <t>ERR_2</t>
  </si>
  <si>
    <t xml:space="preserve">c1 </t>
  </si>
  <si>
    <t>STDAUG</t>
  </si>
  <si>
    <t>PARBS</t>
  </si>
  <si>
    <t>ONLYMIN</t>
  </si>
  <si>
    <t>try: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</si>
</sst>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activeCell="N16" sqref="E4:N16"/>
    </sheetView>
  </sheetViews>
  <sheetFormatPr defaultRowHeight="14.4" x14ac:dyDescent="0.3"/>
  <sheetData>
    <row r="1" spans="1:14" x14ac:dyDescent="0.3"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15</v>
      </c>
      <c r="M1" t="s">
        <v>17</v>
      </c>
      <c r="N1" t="s">
        <v>18</v>
      </c>
    </row>
    <row r="3" spans="1:14" x14ac:dyDescent="0.3">
      <c r="A3" t="s">
        <v>2</v>
      </c>
    </row>
    <row r="4" spans="1:14" x14ac:dyDescent="0.3">
      <c r="B4" t="s">
        <v>3</v>
      </c>
      <c r="E4" s="1">
        <v>11.277777777777779</v>
      </c>
      <c r="F4" s="1">
        <v>2.5385910352879719</v>
      </c>
      <c r="G4" s="1">
        <v>15.555555555555555</v>
      </c>
      <c r="H4" s="1">
        <v>2.2699730786460379</v>
      </c>
      <c r="I4" s="1">
        <v>32.944444444444443</v>
      </c>
      <c r="J4" s="1">
        <v>3.7537018765184094</v>
      </c>
      <c r="K4" s="1">
        <v>19.925925925925927</v>
      </c>
      <c r="L4" s="1">
        <v>1.9023215186959928</v>
      </c>
      <c r="M4" s="1">
        <v>8.6481481481481488</v>
      </c>
      <c r="N4" s="1">
        <v>1.3448576041011246</v>
      </c>
    </row>
    <row r="5" spans="1:14" x14ac:dyDescent="0.3">
      <c r="B5" t="s">
        <v>31</v>
      </c>
      <c r="E5" s="1">
        <v>11.666666666666666</v>
      </c>
      <c r="F5" s="1">
        <v>2.4494897427831779</v>
      </c>
      <c r="G5" s="1">
        <v>15.555555555555555</v>
      </c>
      <c r="H5" s="1">
        <v>1.8782379449307725</v>
      </c>
      <c r="I5" s="1">
        <v>26.5</v>
      </c>
      <c r="J5" s="1">
        <v>2.8722813232690143</v>
      </c>
      <c r="K5" s="1">
        <v>17.907407407407405</v>
      </c>
      <c r="L5" s="1">
        <v>1.1699688715918157</v>
      </c>
      <c r="M5" s="1">
        <v>6.2962962962962949</v>
      </c>
      <c r="N5" s="1">
        <v>1.8815215802084584</v>
      </c>
    </row>
    <row r="6" spans="1:14" x14ac:dyDescent="0.3">
      <c r="B6" t="s">
        <v>25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C7" t="s">
        <v>31</v>
      </c>
      <c r="E7" s="1">
        <v>11.25</v>
      </c>
      <c r="F7" s="1">
        <v>2.6614532371118851</v>
      </c>
      <c r="G7" s="1">
        <v>20.625</v>
      </c>
      <c r="H7" s="1">
        <v>1.6520189667999174</v>
      </c>
      <c r="I7" s="1">
        <v>26.375</v>
      </c>
      <c r="J7" s="1">
        <v>3.0379543555930306</v>
      </c>
      <c r="K7" s="1">
        <v>19.416666666666668</v>
      </c>
      <c r="L7" s="1">
        <v>0.86602540378443804</v>
      </c>
      <c r="M7" s="1">
        <v>8.1666666666666679</v>
      </c>
      <c r="N7" s="1">
        <v>2.9344694769431672</v>
      </c>
    </row>
    <row r="8" spans="1:14" x14ac:dyDescent="0.3">
      <c r="C8" t="s">
        <v>33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D9" t="s">
        <v>31</v>
      </c>
      <c r="E9" s="1">
        <v>11.357142857142858</v>
      </c>
      <c r="F9" s="1">
        <v>1.5998511835554627</v>
      </c>
      <c r="G9" s="1">
        <v>15.857142857142858</v>
      </c>
      <c r="H9" s="1">
        <v>2.4446248129703831</v>
      </c>
      <c r="I9" s="1">
        <v>27.857142857142858</v>
      </c>
      <c r="J9" s="1">
        <v>4.2398337793114624</v>
      </c>
      <c r="K9" s="1">
        <v>18.357142857142858</v>
      </c>
      <c r="L9" s="1">
        <v>1.7675798777816591</v>
      </c>
      <c r="M9" s="1">
        <v>7</v>
      </c>
      <c r="N9" s="1">
        <v>2.3765832929119384</v>
      </c>
    </row>
    <row r="10" spans="1:14" x14ac:dyDescent="0.3">
      <c r="A10" t="s">
        <v>32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B11" t="s">
        <v>3</v>
      </c>
      <c r="E11" s="1">
        <v>13.944444444444445</v>
      </c>
      <c r="F11" s="1">
        <v>3.0663949154956822</v>
      </c>
      <c r="G11" s="1">
        <v>16.444444444444443</v>
      </c>
      <c r="H11" s="1">
        <v>3.3675328918627909</v>
      </c>
      <c r="I11" s="1">
        <v>23</v>
      </c>
      <c r="J11" s="1">
        <v>3.1324910215354169</v>
      </c>
      <c r="K11" s="1">
        <v>17.796296296296294</v>
      </c>
      <c r="L11" s="1">
        <v>2.2185733932494962</v>
      </c>
      <c r="M11" s="1">
        <v>4.4629629629629619</v>
      </c>
      <c r="N11" s="1">
        <v>1.4994855084739787</v>
      </c>
    </row>
    <row r="12" spans="1:14" x14ac:dyDescent="0.3">
      <c r="B12" t="s">
        <v>31</v>
      </c>
      <c r="E12" s="1">
        <v>10.833333333333334</v>
      </c>
      <c r="F12" s="1">
        <v>1.8027756377319946</v>
      </c>
      <c r="G12" s="1">
        <v>15.777777777777779</v>
      </c>
      <c r="H12" s="1">
        <v>2.8185890875479629</v>
      </c>
      <c r="I12" s="1">
        <v>21.944444444444443</v>
      </c>
      <c r="J12" s="1">
        <v>3.7034143405481688</v>
      </c>
      <c r="K12" s="1">
        <v>16.185185185185183</v>
      </c>
      <c r="L12" s="1">
        <v>2.2934757169409123</v>
      </c>
      <c r="M12" s="1">
        <v>5.3518518518518521</v>
      </c>
      <c r="N12" s="1">
        <v>1.1739192560619638</v>
      </c>
    </row>
    <row r="13" spans="1:14" x14ac:dyDescent="0.3">
      <c r="B1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C14" t="s">
        <v>1</v>
      </c>
      <c r="E14" s="1">
        <v>13</v>
      </c>
      <c r="F14" s="1">
        <v>2.3717082451262845</v>
      </c>
      <c r="G14" s="1">
        <v>17.722222222222221</v>
      </c>
      <c r="H14" s="1">
        <v>2.6233460397828678</v>
      </c>
      <c r="I14" s="1">
        <v>22.444444444444443</v>
      </c>
      <c r="J14" s="1">
        <v>3.8115322086764305</v>
      </c>
      <c r="K14" s="1">
        <v>17.722222222222225</v>
      </c>
      <c r="L14" s="1">
        <v>2.0190069065975975</v>
      </c>
      <c r="M14" s="1">
        <v>4.7222222222222223</v>
      </c>
      <c r="N14" s="1">
        <v>1.2304019216861184</v>
      </c>
    </row>
    <row r="15" spans="1:14" x14ac:dyDescent="0.3">
      <c r="C15" t="s">
        <v>33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D16" t="s">
        <v>31</v>
      </c>
      <c r="E16" s="1">
        <v>10</v>
      </c>
      <c r="F16" s="1">
        <v>1.8027756377319946</v>
      </c>
      <c r="G16" s="1">
        <v>17.428571428571427</v>
      </c>
      <c r="H16" s="1">
        <v>2.0701966780270653</v>
      </c>
      <c r="I16" s="1">
        <v>23.857142857142858</v>
      </c>
      <c r="J16" s="1">
        <v>4.2692142691823802</v>
      </c>
      <c r="K16" s="1">
        <v>17.095238095238098</v>
      </c>
      <c r="L16" s="1">
        <v>0.93718028057939817</v>
      </c>
      <c r="M16" s="1">
        <v>7.0952380952380958</v>
      </c>
      <c r="N16" s="1">
        <v>2.430243744171487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7D71-588A-4985-8ACA-35F7A9B1AF58}">
  <dimension ref="A2:AF10"/>
  <sheetViews>
    <sheetView topLeftCell="O1" workbookViewId="0">
      <selection activeCell="AF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93</v>
      </c>
      <c r="C4">
        <v>7</v>
      </c>
      <c r="D4">
        <v>10</v>
      </c>
      <c r="E4">
        <v>90</v>
      </c>
      <c r="G4">
        <v>97</v>
      </c>
      <c r="H4">
        <v>3</v>
      </c>
      <c r="I4">
        <v>25</v>
      </c>
      <c r="J4">
        <v>75</v>
      </c>
      <c r="L4">
        <v>79</v>
      </c>
      <c r="M4">
        <v>21</v>
      </c>
      <c r="N4">
        <v>35</v>
      </c>
      <c r="O4">
        <v>65</v>
      </c>
      <c r="Q4">
        <f>AVERAGE(C4,D4)</f>
        <v>8.5</v>
      </c>
      <c r="R4">
        <f>AVERAGE(H4,I4)</f>
        <v>14</v>
      </c>
      <c r="S4">
        <f>AVERAGE(M4,N4)</f>
        <v>28</v>
      </c>
      <c r="T4">
        <f>AVERAGE(Q4:S4)</f>
        <v>16.833333333333332</v>
      </c>
      <c r="U4">
        <f>MIN(Q4:S4)</f>
        <v>8.5</v>
      </c>
      <c r="V4">
        <f>T4-U4</f>
        <v>8.3333333333333321</v>
      </c>
      <c r="W4">
        <f>AVERAGE(Q4:Q15)</f>
        <v>10</v>
      </c>
      <c r="X4">
        <f>_xlfn.STDEV.S(Q4:Q15)</f>
        <v>1.8027756377319946</v>
      </c>
      <c r="Y4">
        <f>AVERAGE(R4:R15)</f>
        <v>17.428571428571427</v>
      </c>
      <c r="Z4">
        <f>_xlfn.STDEV.S(R4:R15)</f>
        <v>2.0701966780270653</v>
      </c>
      <c r="AA4">
        <f>AVERAGE(S4:S15)</f>
        <v>23.857142857142858</v>
      </c>
      <c r="AB4">
        <f>_xlfn.STDEV.S(S4:S15)</f>
        <v>4.2692142691823802</v>
      </c>
      <c r="AC4">
        <f>AVERAGE(T4:T15)</f>
        <v>17.095238095238098</v>
      </c>
      <c r="AD4">
        <f>_xlfn.STDEV.S(T4:T15)</f>
        <v>0.93718028057939817</v>
      </c>
      <c r="AE4">
        <f>AVERAGE(V4:V15)</f>
        <v>7.0952380952380958</v>
      </c>
      <c r="AF4">
        <f>_xlfn.STDEV.S(V4:V15)</f>
        <v>2.430243744171487</v>
      </c>
    </row>
    <row r="5" spans="1:32" x14ac:dyDescent="0.3">
      <c r="B5">
        <v>88</v>
      </c>
      <c r="C5">
        <v>12</v>
      </c>
      <c r="D5">
        <v>9</v>
      </c>
      <c r="E5">
        <v>91</v>
      </c>
      <c r="G5">
        <v>96</v>
      </c>
      <c r="H5">
        <v>4</v>
      </c>
      <c r="I5">
        <v>31</v>
      </c>
      <c r="J5">
        <v>69</v>
      </c>
      <c r="L5">
        <v>83</v>
      </c>
      <c r="M5">
        <v>17</v>
      </c>
      <c r="N5">
        <v>26</v>
      </c>
      <c r="O5">
        <v>74</v>
      </c>
      <c r="Q5">
        <f t="shared" ref="Q5:Q10" si="0">AVERAGE(C5,D5)</f>
        <v>10.5</v>
      </c>
      <c r="R5">
        <f t="shared" ref="R5:R10" si="1">AVERAGE(H5,I5)</f>
        <v>17.5</v>
      </c>
      <c r="S5">
        <f t="shared" ref="S5:S10" si="2">AVERAGE(M5,N5)</f>
        <v>21.5</v>
      </c>
      <c r="T5">
        <f t="shared" ref="T5:T10" si="3">AVERAGE(Q5:S5)</f>
        <v>16.5</v>
      </c>
      <c r="U5">
        <f t="shared" ref="U5:U10" si="4">MIN(Q5:S5)</f>
        <v>10.5</v>
      </c>
      <c r="V5">
        <f t="shared" ref="V5:V10" si="5">T5-U5</f>
        <v>6</v>
      </c>
    </row>
    <row r="6" spans="1:32" x14ac:dyDescent="0.3">
      <c r="B6">
        <v>93</v>
      </c>
      <c r="C6">
        <v>7</v>
      </c>
      <c r="D6">
        <v>10</v>
      </c>
      <c r="E6">
        <v>90</v>
      </c>
      <c r="G6">
        <v>91</v>
      </c>
      <c r="H6">
        <v>9</v>
      </c>
      <c r="I6">
        <v>24</v>
      </c>
      <c r="J6">
        <v>76</v>
      </c>
      <c r="L6">
        <v>81</v>
      </c>
      <c r="M6">
        <v>19</v>
      </c>
      <c r="N6">
        <v>37</v>
      </c>
      <c r="O6">
        <v>63</v>
      </c>
      <c r="Q6">
        <f t="shared" si="0"/>
        <v>8.5</v>
      </c>
      <c r="R6">
        <f t="shared" si="1"/>
        <v>16.5</v>
      </c>
      <c r="S6">
        <f t="shared" si="2"/>
        <v>28</v>
      </c>
      <c r="T6">
        <f t="shared" si="3"/>
        <v>17.666666666666668</v>
      </c>
      <c r="U6">
        <f t="shared" si="4"/>
        <v>8.5</v>
      </c>
      <c r="V6">
        <f t="shared" si="5"/>
        <v>9.1666666666666679</v>
      </c>
    </row>
    <row r="7" spans="1:32" x14ac:dyDescent="0.3">
      <c r="B7">
        <v>91</v>
      </c>
      <c r="C7">
        <v>9</v>
      </c>
      <c r="D7">
        <v>15</v>
      </c>
      <c r="E7">
        <v>85</v>
      </c>
      <c r="G7">
        <v>95</v>
      </c>
      <c r="H7">
        <v>5</v>
      </c>
      <c r="I7">
        <v>31</v>
      </c>
      <c r="J7">
        <v>69</v>
      </c>
      <c r="L7">
        <v>93</v>
      </c>
      <c r="M7">
        <v>7</v>
      </c>
      <c r="N7">
        <v>27</v>
      </c>
      <c r="O7">
        <v>73</v>
      </c>
      <c r="Q7">
        <f t="shared" si="0"/>
        <v>12</v>
      </c>
      <c r="R7">
        <f t="shared" si="1"/>
        <v>18</v>
      </c>
      <c r="S7">
        <f t="shared" si="2"/>
        <v>17</v>
      </c>
      <c r="T7">
        <f t="shared" si="3"/>
        <v>15.666666666666666</v>
      </c>
      <c r="U7">
        <f t="shared" si="4"/>
        <v>12</v>
      </c>
      <c r="V7">
        <f t="shared" si="5"/>
        <v>3.6666666666666661</v>
      </c>
    </row>
    <row r="8" spans="1:32" x14ac:dyDescent="0.3">
      <c r="B8">
        <v>94</v>
      </c>
      <c r="C8">
        <v>6</v>
      </c>
      <c r="D8">
        <v>17</v>
      </c>
      <c r="E8">
        <v>83</v>
      </c>
      <c r="G8">
        <v>93</v>
      </c>
      <c r="H8">
        <v>7</v>
      </c>
      <c r="I8">
        <v>26</v>
      </c>
      <c r="J8">
        <v>74</v>
      </c>
      <c r="L8">
        <v>87</v>
      </c>
      <c r="M8">
        <v>13</v>
      </c>
      <c r="N8">
        <v>31</v>
      </c>
      <c r="O8">
        <v>69</v>
      </c>
      <c r="Q8">
        <f t="shared" si="0"/>
        <v>11.5</v>
      </c>
      <c r="R8">
        <f t="shared" si="1"/>
        <v>16.5</v>
      </c>
      <c r="S8">
        <f t="shared" si="2"/>
        <v>22</v>
      </c>
      <c r="T8">
        <f t="shared" si="3"/>
        <v>16.666666666666668</v>
      </c>
      <c r="U8">
        <f t="shared" si="4"/>
        <v>11.5</v>
      </c>
      <c r="V8">
        <f t="shared" si="5"/>
        <v>5.1666666666666679</v>
      </c>
    </row>
    <row r="9" spans="1:32" x14ac:dyDescent="0.3">
      <c r="B9">
        <v>94</v>
      </c>
      <c r="C9">
        <v>6</v>
      </c>
      <c r="D9">
        <v>9</v>
      </c>
      <c r="E9">
        <v>91</v>
      </c>
      <c r="G9">
        <v>92</v>
      </c>
      <c r="H9">
        <v>8</v>
      </c>
      <c r="I9">
        <v>30</v>
      </c>
      <c r="J9">
        <v>70</v>
      </c>
      <c r="L9">
        <v>80</v>
      </c>
      <c r="M9">
        <v>20</v>
      </c>
      <c r="N9">
        <v>36</v>
      </c>
      <c r="O9">
        <v>64</v>
      </c>
      <c r="Q9">
        <f t="shared" si="0"/>
        <v>7.5</v>
      </c>
      <c r="R9">
        <f t="shared" si="1"/>
        <v>19</v>
      </c>
      <c r="S9">
        <f t="shared" si="2"/>
        <v>28</v>
      </c>
      <c r="T9">
        <f t="shared" si="3"/>
        <v>18.166666666666668</v>
      </c>
      <c r="U9">
        <f t="shared" si="4"/>
        <v>7.5</v>
      </c>
      <c r="V9">
        <f t="shared" si="5"/>
        <v>10.666666666666668</v>
      </c>
    </row>
    <row r="10" spans="1:32" x14ac:dyDescent="0.3">
      <c r="B10">
        <v>91</v>
      </c>
      <c r="C10">
        <v>9</v>
      </c>
      <c r="D10">
        <v>14</v>
      </c>
      <c r="E10">
        <v>86</v>
      </c>
      <c r="G10">
        <v>98</v>
      </c>
      <c r="H10">
        <v>2</v>
      </c>
      <c r="I10">
        <v>39</v>
      </c>
      <c r="J10">
        <v>61</v>
      </c>
      <c r="L10">
        <v>94</v>
      </c>
      <c r="M10">
        <v>6</v>
      </c>
      <c r="N10">
        <v>39</v>
      </c>
      <c r="O10">
        <v>61</v>
      </c>
      <c r="Q10">
        <f t="shared" si="0"/>
        <v>11.5</v>
      </c>
      <c r="R10">
        <f t="shared" si="1"/>
        <v>20.5</v>
      </c>
      <c r="S10">
        <f t="shared" si="2"/>
        <v>22.5</v>
      </c>
      <c r="T10">
        <f t="shared" si="3"/>
        <v>18.166666666666668</v>
      </c>
      <c r="U10">
        <f t="shared" si="4"/>
        <v>11.5</v>
      </c>
      <c r="V10">
        <f t="shared" si="5"/>
        <v>6.6666666666666679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A84A-0B17-453A-AC24-3659BE690EA1}">
  <dimension ref="B2:AF12"/>
  <sheetViews>
    <sheetView topLeftCell="L1" workbookViewId="0">
      <selection activeCell="W4" sqref="W4:AF4"/>
    </sheetView>
  </sheetViews>
  <sheetFormatPr defaultRowHeight="14.4" x14ac:dyDescent="0.3"/>
  <sheetData>
    <row r="2" spans="2:32" x14ac:dyDescent="0.3"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4" spans="2:32" x14ac:dyDescent="0.3">
      <c r="B4">
        <v>92</v>
      </c>
      <c r="C4">
        <v>8</v>
      </c>
      <c r="D4">
        <v>20</v>
      </c>
      <c r="E4">
        <v>80</v>
      </c>
      <c r="G4">
        <v>98</v>
      </c>
      <c r="H4">
        <v>2</v>
      </c>
      <c r="I4">
        <v>34</v>
      </c>
      <c r="J4">
        <v>66</v>
      </c>
      <c r="L4">
        <v>87</v>
      </c>
      <c r="M4">
        <v>13</v>
      </c>
      <c r="N4">
        <v>38</v>
      </c>
      <c r="O4">
        <v>62</v>
      </c>
      <c r="Q4">
        <f>AVERAGE(C4,D4)</f>
        <v>14</v>
      </c>
      <c r="R4">
        <f>AVERAGE(H4,I4)</f>
        <v>18</v>
      </c>
      <c r="S4">
        <f>AVERAGE(M4,N4)</f>
        <v>25.5</v>
      </c>
      <c r="T4">
        <f>AVERAGE(Q4:S4)</f>
        <v>19.166666666666668</v>
      </c>
      <c r="U4">
        <f>MIN(Q4:S4)</f>
        <v>14</v>
      </c>
      <c r="V4">
        <f>T4-U4</f>
        <v>5.1666666666666679</v>
      </c>
      <c r="W4">
        <f>AVERAGE(Q4:Q15)</f>
        <v>13</v>
      </c>
      <c r="X4">
        <f>_xlfn.STDEV.S(Q4:Q15)</f>
        <v>2.3717082451262845</v>
      </c>
      <c r="Y4">
        <f>AVERAGE(R4:R15)</f>
        <v>17.722222222222221</v>
      </c>
      <c r="Z4">
        <f>_xlfn.STDEV.S(R4:R15)</f>
        <v>2.6233460397828678</v>
      </c>
      <c r="AA4">
        <f>AVERAGE(S4:S15)</f>
        <v>22.444444444444443</v>
      </c>
      <c r="AB4">
        <f>_xlfn.STDEV.S(S4:S15)</f>
        <v>3.8115322086764305</v>
      </c>
      <c r="AC4">
        <f>AVERAGE(T4:T15)</f>
        <v>17.722222222222225</v>
      </c>
      <c r="AD4">
        <f>_xlfn.STDEV.S(T4:T15)</f>
        <v>2.0190069065975975</v>
      </c>
      <c r="AE4">
        <f>AVERAGE(V4:V15)</f>
        <v>4.7222222222222223</v>
      </c>
      <c r="AF4">
        <f>_xlfn.STDEV.S(V4:V15)</f>
        <v>1.2304019216861184</v>
      </c>
    </row>
    <row r="5" spans="2:32" x14ac:dyDescent="0.3">
      <c r="B5">
        <v>93</v>
      </c>
      <c r="C5">
        <v>7</v>
      </c>
      <c r="D5">
        <v>14</v>
      </c>
      <c r="E5">
        <v>86</v>
      </c>
      <c r="G5">
        <v>94</v>
      </c>
      <c r="H5">
        <v>6</v>
      </c>
      <c r="I5">
        <v>25</v>
      </c>
      <c r="J5">
        <v>75</v>
      </c>
      <c r="L5">
        <v>70</v>
      </c>
      <c r="M5">
        <v>30</v>
      </c>
      <c r="N5">
        <v>20</v>
      </c>
      <c r="O5">
        <v>80</v>
      </c>
      <c r="Q5">
        <f t="shared" ref="Q5:Q12" si="0">AVERAGE(C5,D5)</f>
        <v>10.5</v>
      </c>
      <c r="R5">
        <f t="shared" ref="R5:R12" si="1">AVERAGE(H5,I5)</f>
        <v>15.5</v>
      </c>
      <c r="S5">
        <f t="shared" ref="S5:S12" si="2">AVERAGE(M5,N5)</f>
        <v>25</v>
      </c>
      <c r="T5">
        <f t="shared" ref="T5:T12" si="3">AVERAGE(Q5:S5)</f>
        <v>17</v>
      </c>
      <c r="U5">
        <f t="shared" ref="U5:U12" si="4">MIN(Q5:S5)</f>
        <v>10.5</v>
      </c>
      <c r="V5">
        <f t="shared" ref="V5:V12" si="5">T5-U5</f>
        <v>6.5</v>
      </c>
    </row>
    <row r="6" spans="2:32" x14ac:dyDescent="0.3">
      <c r="B6">
        <v>89</v>
      </c>
      <c r="C6">
        <v>11</v>
      </c>
      <c r="D6">
        <v>19</v>
      </c>
      <c r="E6">
        <v>81</v>
      </c>
      <c r="G6">
        <v>88</v>
      </c>
      <c r="H6">
        <v>12</v>
      </c>
      <c r="I6">
        <v>30</v>
      </c>
      <c r="J6">
        <v>70</v>
      </c>
      <c r="L6">
        <v>88</v>
      </c>
      <c r="M6">
        <v>12</v>
      </c>
      <c r="N6">
        <v>19</v>
      </c>
      <c r="O6">
        <v>81</v>
      </c>
      <c r="Q6">
        <f t="shared" si="0"/>
        <v>15</v>
      </c>
      <c r="R6">
        <f t="shared" si="1"/>
        <v>21</v>
      </c>
      <c r="S6">
        <f t="shared" si="2"/>
        <v>15.5</v>
      </c>
      <c r="T6">
        <f t="shared" si="3"/>
        <v>17.166666666666668</v>
      </c>
      <c r="U6">
        <f t="shared" si="4"/>
        <v>15</v>
      </c>
      <c r="V6">
        <f t="shared" si="5"/>
        <v>2.1666666666666679</v>
      </c>
    </row>
    <row r="7" spans="2:32" x14ac:dyDescent="0.3">
      <c r="B7">
        <v>91</v>
      </c>
      <c r="C7">
        <v>9</v>
      </c>
      <c r="D7">
        <v>21</v>
      </c>
      <c r="E7">
        <v>79</v>
      </c>
      <c r="G7">
        <v>95</v>
      </c>
      <c r="H7">
        <v>5</v>
      </c>
      <c r="I7">
        <v>37</v>
      </c>
      <c r="J7">
        <v>63</v>
      </c>
      <c r="L7">
        <v>89</v>
      </c>
      <c r="M7">
        <v>11</v>
      </c>
      <c r="N7">
        <v>35</v>
      </c>
      <c r="O7">
        <v>65</v>
      </c>
      <c r="Q7">
        <f t="shared" si="0"/>
        <v>15</v>
      </c>
      <c r="R7">
        <f t="shared" si="1"/>
        <v>21</v>
      </c>
      <c r="S7">
        <f t="shared" si="2"/>
        <v>23</v>
      </c>
      <c r="T7">
        <f t="shared" si="3"/>
        <v>19.666666666666668</v>
      </c>
      <c r="U7">
        <f t="shared" si="4"/>
        <v>15</v>
      </c>
      <c r="V7">
        <f t="shared" si="5"/>
        <v>4.6666666666666679</v>
      </c>
    </row>
    <row r="8" spans="2:32" x14ac:dyDescent="0.3">
      <c r="B8">
        <v>91</v>
      </c>
      <c r="C8">
        <v>9</v>
      </c>
      <c r="D8">
        <v>20</v>
      </c>
      <c r="E8">
        <v>80</v>
      </c>
      <c r="G8">
        <v>96</v>
      </c>
      <c r="H8">
        <v>4</v>
      </c>
      <c r="I8">
        <v>32</v>
      </c>
      <c r="J8">
        <v>68</v>
      </c>
      <c r="L8">
        <v>88</v>
      </c>
      <c r="M8">
        <v>12</v>
      </c>
      <c r="N8">
        <v>44</v>
      </c>
      <c r="O8">
        <v>56</v>
      </c>
      <c r="Q8">
        <f t="shared" si="0"/>
        <v>14.5</v>
      </c>
      <c r="R8">
        <f t="shared" si="1"/>
        <v>18</v>
      </c>
      <c r="S8">
        <f t="shared" si="2"/>
        <v>28</v>
      </c>
      <c r="T8">
        <f t="shared" si="3"/>
        <v>20.166666666666668</v>
      </c>
      <c r="U8">
        <f t="shared" si="4"/>
        <v>14.5</v>
      </c>
      <c r="V8">
        <f t="shared" si="5"/>
        <v>5.6666666666666679</v>
      </c>
    </row>
    <row r="9" spans="2:32" x14ac:dyDescent="0.3">
      <c r="B9">
        <v>88</v>
      </c>
      <c r="C9">
        <v>12</v>
      </c>
      <c r="D9">
        <v>19</v>
      </c>
      <c r="E9">
        <v>81</v>
      </c>
      <c r="G9">
        <v>91</v>
      </c>
      <c r="H9">
        <v>9</v>
      </c>
      <c r="I9">
        <v>27</v>
      </c>
      <c r="J9">
        <v>73</v>
      </c>
      <c r="L9">
        <v>81</v>
      </c>
      <c r="M9">
        <v>19</v>
      </c>
      <c r="N9">
        <v>30</v>
      </c>
      <c r="O9">
        <v>70</v>
      </c>
      <c r="Q9">
        <f t="shared" si="0"/>
        <v>15.5</v>
      </c>
      <c r="R9">
        <f t="shared" si="1"/>
        <v>18</v>
      </c>
      <c r="S9">
        <f t="shared" si="2"/>
        <v>24.5</v>
      </c>
      <c r="T9">
        <f t="shared" si="3"/>
        <v>19.333333333333332</v>
      </c>
      <c r="U9">
        <f t="shared" si="4"/>
        <v>15.5</v>
      </c>
      <c r="V9">
        <f t="shared" si="5"/>
        <v>3.8333333333333321</v>
      </c>
    </row>
    <row r="10" spans="2:32" x14ac:dyDescent="0.3">
      <c r="B10">
        <v>93</v>
      </c>
      <c r="C10">
        <v>7</v>
      </c>
      <c r="D10">
        <v>12</v>
      </c>
      <c r="E10">
        <v>88</v>
      </c>
      <c r="G10">
        <v>97</v>
      </c>
      <c r="H10">
        <v>3</v>
      </c>
      <c r="I10">
        <v>24</v>
      </c>
      <c r="J10">
        <v>76</v>
      </c>
      <c r="L10">
        <v>81</v>
      </c>
      <c r="M10">
        <v>19</v>
      </c>
      <c r="N10">
        <v>21</v>
      </c>
      <c r="O10">
        <v>79</v>
      </c>
      <c r="Q10">
        <f t="shared" si="0"/>
        <v>9.5</v>
      </c>
      <c r="R10">
        <f t="shared" si="1"/>
        <v>13.5</v>
      </c>
      <c r="S10">
        <f t="shared" si="2"/>
        <v>20</v>
      </c>
      <c r="T10">
        <f t="shared" si="3"/>
        <v>14.333333333333334</v>
      </c>
      <c r="U10">
        <f t="shared" si="4"/>
        <v>9.5</v>
      </c>
      <c r="V10">
        <f t="shared" si="5"/>
        <v>4.8333333333333339</v>
      </c>
    </row>
    <row r="11" spans="2:32" x14ac:dyDescent="0.3">
      <c r="B11">
        <v>92</v>
      </c>
      <c r="C11">
        <v>8</v>
      </c>
      <c r="D11">
        <v>12</v>
      </c>
      <c r="E11">
        <v>88</v>
      </c>
      <c r="G11">
        <v>92</v>
      </c>
      <c r="H11">
        <v>8</v>
      </c>
      <c r="I11">
        <v>22</v>
      </c>
      <c r="J11">
        <v>78</v>
      </c>
      <c r="L11">
        <v>81</v>
      </c>
      <c r="M11">
        <v>19</v>
      </c>
      <c r="N11">
        <v>23</v>
      </c>
      <c r="O11">
        <v>77</v>
      </c>
      <c r="Q11">
        <f t="shared" si="0"/>
        <v>10</v>
      </c>
      <c r="R11">
        <f t="shared" si="1"/>
        <v>15</v>
      </c>
      <c r="S11">
        <f t="shared" si="2"/>
        <v>21</v>
      </c>
      <c r="T11">
        <f t="shared" si="3"/>
        <v>15.333333333333334</v>
      </c>
      <c r="U11">
        <f t="shared" si="4"/>
        <v>10</v>
      </c>
      <c r="V11">
        <f t="shared" si="5"/>
        <v>5.3333333333333339</v>
      </c>
    </row>
    <row r="12" spans="2:32" x14ac:dyDescent="0.3">
      <c r="B12">
        <v>90</v>
      </c>
      <c r="C12">
        <v>10</v>
      </c>
      <c r="D12">
        <v>16</v>
      </c>
      <c r="E12">
        <v>84</v>
      </c>
      <c r="G12">
        <v>96</v>
      </c>
      <c r="H12">
        <v>4</v>
      </c>
      <c r="I12">
        <v>35</v>
      </c>
      <c r="J12">
        <v>65</v>
      </c>
      <c r="L12">
        <v>92</v>
      </c>
      <c r="M12">
        <v>8</v>
      </c>
      <c r="N12">
        <v>31</v>
      </c>
      <c r="O12">
        <v>69</v>
      </c>
      <c r="Q12">
        <f t="shared" si="0"/>
        <v>13</v>
      </c>
      <c r="R12">
        <f t="shared" si="1"/>
        <v>19.5</v>
      </c>
      <c r="S12">
        <f t="shared" si="2"/>
        <v>19.5</v>
      </c>
      <c r="T12">
        <f t="shared" si="3"/>
        <v>17.333333333333332</v>
      </c>
      <c r="U12">
        <f t="shared" si="4"/>
        <v>13</v>
      </c>
      <c r="V12">
        <f t="shared" si="5"/>
        <v>4.3333333333333321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D673-4552-407C-AD95-3B60150A1024}">
  <dimension ref="A2:AF14"/>
  <sheetViews>
    <sheetView topLeftCell="J1" workbookViewId="0">
      <selection activeCell="W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93</v>
      </c>
      <c r="C4">
        <v>7</v>
      </c>
      <c r="D4">
        <v>9</v>
      </c>
      <c r="E4">
        <v>91</v>
      </c>
      <c r="G4">
        <v>98</v>
      </c>
      <c r="H4">
        <v>2</v>
      </c>
      <c r="I4">
        <v>25</v>
      </c>
      <c r="J4">
        <v>75</v>
      </c>
      <c r="L4">
        <v>80</v>
      </c>
      <c r="M4">
        <v>20</v>
      </c>
      <c r="N4">
        <v>26</v>
      </c>
      <c r="O4">
        <v>74</v>
      </c>
      <c r="Q4">
        <f>AVERAGE(C4,D4)</f>
        <v>8</v>
      </c>
      <c r="R4">
        <f>AVERAGE(H4,I4)</f>
        <v>13.5</v>
      </c>
      <c r="S4">
        <f>AVERAGE(M4,N4)</f>
        <v>23</v>
      </c>
      <c r="T4">
        <f>AVERAGE(Q4:S4)</f>
        <v>14.833333333333334</v>
      </c>
      <c r="U4">
        <f>MIN(Q4:S4)</f>
        <v>8</v>
      </c>
      <c r="V4">
        <f>T4-U4</f>
        <v>6.8333333333333339</v>
      </c>
      <c r="W4">
        <f>AVERAGE(Q4:Q12)</f>
        <v>10.833333333333334</v>
      </c>
      <c r="X4">
        <f>_xlfn.STDEV.S(Q4:Q12)</f>
        <v>1.8027756377319946</v>
      </c>
      <c r="Y4">
        <f>AVERAGE(R4:R12)</f>
        <v>15.777777777777779</v>
      </c>
      <c r="Z4">
        <f>_xlfn.STDEV.S(R4:R12)</f>
        <v>2.8185890875479629</v>
      </c>
      <c r="AA4">
        <f>AVERAGE(S4:S12)</f>
        <v>21.944444444444443</v>
      </c>
      <c r="AB4">
        <f>_xlfn.STDEV.S(S4:S12)</f>
        <v>3.7034143405481688</v>
      </c>
      <c r="AC4">
        <f>AVERAGE(T4:T12)</f>
        <v>16.185185185185183</v>
      </c>
      <c r="AD4">
        <f>_xlfn.STDEV.S(T4:T12)</f>
        <v>2.2934757169409123</v>
      </c>
      <c r="AE4">
        <f>AVERAGE(V4:V12)</f>
        <v>5.3518518518518521</v>
      </c>
      <c r="AF4">
        <f>_xlfn.STDEV.S(V4:V12)</f>
        <v>1.1739192560619638</v>
      </c>
    </row>
    <row r="5" spans="1:32" x14ac:dyDescent="0.3">
      <c r="B5">
        <v>89</v>
      </c>
      <c r="C5">
        <v>11</v>
      </c>
      <c r="D5">
        <v>16</v>
      </c>
      <c r="E5">
        <v>84</v>
      </c>
      <c r="G5">
        <v>98</v>
      </c>
      <c r="H5">
        <v>2</v>
      </c>
      <c r="I5">
        <v>38</v>
      </c>
      <c r="J5">
        <v>62</v>
      </c>
      <c r="L5">
        <v>81</v>
      </c>
      <c r="M5">
        <v>19</v>
      </c>
      <c r="N5">
        <v>24</v>
      </c>
      <c r="O5">
        <v>76</v>
      </c>
      <c r="Q5">
        <f t="shared" ref="Q5:Q14" si="0">AVERAGE(C5,D5)</f>
        <v>13.5</v>
      </c>
      <c r="R5">
        <f t="shared" ref="R5:R14" si="1">AVERAGE(H5,I5)</f>
        <v>20</v>
      </c>
      <c r="S5">
        <f t="shared" ref="S5:S14" si="2">AVERAGE(M5,N5)</f>
        <v>21.5</v>
      </c>
      <c r="T5">
        <f t="shared" ref="T5:T14" si="3">AVERAGE(Q5:S5)</f>
        <v>18.333333333333332</v>
      </c>
      <c r="U5">
        <f t="shared" ref="U5:U14" si="4">MIN(Q5:S5)</f>
        <v>13.5</v>
      </c>
      <c r="V5">
        <f t="shared" ref="V5:V14" si="5">T5-U5</f>
        <v>4.8333333333333321</v>
      </c>
    </row>
    <row r="6" spans="1:32" x14ac:dyDescent="0.3">
      <c r="B6">
        <v>93</v>
      </c>
      <c r="C6">
        <v>7</v>
      </c>
      <c r="D6">
        <v>13</v>
      </c>
      <c r="E6">
        <v>87</v>
      </c>
      <c r="G6">
        <v>97</v>
      </c>
      <c r="H6">
        <v>3</v>
      </c>
      <c r="I6">
        <v>21</v>
      </c>
      <c r="J6">
        <v>79</v>
      </c>
      <c r="L6">
        <v>75</v>
      </c>
      <c r="M6">
        <v>25</v>
      </c>
      <c r="N6">
        <v>16</v>
      </c>
      <c r="O6">
        <v>84</v>
      </c>
      <c r="Q6">
        <f t="shared" si="0"/>
        <v>10</v>
      </c>
      <c r="R6">
        <f t="shared" si="1"/>
        <v>12</v>
      </c>
      <c r="S6">
        <f t="shared" si="2"/>
        <v>20.5</v>
      </c>
      <c r="T6">
        <f t="shared" si="3"/>
        <v>14.166666666666666</v>
      </c>
      <c r="U6">
        <f t="shared" si="4"/>
        <v>10</v>
      </c>
      <c r="V6">
        <f t="shared" si="5"/>
        <v>4.1666666666666661</v>
      </c>
    </row>
    <row r="7" spans="1:32" x14ac:dyDescent="0.3">
      <c r="B7">
        <v>90</v>
      </c>
      <c r="C7">
        <v>10</v>
      </c>
      <c r="D7">
        <v>10</v>
      </c>
      <c r="E7">
        <v>90</v>
      </c>
      <c r="G7">
        <v>92</v>
      </c>
      <c r="H7">
        <v>8</v>
      </c>
      <c r="I7">
        <v>21</v>
      </c>
      <c r="J7">
        <v>79</v>
      </c>
      <c r="L7">
        <v>81</v>
      </c>
      <c r="M7">
        <v>19</v>
      </c>
      <c r="N7">
        <v>16</v>
      </c>
      <c r="O7">
        <v>84</v>
      </c>
      <c r="Q7">
        <f t="shared" si="0"/>
        <v>10</v>
      </c>
      <c r="R7">
        <f t="shared" si="1"/>
        <v>14.5</v>
      </c>
      <c r="S7">
        <f t="shared" si="2"/>
        <v>17.5</v>
      </c>
      <c r="T7">
        <f t="shared" si="3"/>
        <v>14</v>
      </c>
      <c r="U7">
        <f t="shared" si="4"/>
        <v>10</v>
      </c>
      <c r="V7">
        <f t="shared" si="5"/>
        <v>4</v>
      </c>
    </row>
    <row r="8" spans="1:32" x14ac:dyDescent="0.3">
      <c r="B8">
        <v>92</v>
      </c>
      <c r="C8">
        <v>8</v>
      </c>
      <c r="D8">
        <v>13</v>
      </c>
      <c r="E8">
        <v>87</v>
      </c>
      <c r="G8">
        <v>92</v>
      </c>
      <c r="H8">
        <v>8</v>
      </c>
      <c r="I8">
        <v>27</v>
      </c>
      <c r="J8">
        <v>73</v>
      </c>
      <c r="L8">
        <v>85</v>
      </c>
      <c r="M8">
        <v>15</v>
      </c>
      <c r="N8">
        <v>28</v>
      </c>
      <c r="O8">
        <v>72</v>
      </c>
      <c r="Q8">
        <f t="shared" si="0"/>
        <v>10.5</v>
      </c>
      <c r="R8">
        <f t="shared" si="1"/>
        <v>17.5</v>
      </c>
      <c r="S8">
        <f t="shared" si="2"/>
        <v>21.5</v>
      </c>
      <c r="T8">
        <f t="shared" si="3"/>
        <v>16.5</v>
      </c>
      <c r="U8">
        <f t="shared" si="4"/>
        <v>10.5</v>
      </c>
      <c r="V8">
        <f t="shared" si="5"/>
        <v>6</v>
      </c>
    </row>
    <row r="9" spans="1:32" x14ac:dyDescent="0.3">
      <c r="B9">
        <v>92</v>
      </c>
      <c r="C9">
        <v>8</v>
      </c>
      <c r="D9">
        <v>13</v>
      </c>
      <c r="E9">
        <v>87</v>
      </c>
      <c r="G9">
        <v>95</v>
      </c>
      <c r="H9">
        <v>5</v>
      </c>
      <c r="I9">
        <v>21</v>
      </c>
      <c r="J9">
        <v>79</v>
      </c>
      <c r="L9">
        <v>89</v>
      </c>
      <c r="M9">
        <v>11</v>
      </c>
      <c r="N9">
        <v>35</v>
      </c>
      <c r="O9">
        <v>65</v>
      </c>
      <c r="Q9">
        <f t="shared" si="0"/>
        <v>10.5</v>
      </c>
      <c r="R9">
        <f t="shared" si="1"/>
        <v>13</v>
      </c>
      <c r="S9">
        <f t="shared" si="2"/>
        <v>23</v>
      </c>
      <c r="T9">
        <f t="shared" si="3"/>
        <v>15.5</v>
      </c>
      <c r="U9">
        <f t="shared" si="4"/>
        <v>10.5</v>
      </c>
      <c r="V9">
        <f t="shared" si="5"/>
        <v>5</v>
      </c>
    </row>
    <row r="10" spans="1:32" x14ac:dyDescent="0.3">
      <c r="B10">
        <v>97</v>
      </c>
      <c r="C10">
        <v>3</v>
      </c>
      <c r="D10">
        <v>16</v>
      </c>
      <c r="E10">
        <v>84</v>
      </c>
      <c r="G10">
        <v>96</v>
      </c>
      <c r="H10">
        <v>4</v>
      </c>
      <c r="I10">
        <v>26</v>
      </c>
      <c r="J10">
        <v>74</v>
      </c>
      <c r="L10">
        <v>88</v>
      </c>
      <c r="M10">
        <v>12</v>
      </c>
      <c r="N10">
        <v>21</v>
      </c>
      <c r="O10">
        <v>79</v>
      </c>
      <c r="Q10">
        <f t="shared" si="0"/>
        <v>9.5</v>
      </c>
      <c r="R10">
        <f t="shared" si="1"/>
        <v>15</v>
      </c>
      <c r="S10">
        <f t="shared" si="2"/>
        <v>16.5</v>
      </c>
      <c r="T10">
        <f t="shared" si="3"/>
        <v>13.666666666666666</v>
      </c>
      <c r="U10">
        <f t="shared" si="4"/>
        <v>9.5</v>
      </c>
      <c r="V10">
        <f t="shared" si="5"/>
        <v>4.1666666666666661</v>
      </c>
    </row>
    <row r="11" spans="1:32" x14ac:dyDescent="0.3">
      <c r="B11">
        <v>90</v>
      </c>
      <c r="C11">
        <v>10</v>
      </c>
      <c r="D11">
        <v>15</v>
      </c>
      <c r="E11">
        <v>85</v>
      </c>
      <c r="G11">
        <v>93</v>
      </c>
      <c r="H11">
        <v>7</v>
      </c>
      <c r="I11">
        <v>28</v>
      </c>
      <c r="J11">
        <v>72</v>
      </c>
      <c r="L11">
        <v>85</v>
      </c>
      <c r="M11">
        <v>15</v>
      </c>
      <c r="N11">
        <v>42</v>
      </c>
      <c r="O11">
        <v>58</v>
      </c>
      <c r="Q11">
        <f t="shared" si="0"/>
        <v>12.5</v>
      </c>
      <c r="R11">
        <f t="shared" si="1"/>
        <v>17.5</v>
      </c>
      <c r="S11">
        <f t="shared" si="2"/>
        <v>28.5</v>
      </c>
      <c r="T11">
        <f t="shared" si="3"/>
        <v>19.5</v>
      </c>
      <c r="U11">
        <f t="shared" si="4"/>
        <v>12.5</v>
      </c>
      <c r="V11">
        <f t="shared" si="5"/>
        <v>7</v>
      </c>
    </row>
    <row r="12" spans="1:32" x14ac:dyDescent="0.3">
      <c r="B12">
        <v>91</v>
      </c>
      <c r="C12">
        <v>9</v>
      </c>
      <c r="D12">
        <v>17</v>
      </c>
      <c r="E12">
        <v>83</v>
      </c>
      <c r="G12">
        <v>89</v>
      </c>
      <c r="H12">
        <v>11</v>
      </c>
      <c r="I12">
        <v>27</v>
      </c>
      <c r="J12">
        <v>73</v>
      </c>
      <c r="L12">
        <v>87</v>
      </c>
      <c r="M12">
        <v>13</v>
      </c>
      <c r="N12">
        <v>38</v>
      </c>
      <c r="O12">
        <v>62</v>
      </c>
      <c r="Q12">
        <f t="shared" si="0"/>
        <v>13</v>
      </c>
      <c r="R12">
        <f t="shared" si="1"/>
        <v>19</v>
      </c>
      <c r="S12">
        <f t="shared" si="2"/>
        <v>25.5</v>
      </c>
      <c r="T12">
        <f t="shared" si="3"/>
        <v>19.166666666666668</v>
      </c>
      <c r="U12">
        <f t="shared" si="4"/>
        <v>13</v>
      </c>
      <c r="V12">
        <f t="shared" si="5"/>
        <v>6.1666666666666679</v>
      </c>
    </row>
    <row r="13" spans="1:32" x14ac:dyDescent="0.3">
      <c r="B13">
        <v>96</v>
      </c>
      <c r="C13">
        <v>4</v>
      </c>
      <c r="D13">
        <v>7</v>
      </c>
      <c r="E13">
        <v>93</v>
      </c>
      <c r="G13">
        <v>94</v>
      </c>
      <c r="H13">
        <v>6</v>
      </c>
      <c r="I13">
        <v>24</v>
      </c>
      <c r="J13">
        <v>76</v>
      </c>
      <c r="L13">
        <v>80</v>
      </c>
      <c r="M13">
        <v>20</v>
      </c>
      <c r="N13">
        <v>10</v>
      </c>
      <c r="O13">
        <v>90</v>
      </c>
      <c r="Q13">
        <f t="shared" si="0"/>
        <v>5.5</v>
      </c>
      <c r="R13">
        <f t="shared" si="1"/>
        <v>15</v>
      </c>
      <c r="S13">
        <f t="shared" si="2"/>
        <v>15</v>
      </c>
      <c r="T13">
        <f t="shared" si="3"/>
        <v>11.833333333333334</v>
      </c>
      <c r="U13">
        <f t="shared" si="4"/>
        <v>5.5</v>
      </c>
      <c r="V13">
        <f t="shared" si="5"/>
        <v>6.3333333333333339</v>
      </c>
    </row>
    <row r="14" spans="1:32" x14ac:dyDescent="0.3">
      <c r="B14">
        <v>91</v>
      </c>
      <c r="C14">
        <v>9</v>
      </c>
      <c r="D14">
        <v>11</v>
      </c>
      <c r="E14">
        <v>89</v>
      </c>
      <c r="G14">
        <v>97</v>
      </c>
      <c r="H14">
        <v>3</v>
      </c>
      <c r="I14">
        <v>36</v>
      </c>
      <c r="J14">
        <v>64</v>
      </c>
      <c r="L14">
        <v>85</v>
      </c>
      <c r="M14">
        <v>15</v>
      </c>
      <c r="N14">
        <v>26</v>
      </c>
      <c r="O14">
        <v>74</v>
      </c>
      <c r="Q14">
        <f t="shared" si="0"/>
        <v>10</v>
      </c>
      <c r="R14">
        <f t="shared" si="1"/>
        <v>19.5</v>
      </c>
      <c r="S14">
        <f t="shared" si="2"/>
        <v>20.5</v>
      </c>
      <c r="T14">
        <f t="shared" si="3"/>
        <v>16.666666666666668</v>
      </c>
      <c r="U14">
        <f t="shared" si="4"/>
        <v>10</v>
      </c>
      <c r="V14">
        <f t="shared" si="5"/>
        <v>6.6666666666666679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CF4A-6F3D-4BA0-B506-17E3C93FB04B}">
  <dimension ref="A2:AF12"/>
  <sheetViews>
    <sheetView topLeftCell="K1" workbookViewId="0">
      <selection activeCell="W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90</v>
      </c>
      <c r="C4">
        <v>10</v>
      </c>
      <c r="D4">
        <v>8</v>
      </c>
      <c r="E4">
        <v>92</v>
      </c>
      <c r="G4">
        <v>95</v>
      </c>
      <c r="H4">
        <v>5</v>
      </c>
      <c r="I4">
        <v>22</v>
      </c>
      <c r="J4">
        <v>78</v>
      </c>
      <c r="L4">
        <v>79</v>
      </c>
      <c r="M4">
        <v>21</v>
      </c>
      <c r="N4">
        <v>27</v>
      </c>
      <c r="O4">
        <v>73</v>
      </c>
      <c r="Q4">
        <f>AVERAGE(C4,D4)</f>
        <v>9</v>
      </c>
      <c r="R4">
        <f>AVERAGE(H4,I4)</f>
        <v>13.5</v>
      </c>
      <c r="S4">
        <f>AVERAGE(M4,N4)</f>
        <v>24</v>
      </c>
      <c r="T4">
        <f>AVERAGE(Q4:S4)</f>
        <v>15.5</v>
      </c>
      <c r="U4">
        <f>MIN(Q4:S4)</f>
        <v>9</v>
      </c>
      <c r="V4">
        <f>T4-U4</f>
        <v>6.5</v>
      </c>
      <c r="W4">
        <f>AVERAGE(Q4:Q12)</f>
        <v>13.944444444444445</v>
      </c>
      <c r="X4">
        <f>_xlfn.STDEV.S(Q4:Q12)</f>
        <v>3.0663949154956822</v>
      </c>
      <c r="Y4">
        <f>AVERAGE(R4:R12)</f>
        <v>16.444444444444443</v>
      </c>
      <c r="Z4">
        <f>_xlfn.STDEV.S(R4:R12)</f>
        <v>3.3675328918627909</v>
      </c>
      <c r="AA4">
        <f>AVERAGE(S4:S12)</f>
        <v>23</v>
      </c>
      <c r="AB4">
        <f>_xlfn.STDEV.S(S4:S12)</f>
        <v>3.1324910215354169</v>
      </c>
      <c r="AC4">
        <f>AVERAGE(T4:T12)</f>
        <v>17.796296296296294</v>
      </c>
      <c r="AD4">
        <f>_xlfn.STDEV.S(T4:T12)</f>
        <v>2.2185733932494962</v>
      </c>
      <c r="AE4">
        <f>AVERAGE(V4:V12)</f>
        <v>4.4629629629629619</v>
      </c>
      <c r="AF4">
        <f>_xlfn.STDEV.S(V4:V12)</f>
        <v>1.4994855084739787</v>
      </c>
    </row>
    <row r="5" spans="1:32" x14ac:dyDescent="0.3">
      <c r="B5">
        <v>84</v>
      </c>
      <c r="C5">
        <v>16</v>
      </c>
      <c r="D5">
        <v>18</v>
      </c>
      <c r="E5">
        <v>82</v>
      </c>
      <c r="G5">
        <v>94</v>
      </c>
      <c r="H5">
        <v>6</v>
      </c>
      <c r="I5">
        <v>21</v>
      </c>
      <c r="J5">
        <v>79</v>
      </c>
      <c r="L5">
        <v>83</v>
      </c>
      <c r="M5">
        <v>17</v>
      </c>
      <c r="N5">
        <v>33</v>
      </c>
      <c r="O5">
        <v>67</v>
      </c>
      <c r="Q5">
        <f t="shared" ref="Q5:Q12" si="0">AVERAGE(C5,D5)</f>
        <v>17</v>
      </c>
      <c r="R5">
        <f t="shared" ref="R5:R12" si="1">AVERAGE(H5,I5)</f>
        <v>13.5</v>
      </c>
      <c r="S5">
        <f t="shared" ref="S5:S12" si="2">AVERAGE(M5,N5)</f>
        <v>25</v>
      </c>
      <c r="T5">
        <f t="shared" ref="T5:T12" si="3">AVERAGE(Q5:S5)</f>
        <v>18.5</v>
      </c>
      <c r="U5">
        <f t="shared" ref="U5:U12" si="4">MIN(Q5:S5)</f>
        <v>13.5</v>
      </c>
      <c r="V5">
        <f t="shared" ref="V5:V12" si="5">T5-U5</f>
        <v>5</v>
      </c>
    </row>
    <row r="6" spans="1:32" x14ac:dyDescent="0.3">
      <c r="B6">
        <v>84</v>
      </c>
      <c r="C6">
        <v>16</v>
      </c>
      <c r="D6">
        <v>19</v>
      </c>
      <c r="E6">
        <v>81</v>
      </c>
      <c r="G6">
        <v>86</v>
      </c>
      <c r="H6">
        <v>14</v>
      </c>
      <c r="I6">
        <v>31</v>
      </c>
      <c r="J6">
        <v>69</v>
      </c>
      <c r="L6">
        <v>77</v>
      </c>
      <c r="M6">
        <v>23</v>
      </c>
      <c r="N6">
        <v>31</v>
      </c>
      <c r="O6">
        <v>69</v>
      </c>
      <c r="Q6">
        <f t="shared" si="0"/>
        <v>17.5</v>
      </c>
      <c r="R6">
        <f t="shared" si="1"/>
        <v>22.5</v>
      </c>
      <c r="S6">
        <f t="shared" si="2"/>
        <v>27</v>
      </c>
      <c r="T6">
        <f t="shared" si="3"/>
        <v>22.333333333333332</v>
      </c>
      <c r="U6">
        <f t="shared" si="4"/>
        <v>17.5</v>
      </c>
      <c r="V6">
        <f t="shared" si="5"/>
        <v>4.8333333333333321</v>
      </c>
    </row>
    <row r="7" spans="1:32" x14ac:dyDescent="0.3">
      <c r="B7">
        <v>84</v>
      </c>
      <c r="C7">
        <v>16</v>
      </c>
      <c r="D7">
        <v>10</v>
      </c>
      <c r="E7">
        <v>90</v>
      </c>
      <c r="G7">
        <v>89</v>
      </c>
      <c r="H7">
        <v>11</v>
      </c>
      <c r="I7">
        <v>16</v>
      </c>
      <c r="J7">
        <v>84</v>
      </c>
      <c r="L7">
        <v>83</v>
      </c>
      <c r="M7">
        <v>17</v>
      </c>
      <c r="N7">
        <v>18</v>
      </c>
      <c r="O7">
        <v>82</v>
      </c>
      <c r="Q7">
        <f t="shared" si="0"/>
        <v>13</v>
      </c>
      <c r="R7">
        <f t="shared" si="1"/>
        <v>13.5</v>
      </c>
      <c r="S7">
        <f t="shared" si="2"/>
        <v>17.5</v>
      </c>
      <c r="T7">
        <f t="shared" si="3"/>
        <v>14.666666666666666</v>
      </c>
      <c r="U7">
        <f t="shared" si="4"/>
        <v>13</v>
      </c>
      <c r="V7">
        <f t="shared" si="5"/>
        <v>1.6666666666666661</v>
      </c>
    </row>
    <row r="8" spans="1:32" x14ac:dyDescent="0.3">
      <c r="B8">
        <v>87</v>
      </c>
      <c r="C8">
        <v>13</v>
      </c>
      <c r="D8">
        <v>14</v>
      </c>
      <c r="E8">
        <v>86</v>
      </c>
      <c r="G8">
        <v>94</v>
      </c>
      <c r="H8">
        <v>6</v>
      </c>
      <c r="I8">
        <v>33</v>
      </c>
      <c r="J8">
        <v>67</v>
      </c>
      <c r="L8">
        <v>82</v>
      </c>
      <c r="M8">
        <v>18</v>
      </c>
      <c r="N8">
        <v>23</v>
      </c>
      <c r="O8">
        <v>77</v>
      </c>
      <c r="Q8">
        <f t="shared" si="0"/>
        <v>13.5</v>
      </c>
      <c r="R8">
        <f t="shared" si="1"/>
        <v>19.5</v>
      </c>
      <c r="S8">
        <f t="shared" si="2"/>
        <v>20.5</v>
      </c>
      <c r="T8">
        <f t="shared" si="3"/>
        <v>17.833333333333332</v>
      </c>
      <c r="U8">
        <f t="shared" si="4"/>
        <v>13.5</v>
      </c>
      <c r="V8">
        <f t="shared" si="5"/>
        <v>4.3333333333333321</v>
      </c>
    </row>
    <row r="9" spans="1:32" x14ac:dyDescent="0.3">
      <c r="B9">
        <v>84</v>
      </c>
      <c r="C9">
        <v>16</v>
      </c>
      <c r="D9">
        <v>14</v>
      </c>
      <c r="E9">
        <v>86</v>
      </c>
      <c r="G9">
        <v>87</v>
      </c>
      <c r="H9">
        <v>13</v>
      </c>
      <c r="I9">
        <v>16</v>
      </c>
      <c r="J9">
        <v>84</v>
      </c>
      <c r="L9">
        <v>69</v>
      </c>
      <c r="M9">
        <v>31</v>
      </c>
      <c r="N9">
        <v>20</v>
      </c>
      <c r="O9">
        <v>80</v>
      </c>
      <c r="Q9">
        <f t="shared" si="0"/>
        <v>15</v>
      </c>
      <c r="R9">
        <f t="shared" si="1"/>
        <v>14.5</v>
      </c>
      <c r="S9">
        <f t="shared" si="2"/>
        <v>25.5</v>
      </c>
      <c r="T9">
        <f t="shared" si="3"/>
        <v>18.333333333333332</v>
      </c>
      <c r="U9">
        <f t="shared" si="4"/>
        <v>14.5</v>
      </c>
      <c r="V9">
        <f t="shared" si="5"/>
        <v>3.8333333333333321</v>
      </c>
    </row>
    <row r="10" spans="1:32" x14ac:dyDescent="0.3">
      <c r="B10">
        <v>90</v>
      </c>
      <c r="C10">
        <v>10</v>
      </c>
      <c r="D10">
        <v>11</v>
      </c>
      <c r="E10">
        <v>89</v>
      </c>
      <c r="G10">
        <v>93</v>
      </c>
      <c r="H10">
        <v>7</v>
      </c>
      <c r="I10">
        <v>23</v>
      </c>
      <c r="J10">
        <v>77</v>
      </c>
      <c r="L10">
        <v>78</v>
      </c>
      <c r="M10">
        <v>22</v>
      </c>
      <c r="N10">
        <v>27</v>
      </c>
      <c r="O10">
        <v>73</v>
      </c>
      <c r="Q10">
        <f t="shared" si="0"/>
        <v>10.5</v>
      </c>
      <c r="R10">
        <f t="shared" si="1"/>
        <v>15</v>
      </c>
      <c r="S10">
        <f t="shared" si="2"/>
        <v>24.5</v>
      </c>
      <c r="T10">
        <f t="shared" si="3"/>
        <v>16.666666666666668</v>
      </c>
      <c r="U10">
        <f t="shared" si="4"/>
        <v>10.5</v>
      </c>
      <c r="V10">
        <f t="shared" si="5"/>
        <v>6.1666666666666679</v>
      </c>
    </row>
    <row r="11" spans="1:32" x14ac:dyDescent="0.3">
      <c r="B11">
        <v>77</v>
      </c>
      <c r="C11">
        <v>23</v>
      </c>
      <c r="D11">
        <v>12</v>
      </c>
      <c r="E11">
        <v>88</v>
      </c>
      <c r="G11">
        <v>92</v>
      </c>
      <c r="H11">
        <v>8</v>
      </c>
      <c r="I11">
        <v>24</v>
      </c>
      <c r="J11">
        <v>76</v>
      </c>
      <c r="L11">
        <v>82</v>
      </c>
      <c r="M11">
        <v>18</v>
      </c>
      <c r="N11">
        <v>29</v>
      </c>
      <c r="O11">
        <v>71</v>
      </c>
      <c r="Q11">
        <f t="shared" si="0"/>
        <v>17.5</v>
      </c>
      <c r="R11">
        <f t="shared" si="1"/>
        <v>16</v>
      </c>
      <c r="S11">
        <f t="shared" si="2"/>
        <v>23.5</v>
      </c>
      <c r="T11">
        <f t="shared" si="3"/>
        <v>19</v>
      </c>
      <c r="U11">
        <f t="shared" si="4"/>
        <v>16</v>
      </c>
      <c r="V11">
        <f t="shared" si="5"/>
        <v>3</v>
      </c>
    </row>
    <row r="12" spans="1:32" x14ac:dyDescent="0.3">
      <c r="B12">
        <v>83</v>
      </c>
      <c r="C12">
        <v>17</v>
      </c>
      <c r="D12">
        <v>8</v>
      </c>
      <c r="E12">
        <v>92</v>
      </c>
      <c r="G12">
        <v>84</v>
      </c>
      <c r="H12">
        <v>16</v>
      </c>
      <c r="I12">
        <v>24</v>
      </c>
      <c r="J12">
        <v>76</v>
      </c>
      <c r="L12">
        <v>83</v>
      </c>
      <c r="M12">
        <v>17</v>
      </c>
      <c r="N12">
        <v>22</v>
      </c>
      <c r="O12">
        <v>78</v>
      </c>
      <c r="Q12">
        <f t="shared" si="0"/>
        <v>12.5</v>
      </c>
      <c r="R12">
        <f t="shared" si="1"/>
        <v>20</v>
      </c>
      <c r="S12">
        <f t="shared" si="2"/>
        <v>19.5</v>
      </c>
      <c r="T12">
        <f t="shared" si="3"/>
        <v>17.333333333333332</v>
      </c>
      <c r="U12">
        <f t="shared" si="4"/>
        <v>12.5</v>
      </c>
      <c r="V12">
        <f t="shared" si="5"/>
        <v>4.8333333333333321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E18A-8B26-4E93-B497-B59E55EFEC0E}">
  <dimension ref="A2:AF10"/>
  <sheetViews>
    <sheetView topLeftCell="J1" workbookViewId="0">
      <selection activeCell="W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91</v>
      </c>
      <c r="C4">
        <v>9</v>
      </c>
      <c r="D4">
        <v>12</v>
      </c>
      <c r="E4">
        <v>88</v>
      </c>
      <c r="G4">
        <v>95</v>
      </c>
      <c r="H4">
        <v>5</v>
      </c>
      <c r="I4">
        <v>32</v>
      </c>
      <c r="J4">
        <v>68</v>
      </c>
      <c r="L4">
        <v>86</v>
      </c>
      <c r="M4">
        <v>14</v>
      </c>
      <c r="N4">
        <v>43</v>
      </c>
      <c r="O4">
        <v>57</v>
      </c>
      <c r="Q4">
        <f>AVERAGE(C4,D4)</f>
        <v>10.5</v>
      </c>
      <c r="R4">
        <f>AVERAGE(H4,I4)</f>
        <v>18.5</v>
      </c>
      <c r="S4">
        <f>AVERAGE(M4,N4)</f>
        <v>28.5</v>
      </c>
      <c r="T4">
        <f>AVERAGE(Q4:S4)</f>
        <v>19.166666666666668</v>
      </c>
      <c r="U4">
        <f>MIN(Q4:S4)</f>
        <v>10.5</v>
      </c>
      <c r="V4">
        <f>T4-U4</f>
        <v>8.6666666666666679</v>
      </c>
      <c r="W4">
        <f>AVERAGE(Q4:Q12)</f>
        <v>11.357142857142858</v>
      </c>
      <c r="X4">
        <f>_xlfn.STDEV.S(Q4:Q12)</f>
        <v>1.5998511835554627</v>
      </c>
      <c r="Y4">
        <f>AVERAGE(R4:R12)</f>
        <v>15.857142857142858</v>
      </c>
      <c r="Z4">
        <f>_xlfn.STDEV.S(R4:R12)</f>
        <v>2.4446248129703831</v>
      </c>
      <c r="AA4">
        <f>AVERAGE(S4:S12)</f>
        <v>27.857142857142858</v>
      </c>
      <c r="AB4">
        <f>_xlfn.STDEV.S(S4:S12)</f>
        <v>4.2398337793114624</v>
      </c>
      <c r="AC4">
        <f>AVERAGE(T4:T12)</f>
        <v>18.357142857142858</v>
      </c>
      <c r="AD4">
        <f>_xlfn.STDEV.S(T4:T12)</f>
        <v>1.7675798777816591</v>
      </c>
      <c r="AE4">
        <f>AVERAGE(V4:V12)</f>
        <v>7</v>
      </c>
      <c r="AF4">
        <f>_xlfn.STDEV.S(V4:V12)</f>
        <v>2.3765832929119384</v>
      </c>
    </row>
    <row r="5" spans="1:32" x14ac:dyDescent="0.3">
      <c r="B5">
        <v>86</v>
      </c>
      <c r="C5">
        <v>14</v>
      </c>
      <c r="D5">
        <v>11</v>
      </c>
      <c r="E5">
        <v>89</v>
      </c>
      <c r="G5">
        <v>96</v>
      </c>
      <c r="H5">
        <v>4</v>
      </c>
      <c r="I5">
        <v>24</v>
      </c>
      <c r="J5">
        <v>76</v>
      </c>
      <c r="L5">
        <v>77</v>
      </c>
      <c r="M5">
        <v>23</v>
      </c>
      <c r="N5">
        <v>43</v>
      </c>
      <c r="O5">
        <v>57</v>
      </c>
      <c r="Q5">
        <f t="shared" ref="Q5:Q10" si="0">AVERAGE(C5,D5)</f>
        <v>12.5</v>
      </c>
      <c r="R5">
        <f t="shared" ref="R5:R10" si="1">AVERAGE(H5,I5)</f>
        <v>14</v>
      </c>
      <c r="S5">
        <f t="shared" ref="S5:S10" si="2">AVERAGE(M5,N5)</f>
        <v>33</v>
      </c>
      <c r="T5">
        <f t="shared" ref="T5:T10" si="3">AVERAGE(Q5:S5)</f>
        <v>19.833333333333332</v>
      </c>
      <c r="U5">
        <f t="shared" ref="U5:U10" si="4">MIN(Q5:S5)</f>
        <v>12.5</v>
      </c>
      <c r="V5">
        <f t="shared" ref="V5:V10" si="5">T5-U5</f>
        <v>7.3333333333333321</v>
      </c>
    </row>
    <row r="6" spans="1:32" x14ac:dyDescent="0.3">
      <c r="B6">
        <v>89</v>
      </c>
      <c r="C6">
        <v>11</v>
      </c>
      <c r="D6">
        <v>16</v>
      </c>
      <c r="E6">
        <v>84</v>
      </c>
      <c r="G6">
        <v>94</v>
      </c>
      <c r="H6">
        <v>6</v>
      </c>
      <c r="I6">
        <v>24</v>
      </c>
      <c r="J6">
        <v>76</v>
      </c>
      <c r="L6">
        <v>90</v>
      </c>
      <c r="M6">
        <v>10</v>
      </c>
      <c r="N6">
        <v>51</v>
      </c>
      <c r="O6">
        <v>49</v>
      </c>
      <c r="Q6">
        <f t="shared" si="0"/>
        <v>13.5</v>
      </c>
      <c r="R6">
        <f t="shared" si="1"/>
        <v>15</v>
      </c>
      <c r="S6">
        <f t="shared" si="2"/>
        <v>30.5</v>
      </c>
      <c r="T6">
        <f t="shared" si="3"/>
        <v>19.666666666666668</v>
      </c>
      <c r="U6">
        <f t="shared" si="4"/>
        <v>13.5</v>
      </c>
      <c r="V6">
        <f t="shared" si="5"/>
        <v>6.1666666666666679</v>
      </c>
    </row>
    <row r="7" spans="1:32" x14ac:dyDescent="0.3">
      <c r="B7">
        <v>94</v>
      </c>
      <c r="C7">
        <v>6</v>
      </c>
      <c r="D7">
        <v>20</v>
      </c>
      <c r="E7">
        <v>80</v>
      </c>
      <c r="G7">
        <v>100</v>
      </c>
      <c r="H7">
        <v>0</v>
      </c>
      <c r="I7">
        <v>29</v>
      </c>
      <c r="J7">
        <v>71</v>
      </c>
      <c r="L7">
        <v>95</v>
      </c>
      <c r="M7">
        <v>5</v>
      </c>
      <c r="N7">
        <v>36</v>
      </c>
      <c r="O7">
        <v>64</v>
      </c>
      <c r="Q7">
        <f t="shared" si="0"/>
        <v>13</v>
      </c>
      <c r="R7">
        <f t="shared" si="1"/>
        <v>14.5</v>
      </c>
      <c r="S7">
        <f t="shared" si="2"/>
        <v>20.5</v>
      </c>
      <c r="T7">
        <f t="shared" si="3"/>
        <v>16</v>
      </c>
      <c r="U7">
        <f t="shared" si="4"/>
        <v>13</v>
      </c>
      <c r="V7">
        <f t="shared" si="5"/>
        <v>3</v>
      </c>
    </row>
    <row r="8" spans="1:32" x14ac:dyDescent="0.3">
      <c r="B8">
        <v>88</v>
      </c>
      <c r="C8">
        <v>12</v>
      </c>
      <c r="D8">
        <v>9</v>
      </c>
      <c r="E8">
        <v>91</v>
      </c>
      <c r="G8">
        <v>93</v>
      </c>
      <c r="H8">
        <v>7</v>
      </c>
      <c r="I8">
        <v>18</v>
      </c>
      <c r="J8">
        <v>82</v>
      </c>
      <c r="L8">
        <v>81</v>
      </c>
      <c r="M8">
        <v>19</v>
      </c>
      <c r="N8">
        <v>29</v>
      </c>
      <c r="O8">
        <v>71</v>
      </c>
      <c r="Q8">
        <f t="shared" si="0"/>
        <v>10.5</v>
      </c>
      <c r="R8">
        <f t="shared" si="1"/>
        <v>12.5</v>
      </c>
      <c r="S8">
        <f t="shared" si="2"/>
        <v>24</v>
      </c>
      <c r="T8">
        <f t="shared" si="3"/>
        <v>15.666666666666666</v>
      </c>
      <c r="U8">
        <f t="shared" si="4"/>
        <v>10.5</v>
      </c>
      <c r="V8">
        <f t="shared" si="5"/>
        <v>5.1666666666666661</v>
      </c>
    </row>
    <row r="9" spans="1:32" x14ac:dyDescent="0.3">
      <c r="B9">
        <v>90</v>
      </c>
      <c r="C9">
        <v>10</v>
      </c>
      <c r="D9">
        <v>10</v>
      </c>
      <c r="E9">
        <v>90</v>
      </c>
      <c r="G9">
        <v>97</v>
      </c>
      <c r="H9">
        <v>3</v>
      </c>
      <c r="I9">
        <v>34</v>
      </c>
      <c r="J9">
        <v>66</v>
      </c>
      <c r="L9">
        <v>84</v>
      </c>
      <c r="M9">
        <v>16</v>
      </c>
      <c r="N9">
        <v>44</v>
      </c>
      <c r="O9">
        <v>56</v>
      </c>
      <c r="Q9">
        <f t="shared" si="0"/>
        <v>10</v>
      </c>
      <c r="R9">
        <f t="shared" si="1"/>
        <v>18.5</v>
      </c>
      <c r="S9">
        <f t="shared" si="2"/>
        <v>30</v>
      </c>
      <c r="T9">
        <f t="shared" si="3"/>
        <v>19.5</v>
      </c>
      <c r="U9">
        <f t="shared" si="4"/>
        <v>10</v>
      </c>
      <c r="V9">
        <f t="shared" si="5"/>
        <v>9.5</v>
      </c>
    </row>
    <row r="10" spans="1:32" x14ac:dyDescent="0.3">
      <c r="B10">
        <v>93</v>
      </c>
      <c r="C10">
        <v>7</v>
      </c>
      <c r="D10">
        <v>12</v>
      </c>
      <c r="E10">
        <v>88</v>
      </c>
      <c r="G10">
        <v>91</v>
      </c>
      <c r="H10">
        <v>9</v>
      </c>
      <c r="I10">
        <v>27</v>
      </c>
      <c r="J10">
        <v>73</v>
      </c>
      <c r="L10">
        <v>85</v>
      </c>
      <c r="M10">
        <v>15</v>
      </c>
      <c r="N10">
        <v>42</v>
      </c>
      <c r="O10">
        <v>58</v>
      </c>
      <c r="Q10">
        <f t="shared" si="0"/>
        <v>9.5</v>
      </c>
      <c r="R10">
        <f t="shared" si="1"/>
        <v>18</v>
      </c>
      <c r="S10">
        <f t="shared" si="2"/>
        <v>28.5</v>
      </c>
      <c r="T10">
        <f t="shared" si="3"/>
        <v>18.666666666666668</v>
      </c>
      <c r="U10">
        <f t="shared" si="4"/>
        <v>9.5</v>
      </c>
      <c r="V10">
        <f t="shared" si="5"/>
        <v>9.1666666666666679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68C5-0EAB-4233-98F5-D346BC512EB4}">
  <dimension ref="A2:AF38"/>
  <sheetViews>
    <sheetView tabSelected="1" topLeftCell="K31" workbookViewId="0">
      <selection activeCell="W35" sqref="W35:AF35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15</v>
      </c>
      <c r="AC2" t="s">
        <v>16</v>
      </c>
      <c r="AD2" t="s">
        <v>13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78</v>
      </c>
      <c r="C4">
        <v>22</v>
      </c>
      <c r="D4">
        <v>31</v>
      </c>
      <c r="E4">
        <v>69</v>
      </c>
      <c r="G4">
        <v>82</v>
      </c>
      <c r="H4">
        <v>18</v>
      </c>
      <c r="I4">
        <v>14</v>
      </c>
      <c r="J4">
        <v>86</v>
      </c>
      <c r="L4">
        <v>73</v>
      </c>
      <c r="M4">
        <v>27</v>
      </c>
      <c r="N4">
        <v>43</v>
      </c>
      <c r="O4">
        <v>57</v>
      </c>
      <c r="Q4">
        <f>AVERAGE(C4:D4)</f>
        <v>26.5</v>
      </c>
      <c r="R4">
        <f>AVERAGE(H4:I4)</f>
        <v>16</v>
      </c>
      <c r="S4">
        <f>AVERAGE(M4:N4)</f>
        <v>35</v>
      </c>
      <c r="T4">
        <f>AVERAGE(Q4:S4)</f>
        <v>25.833333333333332</v>
      </c>
      <c r="U4">
        <f>AVERAGE(Q4:Q13)</f>
        <v>25.85</v>
      </c>
      <c r="V4">
        <f>_xlfn.STDEV.S(Q4:Q13)</f>
        <v>3.605936463358407</v>
      </c>
      <c r="W4">
        <f>AVERAGE(R4:R13)</f>
        <v>13.2</v>
      </c>
      <c r="X4">
        <f>_xlfn.STDEV.S(R4:R13)</f>
        <v>2.1108186931983393</v>
      </c>
      <c r="Y4">
        <f>AVERAGE(S4:S13)</f>
        <v>34.700000000000003</v>
      </c>
      <c r="Z4">
        <f>_xlfn.STDEV.S(S4:S13)</f>
        <v>3.301514803843836</v>
      </c>
      <c r="AA4">
        <f>AVERAGE(T4:T13)</f>
        <v>24.583333333333332</v>
      </c>
      <c r="AB4">
        <f>_xlfn.STDEV.S(T4:T13)</f>
        <v>1.842988046155374</v>
      </c>
      <c r="AC4">
        <f>MIN(Q4:S4)</f>
        <v>16</v>
      </c>
      <c r="AD4">
        <f>T4-AC4</f>
        <v>9.8333333333333321</v>
      </c>
      <c r="AE4">
        <f>AVERAGE(AD4:AD13)</f>
        <v>11.383333333333333</v>
      </c>
      <c r="AF4">
        <f>_xlfn.STDEV.S(AD4:AD13)</f>
        <v>1.6667592566873919</v>
      </c>
    </row>
    <row r="5" spans="1:32" x14ac:dyDescent="0.3">
      <c r="B5">
        <v>86</v>
      </c>
      <c r="C5">
        <v>14</v>
      </c>
      <c r="D5">
        <v>29</v>
      </c>
      <c r="E5">
        <v>71</v>
      </c>
      <c r="G5">
        <v>92</v>
      </c>
      <c r="H5">
        <v>8</v>
      </c>
      <c r="I5">
        <v>12</v>
      </c>
      <c r="J5">
        <v>88</v>
      </c>
      <c r="L5">
        <v>72</v>
      </c>
      <c r="M5">
        <v>28</v>
      </c>
      <c r="N5">
        <v>47</v>
      </c>
      <c r="O5">
        <v>53</v>
      </c>
      <c r="Q5">
        <f t="shared" ref="Q5:Q13" si="0">AVERAGE(C5:D5)</f>
        <v>21.5</v>
      </c>
      <c r="R5">
        <f t="shared" ref="R5:R13" si="1">AVERAGE(H5:I5)</f>
        <v>10</v>
      </c>
      <c r="S5">
        <f t="shared" ref="S5:S13" si="2">AVERAGE(M5:N5)</f>
        <v>37.5</v>
      </c>
      <c r="T5">
        <f t="shared" ref="T5:T13" si="3">AVERAGE(Q5:S5)</f>
        <v>23</v>
      </c>
      <c r="AC5">
        <f t="shared" ref="AC5:AC13" si="4">MIN(Q5:S5)</f>
        <v>10</v>
      </c>
      <c r="AD5">
        <f t="shared" ref="AD5:AD13" si="5">T5-AC5</f>
        <v>13</v>
      </c>
    </row>
    <row r="6" spans="1:32" x14ac:dyDescent="0.3">
      <c r="B6">
        <v>81</v>
      </c>
      <c r="C6">
        <v>19</v>
      </c>
      <c r="D6">
        <v>29</v>
      </c>
      <c r="E6">
        <v>71</v>
      </c>
      <c r="G6">
        <v>83</v>
      </c>
      <c r="H6">
        <v>17</v>
      </c>
      <c r="I6">
        <v>10</v>
      </c>
      <c r="J6">
        <v>90</v>
      </c>
      <c r="L6">
        <v>79</v>
      </c>
      <c r="M6">
        <v>21</v>
      </c>
      <c r="N6">
        <v>64</v>
      </c>
      <c r="O6">
        <v>36</v>
      </c>
      <c r="Q6">
        <f t="shared" si="0"/>
        <v>24</v>
      </c>
      <c r="R6">
        <f t="shared" si="1"/>
        <v>13.5</v>
      </c>
      <c r="S6">
        <f t="shared" si="2"/>
        <v>42.5</v>
      </c>
      <c r="T6">
        <f t="shared" si="3"/>
        <v>26.666666666666668</v>
      </c>
      <c r="AC6">
        <f t="shared" si="4"/>
        <v>13.5</v>
      </c>
      <c r="AD6">
        <f t="shared" si="5"/>
        <v>13.166666666666668</v>
      </c>
    </row>
    <row r="7" spans="1:32" x14ac:dyDescent="0.3">
      <c r="B7">
        <v>69</v>
      </c>
      <c r="C7">
        <v>31</v>
      </c>
      <c r="D7">
        <v>29</v>
      </c>
      <c r="E7">
        <v>71</v>
      </c>
      <c r="G7">
        <v>84</v>
      </c>
      <c r="H7">
        <v>16</v>
      </c>
      <c r="I7">
        <v>9</v>
      </c>
      <c r="J7">
        <v>91</v>
      </c>
      <c r="L7">
        <v>67</v>
      </c>
      <c r="M7">
        <v>33</v>
      </c>
      <c r="N7">
        <v>31</v>
      </c>
      <c r="O7">
        <v>69</v>
      </c>
      <c r="Q7">
        <f t="shared" si="0"/>
        <v>30</v>
      </c>
      <c r="R7">
        <f t="shared" si="1"/>
        <v>12.5</v>
      </c>
      <c r="S7">
        <f t="shared" si="2"/>
        <v>32</v>
      </c>
      <c r="T7">
        <f t="shared" si="3"/>
        <v>24.833333333333332</v>
      </c>
      <c r="AC7">
        <f t="shared" si="4"/>
        <v>12.5</v>
      </c>
      <c r="AD7">
        <f t="shared" si="5"/>
        <v>12.333333333333332</v>
      </c>
    </row>
    <row r="8" spans="1:32" x14ac:dyDescent="0.3">
      <c r="B8">
        <v>75</v>
      </c>
      <c r="C8">
        <v>25</v>
      </c>
      <c r="D8">
        <v>26</v>
      </c>
      <c r="E8">
        <v>74</v>
      </c>
      <c r="G8">
        <v>82</v>
      </c>
      <c r="H8">
        <v>18</v>
      </c>
      <c r="I8">
        <v>9</v>
      </c>
      <c r="J8">
        <v>91</v>
      </c>
      <c r="L8">
        <v>76</v>
      </c>
      <c r="M8">
        <v>24</v>
      </c>
      <c r="N8">
        <v>45</v>
      </c>
      <c r="O8">
        <v>55</v>
      </c>
      <c r="Q8">
        <f t="shared" si="0"/>
        <v>25.5</v>
      </c>
      <c r="R8">
        <f t="shared" si="1"/>
        <v>13.5</v>
      </c>
      <c r="S8">
        <f t="shared" si="2"/>
        <v>34.5</v>
      </c>
      <c r="T8">
        <f t="shared" si="3"/>
        <v>24.5</v>
      </c>
      <c r="AC8">
        <f t="shared" si="4"/>
        <v>13.5</v>
      </c>
      <c r="AD8">
        <f t="shared" si="5"/>
        <v>11</v>
      </c>
    </row>
    <row r="9" spans="1:32" x14ac:dyDescent="0.3">
      <c r="B9">
        <v>79</v>
      </c>
      <c r="C9">
        <v>21</v>
      </c>
      <c r="D9">
        <v>21</v>
      </c>
      <c r="E9">
        <v>79</v>
      </c>
      <c r="G9">
        <v>74</v>
      </c>
      <c r="H9">
        <v>26</v>
      </c>
      <c r="I9">
        <v>4</v>
      </c>
      <c r="J9">
        <v>96</v>
      </c>
      <c r="L9">
        <v>77</v>
      </c>
      <c r="M9">
        <v>23</v>
      </c>
      <c r="N9">
        <v>40</v>
      </c>
      <c r="O9">
        <v>60</v>
      </c>
      <c r="Q9">
        <f t="shared" si="0"/>
        <v>21</v>
      </c>
      <c r="R9">
        <f t="shared" si="1"/>
        <v>15</v>
      </c>
      <c r="S9">
        <f t="shared" si="2"/>
        <v>31.5</v>
      </c>
      <c r="T9">
        <f t="shared" si="3"/>
        <v>22.5</v>
      </c>
      <c r="AC9">
        <f t="shared" si="4"/>
        <v>15</v>
      </c>
      <c r="AD9">
        <f t="shared" si="5"/>
        <v>7.5</v>
      </c>
    </row>
    <row r="10" spans="1:32" x14ac:dyDescent="0.3">
      <c r="B10">
        <v>86</v>
      </c>
      <c r="C10">
        <v>14</v>
      </c>
      <c r="D10">
        <v>33</v>
      </c>
      <c r="E10">
        <v>67</v>
      </c>
      <c r="G10">
        <v>88</v>
      </c>
      <c r="H10">
        <v>12</v>
      </c>
      <c r="I10">
        <v>9</v>
      </c>
      <c r="J10">
        <v>91</v>
      </c>
      <c r="L10">
        <v>88</v>
      </c>
      <c r="M10">
        <v>12</v>
      </c>
      <c r="N10">
        <v>53</v>
      </c>
      <c r="O10">
        <v>47</v>
      </c>
      <c r="Q10">
        <f t="shared" si="0"/>
        <v>23.5</v>
      </c>
      <c r="R10">
        <f t="shared" si="1"/>
        <v>10.5</v>
      </c>
      <c r="S10">
        <f t="shared" si="2"/>
        <v>32.5</v>
      </c>
      <c r="T10">
        <f t="shared" si="3"/>
        <v>22.166666666666668</v>
      </c>
      <c r="AC10">
        <f t="shared" si="4"/>
        <v>10.5</v>
      </c>
      <c r="AD10">
        <f t="shared" si="5"/>
        <v>11.666666666666668</v>
      </c>
    </row>
    <row r="11" spans="1:32" x14ac:dyDescent="0.3">
      <c r="B11">
        <v>69</v>
      </c>
      <c r="C11">
        <v>31</v>
      </c>
      <c r="D11">
        <v>33</v>
      </c>
      <c r="E11">
        <v>67</v>
      </c>
      <c r="G11">
        <v>78</v>
      </c>
      <c r="H11">
        <v>22</v>
      </c>
      <c r="I11">
        <v>10</v>
      </c>
      <c r="J11">
        <v>90</v>
      </c>
      <c r="L11">
        <v>74</v>
      </c>
      <c r="M11">
        <v>26</v>
      </c>
      <c r="N11">
        <v>45</v>
      </c>
      <c r="O11">
        <v>55</v>
      </c>
      <c r="Q11">
        <f t="shared" si="0"/>
        <v>32</v>
      </c>
      <c r="R11">
        <f t="shared" si="1"/>
        <v>16</v>
      </c>
      <c r="S11">
        <f t="shared" si="2"/>
        <v>35.5</v>
      </c>
      <c r="T11">
        <f t="shared" si="3"/>
        <v>27.833333333333332</v>
      </c>
      <c r="AC11">
        <f t="shared" si="4"/>
        <v>16</v>
      </c>
      <c r="AD11">
        <f t="shared" si="5"/>
        <v>11.833333333333332</v>
      </c>
    </row>
    <row r="12" spans="1:32" x14ac:dyDescent="0.3">
      <c r="B12">
        <v>73</v>
      </c>
      <c r="C12">
        <v>27</v>
      </c>
      <c r="D12">
        <v>24</v>
      </c>
      <c r="E12">
        <v>76</v>
      </c>
      <c r="G12">
        <v>86</v>
      </c>
      <c r="H12">
        <v>14</v>
      </c>
      <c r="I12">
        <v>9</v>
      </c>
      <c r="J12">
        <v>91</v>
      </c>
      <c r="L12">
        <v>77</v>
      </c>
      <c r="M12">
        <v>23</v>
      </c>
      <c r="N12">
        <v>44</v>
      </c>
      <c r="O12">
        <v>56</v>
      </c>
      <c r="Q12">
        <f t="shared" si="0"/>
        <v>25.5</v>
      </c>
      <c r="R12">
        <f t="shared" si="1"/>
        <v>11.5</v>
      </c>
      <c r="S12">
        <f t="shared" si="2"/>
        <v>33.5</v>
      </c>
      <c r="T12">
        <f t="shared" si="3"/>
        <v>23.5</v>
      </c>
      <c r="AC12">
        <f t="shared" si="4"/>
        <v>11.5</v>
      </c>
      <c r="AD12">
        <f t="shared" si="5"/>
        <v>12</v>
      </c>
    </row>
    <row r="13" spans="1:32" x14ac:dyDescent="0.3">
      <c r="B13">
        <v>74</v>
      </c>
      <c r="C13">
        <v>26</v>
      </c>
      <c r="D13">
        <v>32</v>
      </c>
      <c r="E13">
        <v>68</v>
      </c>
      <c r="G13">
        <v>85</v>
      </c>
      <c r="H13">
        <v>15</v>
      </c>
      <c r="I13">
        <v>12</v>
      </c>
      <c r="J13">
        <v>88</v>
      </c>
      <c r="L13">
        <v>80</v>
      </c>
      <c r="M13">
        <v>20</v>
      </c>
      <c r="N13">
        <v>45</v>
      </c>
      <c r="O13">
        <v>55</v>
      </c>
      <c r="Q13">
        <f t="shared" si="0"/>
        <v>29</v>
      </c>
      <c r="R13">
        <f t="shared" si="1"/>
        <v>13.5</v>
      </c>
      <c r="S13">
        <f t="shared" si="2"/>
        <v>32.5</v>
      </c>
      <c r="T13">
        <f t="shared" si="3"/>
        <v>25</v>
      </c>
      <c r="AC13">
        <f t="shared" si="4"/>
        <v>13.5</v>
      </c>
      <c r="AD13">
        <f t="shared" si="5"/>
        <v>11.5</v>
      </c>
    </row>
    <row r="15" spans="1:32" x14ac:dyDescent="0.3">
      <c r="A15" t="s">
        <v>19</v>
      </c>
    </row>
    <row r="16" spans="1:32" x14ac:dyDescent="0.3">
      <c r="B16">
        <v>80</v>
      </c>
      <c r="C16">
        <v>20</v>
      </c>
      <c r="D16">
        <v>25</v>
      </c>
      <c r="E16">
        <v>75</v>
      </c>
      <c r="G16">
        <v>85</v>
      </c>
      <c r="H16">
        <v>15</v>
      </c>
      <c r="I16">
        <v>8</v>
      </c>
      <c r="J16">
        <v>92</v>
      </c>
      <c r="L16">
        <v>78</v>
      </c>
      <c r="M16">
        <v>22</v>
      </c>
      <c r="N16">
        <v>56</v>
      </c>
      <c r="O16">
        <v>44</v>
      </c>
      <c r="Q16">
        <f t="shared" ref="Q16:Q19" si="6">AVERAGE(C16:D16)</f>
        <v>22.5</v>
      </c>
      <c r="R16">
        <f t="shared" ref="R16:R19" si="7">AVERAGE(H16:I16)</f>
        <v>11.5</v>
      </c>
      <c r="S16">
        <f t="shared" ref="S16:S19" si="8">AVERAGE(M16:N16)</f>
        <v>39</v>
      </c>
      <c r="T16">
        <f t="shared" ref="T16:T19" si="9">AVERAGE(Q16:S16)</f>
        <v>24.333333333333332</v>
      </c>
      <c r="U16">
        <f>AVERAGE(Q16:Q38)</f>
        <v>18.1875</v>
      </c>
      <c r="V16">
        <f>_xlfn.STDEV.S(Q16:Q38)</f>
        <v>8.2805171508616713</v>
      </c>
      <c r="W16">
        <f>AVERAGE(R16:R38)</f>
        <v>15.75</v>
      </c>
      <c r="X16">
        <f>_xlfn.STDEV.S(R16:R38)</f>
        <v>5.4967522878774258</v>
      </c>
      <c r="Y16">
        <f>AVERAGE(S16:S38)</f>
        <v>31.0625</v>
      </c>
      <c r="Z16">
        <f>_xlfn.STDEV.S(S16:S38)</f>
        <v>5.716126935509493</v>
      </c>
      <c r="AA16">
        <f>AVERAGE(T16:T38)</f>
        <v>21.666666666666668</v>
      </c>
      <c r="AB16">
        <f>_xlfn.STDEV.S(T16:T38)</f>
        <v>2.8840007485193628</v>
      </c>
      <c r="AC16">
        <f t="shared" ref="AC16:AC19" si="10">MIN(Q16:S16)</f>
        <v>11.5</v>
      </c>
      <c r="AD16">
        <f t="shared" ref="AD16:AD19" si="11">T16-AC16</f>
        <v>12.833333333333332</v>
      </c>
      <c r="AE16">
        <f>AVERAGE(AD16:AD38)</f>
        <v>10.606538414090222</v>
      </c>
      <c r="AF16">
        <f>_xlfn.STDEV.S(AD16:AD38)</f>
        <v>5.7447087470154301</v>
      </c>
    </row>
    <row r="17" spans="2:30" x14ac:dyDescent="0.3">
      <c r="B17">
        <v>88</v>
      </c>
      <c r="C17">
        <v>12</v>
      </c>
      <c r="D17">
        <v>53</v>
      </c>
      <c r="E17">
        <v>47</v>
      </c>
      <c r="G17">
        <v>91</v>
      </c>
      <c r="H17">
        <v>9</v>
      </c>
      <c r="I17">
        <v>13</v>
      </c>
      <c r="J17">
        <v>87</v>
      </c>
      <c r="L17">
        <v>95</v>
      </c>
      <c r="M17">
        <v>5</v>
      </c>
      <c r="N17">
        <v>68</v>
      </c>
      <c r="O17">
        <v>32</v>
      </c>
      <c r="Q17">
        <f t="shared" si="6"/>
        <v>32.5</v>
      </c>
      <c r="R17">
        <f t="shared" si="7"/>
        <v>11</v>
      </c>
      <c r="S17">
        <f t="shared" si="8"/>
        <v>36.5</v>
      </c>
      <c r="T17">
        <f t="shared" si="9"/>
        <v>26.666666666666668</v>
      </c>
      <c r="AC17">
        <f t="shared" si="10"/>
        <v>11</v>
      </c>
      <c r="AD17">
        <f t="shared" si="11"/>
        <v>15.666666666666668</v>
      </c>
    </row>
    <row r="18" spans="2:30" x14ac:dyDescent="0.3">
      <c r="B18">
        <v>97</v>
      </c>
      <c r="C18">
        <v>3</v>
      </c>
      <c r="D18">
        <v>41</v>
      </c>
      <c r="E18">
        <v>59</v>
      </c>
      <c r="G18">
        <v>84</v>
      </c>
      <c r="H18">
        <v>16</v>
      </c>
      <c r="I18">
        <v>10</v>
      </c>
      <c r="J18">
        <v>90</v>
      </c>
      <c r="L18">
        <v>85</v>
      </c>
      <c r="M18">
        <v>15</v>
      </c>
      <c r="N18">
        <v>56</v>
      </c>
      <c r="O18">
        <v>44</v>
      </c>
      <c r="Q18">
        <f t="shared" si="6"/>
        <v>22</v>
      </c>
      <c r="R18">
        <f t="shared" si="7"/>
        <v>13</v>
      </c>
      <c r="S18">
        <f t="shared" si="8"/>
        <v>35.5</v>
      </c>
      <c r="T18">
        <f t="shared" si="9"/>
        <v>23.5</v>
      </c>
      <c r="AC18">
        <f t="shared" si="10"/>
        <v>13</v>
      </c>
      <c r="AD18">
        <f t="shared" si="11"/>
        <v>10.5</v>
      </c>
    </row>
    <row r="19" spans="2:30" x14ac:dyDescent="0.3">
      <c r="B19">
        <v>83</v>
      </c>
      <c r="C19">
        <v>17</v>
      </c>
      <c r="D19">
        <v>30</v>
      </c>
      <c r="E19">
        <v>70</v>
      </c>
      <c r="G19">
        <v>89</v>
      </c>
      <c r="H19">
        <v>11</v>
      </c>
      <c r="I19">
        <v>5</v>
      </c>
      <c r="J19">
        <v>95</v>
      </c>
      <c r="L19">
        <v>79</v>
      </c>
      <c r="M19">
        <v>21</v>
      </c>
      <c r="N19">
        <v>43</v>
      </c>
      <c r="O19">
        <v>57</v>
      </c>
      <c r="Q19">
        <f t="shared" si="6"/>
        <v>23.5</v>
      </c>
      <c r="R19">
        <f t="shared" si="7"/>
        <v>8</v>
      </c>
      <c r="S19">
        <f t="shared" si="8"/>
        <v>32</v>
      </c>
      <c r="T19">
        <f t="shared" si="9"/>
        <v>21.166666666666668</v>
      </c>
      <c r="AC19">
        <f t="shared" si="10"/>
        <v>8</v>
      </c>
      <c r="AD19">
        <f t="shared" si="11"/>
        <v>13.166666666666668</v>
      </c>
    </row>
    <row r="33" spans="1:32" x14ac:dyDescent="0.3">
      <c r="Q33" t="s">
        <v>10</v>
      </c>
      <c r="R33" t="s">
        <v>11</v>
      </c>
      <c r="S33" t="s">
        <v>12</v>
      </c>
      <c r="T33" t="s">
        <v>14</v>
      </c>
      <c r="U33" t="s">
        <v>16</v>
      </c>
      <c r="V33" t="s">
        <v>13</v>
      </c>
      <c r="W33" t="s">
        <v>27</v>
      </c>
      <c r="X33" t="s">
        <v>22</v>
      </c>
      <c r="Y33" t="s">
        <v>28</v>
      </c>
      <c r="Z33" t="s">
        <v>23</v>
      </c>
      <c r="AA33" t="s">
        <v>29</v>
      </c>
      <c r="AB33" t="s">
        <v>24</v>
      </c>
      <c r="AC33" t="s">
        <v>0</v>
      </c>
      <c r="AD33" t="s">
        <v>15</v>
      </c>
      <c r="AE33" t="s">
        <v>17</v>
      </c>
      <c r="AF33" t="s">
        <v>18</v>
      </c>
    </row>
    <row r="34" spans="1:32" x14ac:dyDescent="0.3">
      <c r="A34" t="s">
        <v>34</v>
      </c>
    </row>
    <row r="35" spans="1:32" x14ac:dyDescent="0.3">
      <c r="B35">
        <v>94</v>
      </c>
      <c r="C35">
        <v>6</v>
      </c>
      <c r="D35">
        <v>17</v>
      </c>
      <c r="E35">
        <v>83</v>
      </c>
      <c r="G35">
        <v>97</v>
      </c>
      <c r="H35">
        <v>3</v>
      </c>
      <c r="I35">
        <v>36</v>
      </c>
      <c r="J35">
        <v>64</v>
      </c>
      <c r="L35">
        <v>93</v>
      </c>
      <c r="M35">
        <v>7</v>
      </c>
      <c r="N35">
        <v>51</v>
      </c>
      <c r="O35">
        <v>49</v>
      </c>
      <c r="Q35">
        <f>AVERAGE(C35,D35)</f>
        <v>11.5</v>
      </c>
      <c r="R35">
        <f>AVERAGE(H35,I35)</f>
        <v>19.5</v>
      </c>
      <c r="S35">
        <f>AVERAGE(M35,N35)</f>
        <v>29</v>
      </c>
      <c r="T35">
        <f>AVERAGE(Q35:S35)</f>
        <v>20</v>
      </c>
      <c r="U35">
        <f>MIN(Q35:S35)</f>
        <v>11.5</v>
      </c>
      <c r="V35">
        <f>T35-U35</f>
        <v>8.5</v>
      </c>
      <c r="W35">
        <f>AVERAGE(Q35:Q43)</f>
        <v>11.25</v>
      </c>
      <c r="X35">
        <f>_xlfn.STDEV.S(Q35:Q43)</f>
        <v>2.6614532371118851</v>
      </c>
      <c r="Y35">
        <f>AVERAGE(R35:R43)</f>
        <v>20.625</v>
      </c>
      <c r="Z35">
        <f>_xlfn.STDEV.S(R35:R43)</f>
        <v>1.6520189667999174</v>
      </c>
      <c r="AA35">
        <f>AVERAGE(S35:S43)</f>
        <v>26.375</v>
      </c>
      <c r="AB35">
        <f>_xlfn.STDEV.S(S35:S43)</f>
        <v>3.0379543555930306</v>
      </c>
      <c r="AC35">
        <f>AVERAGE(T35:T43)</f>
        <v>19.416666666666668</v>
      </c>
      <c r="AD35">
        <f>_xlfn.STDEV.S(T35:T43)</f>
        <v>0.86602540378443804</v>
      </c>
      <c r="AE35">
        <f>AVERAGE(V35:V43)</f>
        <v>8.1666666666666679</v>
      </c>
      <c r="AF35">
        <f>_xlfn.STDEV.S(V35:V43)</f>
        <v>2.9344694769431672</v>
      </c>
    </row>
    <row r="36" spans="1:32" x14ac:dyDescent="0.3">
      <c r="B36">
        <v>87</v>
      </c>
      <c r="C36">
        <v>13</v>
      </c>
      <c r="D36">
        <v>16</v>
      </c>
      <c r="E36">
        <v>84</v>
      </c>
      <c r="G36">
        <v>92</v>
      </c>
      <c r="H36">
        <v>8</v>
      </c>
      <c r="I36">
        <v>33</v>
      </c>
      <c r="J36">
        <v>67</v>
      </c>
      <c r="L36">
        <v>85</v>
      </c>
      <c r="M36">
        <v>15</v>
      </c>
      <c r="N36">
        <v>32</v>
      </c>
      <c r="O36">
        <v>68</v>
      </c>
      <c r="Q36">
        <f t="shared" ref="Q36:Q38" si="12">AVERAGE(C36,D36)</f>
        <v>14.5</v>
      </c>
      <c r="R36">
        <f t="shared" ref="R36:R38" si="13">AVERAGE(H36,I36)</f>
        <v>20.5</v>
      </c>
      <c r="S36">
        <f t="shared" ref="S36:S38" si="14">AVERAGE(M36,N36)</f>
        <v>23.5</v>
      </c>
      <c r="T36">
        <f t="shared" ref="T36:T38" si="15">AVERAGE(Q36:S36)</f>
        <v>19.5</v>
      </c>
      <c r="U36">
        <f t="shared" ref="U36:U38" si="16">MIN(Q36:S36)</f>
        <v>14.5</v>
      </c>
      <c r="V36">
        <f t="shared" ref="V36:V38" si="17">T36-U36</f>
        <v>5</v>
      </c>
    </row>
    <row r="37" spans="1:32" x14ac:dyDescent="0.3">
      <c r="B37">
        <v>88</v>
      </c>
      <c r="C37">
        <v>12</v>
      </c>
      <c r="D37">
        <v>10</v>
      </c>
      <c r="E37">
        <v>90</v>
      </c>
      <c r="G37">
        <v>96</v>
      </c>
      <c r="H37">
        <v>4</v>
      </c>
      <c r="I37">
        <v>35</v>
      </c>
      <c r="J37">
        <v>65</v>
      </c>
      <c r="L37">
        <v>87</v>
      </c>
      <c r="M37">
        <v>13</v>
      </c>
      <c r="N37">
        <v>35</v>
      </c>
      <c r="O37">
        <v>65</v>
      </c>
      <c r="Q37">
        <f t="shared" si="12"/>
        <v>11</v>
      </c>
      <c r="R37">
        <f t="shared" si="13"/>
        <v>19.5</v>
      </c>
      <c r="S37">
        <f t="shared" si="14"/>
        <v>24</v>
      </c>
      <c r="T37">
        <f t="shared" si="15"/>
        <v>18.166666666666668</v>
      </c>
      <c r="U37">
        <f t="shared" si="16"/>
        <v>11</v>
      </c>
      <c r="V37">
        <f t="shared" si="17"/>
        <v>7.1666666666666679</v>
      </c>
    </row>
    <row r="38" spans="1:32" x14ac:dyDescent="0.3">
      <c r="B38">
        <v>92</v>
      </c>
      <c r="C38">
        <v>8</v>
      </c>
      <c r="D38">
        <v>8</v>
      </c>
      <c r="E38">
        <v>92</v>
      </c>
      <c r="G38">
        <v>97</v>
      </c>
      <c r="H38">
        <v>3</v>
      </c>
      <c r="I38">
        <v>43</v>
      </c>
      <c r="J38">
        <v>57</v>
      </c>
      <c r="L38">
        <v>75</v>
      </c>
      <c r="M38">
        <v>25</v>
      </c>
      <c r="N38">
        <v>33</v>
      </c>
      <c r="O38">
        <v>67</v>
      </c>
      <c r="Q38">
        <f t="shared" si="12"/>
        <v>8</v>
      </c>
      <c r="R38">
        <f t="shared" si="13"/>
        <v>23</v>
      </c>
      <c r="S38">
        <f t="shared" si="14"/>
        <v>29</v>
      </c>
      <c r="T38">
        <f t="shared" si="15"/>
        <v>20</v>
      </c>
      <c r="U38">
        <f t="shared" si="16"/>
        <v>8</v>
      </c>
      <c r="V38">
        <f t="shared" si="17"/>
        <v>12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A91D-5E11-4BE7-9F8B-616A902FA88F}">
  <dimension ref="A2:AF13"/>
  <sheetViews>
    <sheetView topLeftCell="K1" workbookViewId="0">
      <selection activeCell="W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95</v>
      </c>
      <c r="C4">
        <v>5</v>
      </c>
      <c r="D4">
        <v>14</v>
      </c>
      <c r="E4">
        <v>86</v>
      </c>
      <c r="G4">
        <v>95</v>
      </c>
      <c r="H4">
        <v>5</v>
      </c>
      <c r="I4">
        <v>24</v>
      </c>
      <c r="J4">
        <v>76</v>
      </c>
      <c r="L4">
        <v>85</v>
      </c>
      <c r="M4">
        <v>15</v>
      </c>
      <c r="N4">
        <v>42</v>
      </c>
      <c r="O4">
        <v>58</v>
      </c>
      <c r="Q4">
        <f>AVERAGE(C4,D4)</f>
        <v>9.5</v>
      </c>
      <c r="R4">
        <f>AVERAGE(H4,I4)</f>
        <v>14.5</v>
      </c>
      <c r="S4">
        <f>AVERAGE(M4,N4)</f>
        <v>28.5</v>
      </c>
      <c r="T4">
        <f>AVERAGE(Q4:S4)</f>
        <v>17.5</v>
      </c>
      <c r="U4">
        <f>MIN(Q4:S4)</f>
        <v>9.5</v>
      </c>
      <c r="V4">
        <f>T4-U4</f>
        <v>8</v>
      </c>
      <c r="W4">
        <f>AVERAGE(Q4:Q12)</f>
        <v>11.666666666666666</v>
      </c>
      <c r="X4">
        <f>_xlfn.STDEV.S(Q4:Q12)</f>
        <v>2.4494897427831779</v>
      </c>
      <c r="Y4">
        <f>AVERAGE(R4:R12)</f>
        <v>15.555555555555555</v>
      </c>
      <c r="Z4">
        <f>_xlfn.STDEV.S(R4:R12)</f>
        <v>1.8782379449307725</v>
      </c>
      <c r="AA4">
        <f>AVERAGE(S4:S12)</f>
        <v>26.5</v>
      </c>
      <c r="AB4">
        <f>_xlfn.STDEV.S(S4:S12)</f>
        <v>2.8722813232690143</v>
      </c>
      <c r="AC4">
        <f>AVERAGE(T4:T12)</f>
        <v>17.907407407407405</v>
      </c>
      <c r="AD4">
        <f>_xlfn.STDEV.S(T4:T12)</f>
        <v>1.1699688715918157</v>
      </c>
      <c r="AE4">
        <f>AVERAGE(V4:V12)</f>
        <v>6.2962962962962949</v>
      </c>
      <c r="AF4">
        <f>_xlfn.STDEV.S(V4:V12)</f>
        <v>1.8815215802084584</v>
      </c>
    </row>
    <row r="5" spans="1:32" x14ac:dyDescent="0.3">
      <c r="B5">
        <v>88</v>
      </c>
      <c r="C5">
        <v>12</v>
      </c>
      <c r="D5">
        <v>15</v>
      </c>
      <c r="E5">
        <v>85</v>
      </c>
      <c r="G5">
        <v>98</v>
      </c>
      <c r="H5">
        <v>2</v>
      </c>
      <c r="I5">
        <v>34</v>
      </c>
      <c r="J5">
        <v>66</v>
      </c>
      <c r="L5">
        <v>90</v>
      </c>
      <c r="M5">
        <v>10</v>
      </c>
      <c r="N5">
        <v>33</v>
      </c>
      <c r="O5">
        <v>67</v>
      </c>
      <c r="Q5">
        <f t="shared" ref="Q5:Q13" si="0">AVERAGE(C5,D5)</f>
        <v>13.5</v>
      </c>
      <c r="R5">
        <f t="shared" ref="R5:R13" si="1">AVERAGE(H5,I5)</f>
        <v>18</v>
      </c>
      <c r="S5">
        <f t="shared" ref="S5:S13" si="2">AVERAGE(M5,N5)</f>
        <v>21.5</v>
      </c>
      <c r="T5">
        <f t="shared" ref="T5:T13" si="3">AVERAGE(Q5:S5)</f>
        <v>17.666666666666668</v>
      </c>
      <c r="U5">
        <f t="shared" ref="U5:U13" si="4">MIN(Q5:S5)</f>
        <v>13.5</v>
      </c>
      <c r="V5">
        <f t="shared" ref="V5:V13" si="5">T5-U5</f>
        <v>4.1666666666666679</v>
      </c>
    </row>
    <row r="6" spans="1:32" x14ac:dyDescent="0.3">
      <c r="B6">
        <v>94</v>
      </c>
      <c r="C6">
        <v>6</v>
      </c>
      <c r="D6">
        <v>19</v>
      </c>
      <c r="E6">
        <v>81</v>
      </c>
      <c r="G6">
        <v>99</v>
      </c>
      <c r="H6">
        <v>1</v>
      </c>
      <c r="I6">
        <v>33</v>
      </c>
      <c r="J6">
        <v>67</v>
      </c>
      <c r="L6">
        <v>75</v>
      </c>
      <c r="M6">
        <v>25</v>
      </c>
      <c r="N6">
        <v>26</v>
      </c>
      <c r="O6">
        <v>74</v>
      </c>
      <c r="Q6">
        <f t="shared" si="0"/>
        <v>12.5</v>
      </c>
      <c r="R6">
        <f t="shared" si="1"/>
        <v>17</v>
      </c>
      <c r="S6">
        <f t="shared" si="2"/>
        <v>25.5</v>
      </c>
      <c r="T6">
        <f t="shared" si="3"/>
        <v>18.333333333333332</v>
      </c>
      <c r="U6">
        <f t="shared" si="4"/>
        <v>12.5</v>
      </c>
      <c r="V6">
        <f t="shared" si="5"/>
        <v>5.8333333333333321</v>
      </c>
    </row>
    <row r="7" spans="1:32" x14ac:dyDescent="0.3">
      <c r="B7">
        <v>88</v>
      </c>
      <c r="C7">
        <v>12</v>
      </c>
      <c r="D7">
        <v>18</v>
      </c>
      <c r="E7">
        <v>82</v>
      </c>
      <c r="G7">
        <v>99</v>
      </c>
      <c r="H7">
        <v>1</v>
      </c>
      <c r="I7">
        <v>30</v>
      </c>
      <c r="J7">
        <v>70</v>
      </c>
      <c r="L7">
        <v>86</v>
      </c>
      <c r="M7">
        <v>14</v>
      </c>
      <c r="N7">
        <v>32</v>
      </c>
      <c r="O7">
        <v>68</v>
      </c>
      <c r="Q7">
        <f t="shared" si="0"/>
        <v>15</v>
      </c>
      <c r="R7">
        <f t="shared" si="1"/>
        <v>15.5</v>
      </c>
      <c r="S7">
        <f t="shared" si="2"/>
        <v>23</v>
      </c>
      <c r="T7">
        <f t="shared" si="3"/>
        <v>17.833333333333332</v>
      </c>
      <c r="U7">
        <f t="shared" si="4"/>
        <v>15</v>
      </c>
      <c r="V7">
        <f t="shared" si="5"/>
        <v>2.8333333333333321</v>
      </c>
    </row>
    <row r="8" spans="1:32" x14ac:dyDescent="0.3">
      <c r="B8">
        <v>91</v>
      </c>
      <c r="C8">
        <v>9</v>
      </c>
      <c r="D8">
        <v>8</v>
      </c>
      <c r="E8">
        <v>92</v>
      </c>
      <c r="G8">
        <v>95</v>
      </c>
      <c r="H8">
        <v>5</v>
      </c>
      <c r="I8">
        <v>21</v>
      </c>
      <c r="J8">
        <v>79</v>
      </c>
      <c r="L8">
        <v>86</v>
      </c>
      <c r="M8">
        <v>14</v>
      </c>
      <c r="N8">
        <v>42</v>
      </c>
      <c r="O8">
        <v>58</v>
      </c>
      <c r="Q8">
        <f t="shared" si="0"/>
        <v>8.5</v>
      </c>
      <c r="R8">
        <f t="shared" si="1"/>
        <v>13</v>
      </c>
      <c r="S8">
        <f t="shared" si="2"/>
        <v>28</v>
      </c>
      <c r="T8">
        <f t="shared" si="3"/>
        <v>16.5</v>
      </c>
      <c r="U8">
        <f t="shared" si="4"/>
        <v>8.5</v>
      </c>
      <c r="V8">
        <f t="shared" si="5"/>
        <v>8</v>
      </c>
    </row>
    <row r="9" spans="1:32" x14ac:dyDescent="0.3">
      <c r="B9">
        <v>92</v>
      </c>
      <c r="C9">
        <v>8</v>
      </c>
      <c r="D9">
        <v>17</v>
      </c>
      <c r="E9">
        <v>83</v>
      </c>
      <c r="G9">
        <v>95</v>
      </c>
      <c r="H9">
        <v>5</v>
      </c>
      <c r="I9">
        <v>30</v>
      </c>
      <c r="J9">
        <v>70</v>
      </c>
      <c r="L9">
        <v>89</v>
      </c>
      <c r="M9">
        <v>11</v>
      </c>
      <c r="N9">
        <v>49</v>
      </c>
      <c r="O9">
        <v>51</v>
      </c>
      <c r="Q9">
        <f t="shared" si="0"/>
        <v>12.5</v>
      </c>
      <c r="R9">
        <f t="shared" si="1"/>
        <v>17.5</v>
      </c>
      <c r="S9">
        <f t="shared" si="2"/>
        <v>30</v>
      </c>
      <c r="T9">
        <f t="shared" si="3"/>
        <v>20</v>
      </c>
      <c r="U9">
        <f t="shared" si="4"/>
        <v>12.5</v>
      </c>
      <c r="V9">
        <f t="shared" si="5"/>
        <v>7.5</v>
      </c>
    </row>
    <row r="10" spans="1:32" x14ac:dyDescent="0.3">
      <c r="B10">
        <v>94</v>
      </c>
      <c r="C10">
        <v>6</v>
      </c>
      <c r="D10">
        <v>23</v>
      </c>
      <c r="E10">
        <v>77</v>
      </c>
      <c r="G10">
        <v>97</v>
      </c>
      <c r="H10">
        <v>3</v>
      </c>
      <c r="I10">
        <v>25</v>
      </c>
      <c r="J10">
        <v>75</v>
      </c>
      <c r="L10">
        <v>76</v>
      </c>
      <c r="M10">
        <v>24</v>
      </c>
      <c r="N10">
        <v>35</v>
      </c>
      <c r="O10">
        <v>65</v>
      </c>
      <c r="Q10">
        <f t="shared" si="0"/>
        <v>14.5</v>
      </c>
      <c r="R10">
        <f t="shared" si="1"/>
        <v>14</v>
      </c>
      <c r="S10">
        <f t="shared" si="2"/>
        <v>29.5</v>
      </c>
      <c r="T10">
        <f t="shared" si="3"/>
        <v>19.333333333333332</v>
      </c>
      <c r="U10">
        <f t="shared" si="4"/>
        <v>14</v>
      </c>
      <c r="V10">
        <f t="shared" si="5"/>
        <v>5.3333333333333321</v>
      </c>
    </row>
    <row r="11" spans="1:32" x14ac:dyDescent="0.3">
      <c r="B11">
        <v>88</v>
      </c>
      <c r="C11">
        <v>12</v>
      </c>
      <c r="D11">
        <v>7</v>
      </c>
      <c r="E11">
        <v>93</v>
      </c>
      <c r="G11">
        <v>95</v>
      </c>
      <c r="H11">
        <v>5</v>
      </c>
      <c r="I11">
        <v>22</v>
      </c>
      <c r="J11">
        <v>78</v>
      </c>
      <c r="L11">
        <v>81</v>
      </c>
      <c r="M11">
        <v>19</v>
      </c>
      <c r="N11">
        <v>34</v>
      </c>
      <c r="O11">
        <v>66</v>
      </c>
      <c r="Q11">
        <f t="shared" si="0"/>
        <v>9.5</v>
      </c>
      <c r="R11">
        <f t="shared" si="1"/>
        <v>13.5</v>
      </c>
      <c r="S11">
        <f t="shared" si="2"/>
        <v>26.5</v>
      </c>
      <c r="T11">
        <f t="shared" si="3"/>
        <v>16.5</v>
      </c>
      <c r="U11">
        <f t="shared" si="4"/>
        <v>9.5</v>
      </c>
      <c r="V11">
        <f t="shared" si="5"/>
        <v>7</v>
      </c>
    </row>
    <row r="12" spans="1:32" x14ac:dyDescent="0.3">
      <c r="B12">
        <v>90</v>
      </c>
      <c r="C12">
        <v>10</v>
      </c>
      <c r="D12">
        <v>9</v>
      </c>
      <c r="E12">
        <v>91</v>
      </c>
      <c r="G12">
        <v>90</v>
      </c>
      <c r="H12">
        <v>10</v>
      </c>
      <c r="I12">
        <v>24</v>
      </c>
      <c r="J12">
        <v>76</v>
      </c>
      <c r="L12">
        <v>86</v>
      </c>
      <c r="M12">
        <v>14</v>
      </c>
      <c r="N12">
        <v>38</v>
      </c>
      <c r="O12">
        <v>62</v>
      </c>
      <c r="Q12">
        <f t="shared" si="0"/>
        <v>9.5</v>
      </c>
      <c r="R12">
        <f t="shared" si="1"/>
        <v>17</v>
      </c>
      <c r="S12">
        <f t="shared" si="2"/>
        <v>26</v>
      </c>
      <c r="T12">
        <f t="shared" si="3"/>
        <v>17.5</v>
      </c>
      <c r="U12">
        <f t="shared" si="4"/>
        <v>9.5</v>
      </c>
      <c r="V12">
        <f t="shared" si="5"/>
        <v>8</v>
      </c>
    </row>
    <row r="13" spans="1:32" x14ac:dyDescent="0.3">
      <c r="B13">
        <v>85</v>
      </c>
      <c r="C13">
        <v>15</v>
      </c>
      <c r="D13">
        <v>13</v>
      </c>
      <c r="E13">
        <v>87</v>
      </c>
      <c r="G13">
        <v>92</v>
      </c>
      <c r="H13">
        <v>8</v>
      </c>
      <c r="I13">
        <v>31</v>
      </c>
      <c r="J13">
        <v>69</v>
      </c>
      <c r="L13">
        <v>78</v>
      </c>
      <c r="M13">
        <v>22</v>
      </c>
      <c r="N13">
        <v>36</v>
      </c>
      <c r="O13">
        <v>64</v>
      </c>
      <c r="Q13">
        <f t="shared" si="0"/>
        <v>14</v>
      </c>
      <c r="R13">
        <f t="shared" si="1"/>
        <v>19.5</v>
      </c>
      <c r="S13">
        <f t="shared" si="2"/>
        <v>29</v>
      </c>
      <c r="T13">
        <f t="shared" si="3"/>
        <v>20.833333333333332</v>
      </c>
      <c r="U13">
        <f t="shared" si="4"/>
        <v>14</v>
      </c>
      <c r="V13">
        <f t="shared" si="5"/>
        <v>6.8333333333333321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B926-3ADF-46D7-8F68-CEFFC1D24F6E}">
  <dimension ref="A2:AF12"/>
  <sheetViews>
    <sheetView topLeftCell="P1" workbookViewId="0">
      <selection activeCell="W4" sqref="W4:AF4"/>
    </sheetView>
  </sheetViews>
  <sheetFormatPr defaultRowHeight="14.4" x14ac:dyDescent="0.3"/>
  <cols>
    <col min="21" max="21" width="10.44140625" customWidth="1"/>
  </cols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87</v>
      </c>
      <c r="C4">
        <v>13</v>
      </c>
      <c r="D4">
        <v>4</v>
      </c>
      <c r="E4">
        <v>96</v>
      </c>
      <c r="G4">
        <v>93</v>
      </c>
      <c r="H4">
        <v>7</v>
      </c>
      <c r="I4">
        <v>26</v>
      </c>
      <c r="J4">
        <v>74</v>
      </c>
      <c r="L4">
        <v>82</v>
      </c>
      <c r="M4">
        <v>18</v>
      </c>
      <c r="N4">
        <v>40</v>
      </c>
      <c r="O4">
        <v>60</v>
      </c>
      <c r="Q4">
        <f>AVERAGE(C4,D4)</f>
        <v>8.5</v>
      </c>
      <c r="R4">
        <f>AVERAGE(H4,I4)</f>
        <v>16.5</v>
      </c>
      <c r="S4">
        <f>AVERAGE(M4,N4)</f>
        <v>29</v>
      </c>
      <c r="T4">
        <f>AVERAGE(Q4:S4)</f>
        <v>18</v>
      </c>
      <c r="U4">
        <f>MIN(Q4:S4)</f>
        <v>8.5</v>
      </c>
      <c r="V4">
        <f>T4-U4</f>
        <v>9.5</v>
      </c>
      <c r="W4">
        <f>AVERAGE(Q4:Q12)</f>
        <v>11.277777777777779</v>
      </c>
      <c r="X4">
        <f>_xlfn.STDEV.S(Q4:Q12)</f>
        <v>2.5385910352879719</v>
      </c>
      <c r="Y4">
        <f>AVERAGE(R4:R12)</f>
        <v>15.555555555555555</v>
      </c>
      <c r="Z4">
        <f>_xlfn.STDEV.S(R4:R12)</f>
        <v>2.2699730786460379</v>
      </c>
      <c r="AA4">
        <f>AVERAGE(S4:S12)</f>
        <v>32.944444444444443</v>
      </c>
      <c r="AB4">
        <f>_xlfn.STDEV.S(S4:S12)</f>
        <v>3.7537018765184094</v>
      </c>
      <c r="AC4">
        <f>AVERAGE(T4:T12)</f>
        <v>19.925925925925927</v>
      </c>
      <c r="AD4">
        <f>_xlfn.STDEV.S(T4:T12)</f>
        <v>1.9023215186959928</v>
      </c>
      <c r="AE4">
        <f>AVERAGE(V4:V12)</f>
        <v>8.6481481481481488</v>
      </c>
      <c r="AF4">
        <f>_xlfn.STDEV.S(V4:V12)</f>
        <v>1.3448576041011246</v>
      </c>
    </row>
    <row r="5" spans="1:32" x14ac:dyDescent="0.3">
      <c r="B5">
        <v>83</v>
      </c>
      <c r="C5">
        <v>17</v>
      </c>
      <c r="D5">
        <v>10</v>
      </c>
      <c r="E5">
        <v>90</v>
      </c>
      <c r="G5">
        <v>97</v>
      </c>
      <c r="H5">
        <v>3</v>
      </c>
      <c r="I5">
        <v>27</v>
      </c>
      <c r="J5">
        <v>73</v>
      </c>
      <c r="L5">
        <v>69</v>
      </c>
      <c r="M5">
        <v>31</v>
      </c>
      <c r="N5">
        <v>47</v>
      </c>
      <c r="O5">
        <v>53</v>
      </c>
      <c r="Q5">
        <f t="shared" ref="Q5:Q15" si="0">AVERAGE(C5,D5)</f>
        <v>13.5</v>
      </c>
      <c r="R5">
        <f t="shared" ref="R5:R15" si="1">AVERAGE(H5,I5)</f>
        <v>15</v>
      </c>
      <c r="S5">
        <f t="shared" ref="S5:S15" si="2">AVERAGE(M5,N5)</f>
        <v>39</v>
      </c>
      <c r="T5">
        <f t="shared" ref="T5:T15" si="3">AVERAGE(Q5:S5)</f>
        <v>22.5</v>
      </c>
      <c r="U5">
        <f t="shared" ref="U5:U15" si="4">MIN(Q5:S5)</f>
        <v>13.5</v>
      </c>
      <c r="V5">
        <f t="shared" ref="V5:V15" si="5">T5-U5</f>
        <v>9</v>
      </c>
    </row>
    <row r="6" spans="1:32" x14ac:dyDescent="0.3">
      <c r="B6">
        <v>86</v>
      </c>
      <c r="C6">
        <v>14</v>
      </c>
      <c r="D6">
        <v>4</v>
      </c>
      <c r="E6">
        <v>96</v>
      </c>
      <c r="G6">
        <v>93</v>
      </c>
      <c r="H6">
        <v>7</v>
      </c>
      <c r="I6">
        <v>31</v>
      </c>
      <c r="J6">
        <v>69</v>
      </c>
      <c r="L6">
        <v>86</v>
      </c>
      <c r="M6">
        <v>14</v>
      </c>
      <c r="N6">
        <v>45</v>
      </c>
      <c r="O6">
        <v>55</v>
      </c>
      <c r="Q6">
        <f t="shared" si="0"/>
        <v>9</v>
      </c>
      <c r="R6">
        <f t="shared" si="1"/>
        <v>19</v>
      </c>
      <c r="S6">
        <f t="shared" si="2"/>
        <v>29.5</v>
      </c>
      <c r="T6">
        <f t="shared" si="3"/>
        <v>19.166666666666668</v>
      </c>
      <c r="U6">
        <f t="shared" si="4"/>
        <v>9</v>
      </c>
      <c r="V6">
        <f t="shared" si="5"/>
        <v>10.166666666666668</v>
      </c>
    </row>
    <row r="7" spans="1:32" x14ac:dyDescent="0.3">
      <c r="B7">
        <v>88</v>
      </c>
      <c r="C7">
        <v>12</v>
      </c>
      <c r="D7">
        <v>11</v>
      </c>
      <c r="E7">
        <v>89</v>
      </c>
      <c r="G7">
        <v>95</v>
      </c>
      <c r="H7">
        <v>5</v>
      </c>
      <c r="I7">
        <v>27</v>
      </c>
      <c r="J7">
        <v>73</v>
      </c>
      <c r="L7">
        <v>79</v>
      </c>
      <c r="M7">
        <v>21</v>
      </c>
      <c r="N7">
        <v>51</v>
      </c>
      <c r="O7">
        <v>49</v>
      </c>
      <c r="Q7">
        <f t="shared" si="0"/>
        <v>11.5</v>
      </c>
      <c r="R7">
        <f t="shared" si="1"/>
        <v>16</v>
      </c>
      <c r="S7">
        <f t="shared" si="2"/>
        <v>36</v>
      </c>
      <c r="T7">
        <f t="shared" si="3"/>
        <v>21.166666666666668</v>
      </c>
      <c r="U7">
        <f t="shared" si="4"/>
        <v>11.5</v>
      </c>
      <c r="V7">
        <f t="shared" si="5"/>
        <v>9.6666666666666679</v>
      </c>
    </row>
    <row r="8" spans="1:32" x14ac:dyDescent="0.3">
      <c r="B8">
        <v>91</v>
      </c>
      <c r="C8">
        <v>9</v>
      </c>
      <c r="D8">
        <v>5</v>
      </c>
      <c r="E8">
        <v>95</v>
      </c>
      <c r="G8">
        <v>96</v>
      </c>
      <c r="H8">
        <v>4</v>
      </c>
      <c r="I8">
        <v>19</v>
      </c>
      <c r="J8">
        <v>81</v>
      </c>
      <c r="L8">
        <v>86</v>
      </c>
      <c r="M8">
        <v>14</v>
      </c>
      <c r="N8">
        <v>47</v>
      </c>
      <c r="O8">
        <v>53</v>
      </c>
      <c r="Q8">
        <f t="shared" si="0"/>
        <v>7</v>
      </c>
      <c r="R8">
        <f t="shared" si="1"/>
        <v>11.5</v>
      </c>
      <c r="S8">
        <f t="shared" si="2"/>
        <v>30.5</v>
      </c>
      <c r="T8">
        <f t="shared" si="3"/>
        <v>16.333333333333332</v>
      </c>
      <c r="U8">
        <f t="shared" si="4"/>
        <v>7</v>
      </c>
      <c r="V8">
        <f t="shared" si="5"/>
        <v>9.3333333333333321</v>
      </c>
    </row>
    <row r="9" spans="1:32" x14ac:dyDescent="0.3">
      <c r="B9">
        <v>85</v>
      </c>
      <c r="C9">
        <v>15</v>
      </c>
      <c r="D9">
        <v>11</v>
      </c>
      <c r="E9">
        <v>89</v>
      </c>
      <c r="G9">
        <v>97</v>
      </c>
      <c r="H9">
        <v>3</v>
      </c>
      <c r="I9">
        <v>33</v>
      </c>
      <c r="J9">
        <v>67</v>
      </c>
      <c r="L9">
        <v>83</v>
      </c>
      <c r="M9">
        <v>17</v>
      </c>
      <c r="N9">
        <v>48</v>
      </c>
      <c r="O9">
        <v>52</v>
      </c>
      <c r="Q9">
        <f t="shared" si="0"/>
        <v>13</v>
      </c>
      <c r="R9">
        <f t="shared" si="1"/>
        <v>18</v>
      </c>
      <c r="S9">
        <f t="shared" si="2"/>
        <v>32.5</v>
      </c>
      <c r="T9">
        <f t="shared" si="3"/>
        <v>21.166666666666668</v>
      </c>
      <c r="U9">
        <f t="shared" si="4"/>
        <v>13</v>
      </c>
      <c r="V9">
        <f t="shared" si="5"/>
        <v>8.1666666666666679</v>
      </c>
    </row>
    <row r="10" spans="1:32" x14ac:dyDescent="0.3">
      <c r="B10">
        <v>85</v>
      </c>
      <c r="C10">
        <v>15</v>
      </c>
      <c r="D10">
        <v>8</v>
      </c>
      <c r="E10">
        <v>92</v>
      </c>
      <c r="G10">
        <v>91</v>
      </c>
      <c r="H10">
        <v>9</v>
      </c>
      <c r="I10">
        <v>20</v>
      </c>
      <c r="J10">
        <v>80</v>
      </c>
      <c r="L10">
        <v>68</v>
      </c>
      <c r="M10">
        <v>32</v>
      </c>
      <c r="N10">
        <v>36</v>
      </c>
      <c r="O10">
        <v>64</v>
      </c>
      <c r="Q10">
        <f t="shared" si="0"/>
        <v>11.5</v>
      </c>
      <c r="R10">
        <f t="shared" si="1"/>
        <v>14.5</v>
      </c>
      <c r="S10">
        <f t="shared" si="2"/>
        <v>34</v>
      </c>
      <c r="T10">
        <f t="shared" si="3"/>
        <v>20</v>
      </c>
      <c r="U10">
        <f t="shared" si="4"/>
        <v>11.5</v>
      </c>
      <c r="V10">
        <f t="shared" si="5"/>
        <v>8.5</v>
      </c>
    </row>
    <row r="11" spans="1:32" x14ac:dyDescent="0.3">
      <c r="B11">
        <v>87</v>
      </c>
      <c r="C11">
        <v>13</v>
      </c>
      <c r="D11">
        <v>14</v>
      </c>
      <c r="E11">
        <v>86</v>
      </c>
      <c r="G11">
        <v>96</v>
      </c>
      <c r="H11">
        <v>4</v>
      </c>
      <c r="I11">
        <v>23</v>
      </c>
      <c r="J11">
        <v>77</v>
      </c>
      <c r="L11">
        <v>69</v>
      </c>
      <c r="M11">
        <v>31</v>
      </c>
      <c r="N11">
        <v>43</v>
      </c>
      <c r="O11">
        <v>57</v>
      </c>
      <c r="Q11">
        <f t="shared" si="0"/>
        <v>13.5</v>
      </c>
      <c r="R11">
        <f t="shared" si="1"/>
        <v>13.5</v>
      </c>
      <c r="S11">
        <f t="shared" si="2"/>
        <v>37</v>
      </c>
      <c r="T11">
        <f t="shared" si="3"/>
        <v>21.333333333333332</v>
      </c>
      <c r="U11">
        <f t="shared" si="4"/>
        <v>13.5</v>
      </c>
      <c r="V11">
        <f t="shared" si="5"/>
        <v>7.8333333333333321</v>
      </c>
    </row>
    <row r="12" spans="1:32" x14ac:dyDescent="0.3">
      <c r="B12">
        <v>84</v>
      </c>
      <c r="C12">
        <v>16</v>
      </c>
      <c r="D12">
        <v>12</v>
      </c>
      <c r="E12">
        <v>88</v>
      </c>
      <c r="G12">
        <v>93</v>
      </c>
      <c r="H12">
        <v>7</v>
      </c>
      <c r="I12">
        <v>25</v>
      </c>
      <c r="J12">
        <v>75</v>
      </c>
      <c r="L12">
        <v>85</v>
      </c>
      <c r="M12">
        <v>15</v>
      </c>
      <c r="N12">
        <v>43</v>
      </c>
      <c r="O12">
        <v>57</v>
      </c>
      <c r="Q12">
        <f t="shared" si="0"/>
        <v>14</v>
      </c>
      <c r="R12">
        <f t="shared" si="1"/>
        <v>16</v>
      </c>
      <c r="S12">
        <f t="shared" si="2"/>
        <v>29</v>
      </c>
      <c r="T12">
        <f t="shared" si="3"/>
        <v>19.666666666666668</v>
      </c>
      <c r="U12">
        <f t="shared" si="4"/>
        <v>14</v>
      </c>
      <c r="V12">
        <f t="shared" si="5"/>
        <v>5.6666666666666679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Foglio1</vt:lpstr>
      <vt:lpstr>PARBS_DIFF_ONLYMIN</vt:lpstr>
      <vt:lpstr>PARBS_DIFF</vt:lpstr>
      <vt:lpstr>PARBS_STDAUG</vt:lpstr>
      <vt:lpstr>PARBS_NOAUG</vt:lpstr>
      <vt:lpstr>MIT_DIFF_ONLYMIN</vt:lpstr>
      <vt:lpstr>MIT_DIFF</vt:lpstr>
      <vt:lpstr>MIT_STDAUG</vt:lpstr>
      <vt:lpstr>MIT_NOAUG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2026-03-28T22:32:21Z</dcterms:modified>
</cp:coreProperties>
</file>