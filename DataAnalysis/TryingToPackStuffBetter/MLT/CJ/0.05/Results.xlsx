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CJ\0.05\"/>
    </mc:Choice>
  </mc:AlternateContent>
  <xr:revisionPtr revIDLastSave="0" documentId="13_ncr:1_{56EF04FE-626F-43E4-872C-19E4922CE75B}" xr6:coauthVersionLast="47" xr6:coauthVersionMax="47" xr10:uidLastSave="{00000000-0000-0000-0000-000000000000}"/>
  <bookViews>
    <workbookView xWindow="-108" yWindow="-108" windowWidth="23256" windowHeight="12456" firstSheet="6" activeTab="9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7" l="1"/>
  <c r="AE10" i="17"/>
  <c r="AB10" i="17"/>
  <c r="AA10" i="17"/>
  <c r="Z10" i="17"/>
  <c r="Y10" i="17"/>
  <c r="X10" i="17"/>
  <c r="W10" i="17"/>
  <c r="V10" i="17"/>
  <c r="U10" i="17"/>
  <c r="Q10" i="17"/>
  <c r="AC10" i="17" s="1"/>
  <c r="R10" i="17"/>
  <c r="S10" i="17"/>
  <c r="T10" i="17"/>
  <c r="AD10" i="17" s="1"/>
  <c r="Q11" i="17"/>
  <c r="T11" i="17" s="1"/>
  <c r="R11" i="17"/>
  <c r="S11" i="17"/>
  <c r="AF11" i="14"/>
  <c r="AE11" i="14"/>
  <c r="AB11" i="14"/>
  <c r="AA11" i="14"/>
  <c r="Z11" i="14"/>
  <c r="Y11" i="14"/>
  <c r="X11" i="14"/>
  <c r="W11" i="14"/>
  <c r="V11" i="14"/>
  <c r="U11" i="14"/>
  <c r="U4" i="14"/>
  <c r="Q11" i="14"/>
  <c r="AC11" i="14" s="1"/>
  <c r="R11" i="14"/>
  <c r="S11" i="14"/>
  <c r="T11" i="14"/>
  <c r="AD11" i="14" s="1"/>
  <c r="Q12" i="14"/>
  <c r="R12" i="14"/>
  <c r="S12" i="14"/>
  <c r="T12" i="14"/>
  <c r="AC12" i="14"/>
  <c r="AD12" i="14"/>
  <c r="AF10" i="19"/>
  <c r="AE10" i="19"/>
  <c r="AB10" i="19"/>
  <c r="AA10" i="19"/>
  <c r="Z10" i="19"/>
  <c r="Y10" i="19"/>
  <c r="X10" i="19"/>
  <c r="W10" i="19"/>
  <c r="V10" i="19"/>
  <c r="U10" i="19"/>
  <c r="Q10" i="19"/>
  <c r="AC10" i="19" s="1"/>
  <c r="R10" i="19"/>
  <c r="S10" i="19"/>
  <c r="T10" i="19"/>
  <c r="AD10" i="19" s="1"/>
  <c r="Q11" i="19"/>
  <c r="R11" i="19"/>
  <c r="S11" i="19"/>
  <c r="T11" i="19"/>
  <c r="AC11" i="19"/>
  <c r="AD11" i="19"/>
  <c r="Q12" i="19"/>
  <c r="R12" i="19"/>
  <c r="S12" i="19"/>
  <c r="T12" i="19"/>
  <c r="AC12" i="19"/>
  <c r="AD12" i="19"/>
  <c r="Q13" i="19"/>
  <c r="T13" i="19" s="1"/>
  <c r="R13" i="19"/>
  <c r="S13" i="19"/>
  <c r="U4" i="19"/>
  <c r="AF35" i="16"/>
  <c r="AE35" i="16"/>
  <c r="AB35" i="16"/>
  <c r="AA35" i="16"/>
  <c r="Z35" i="16"/>
  <c r="Y35" i="16"/>
  <c r="X35" i="16"/>
  <c r="W35" i="16"/>
  <c r="V35" i="16"/>
  <c r="U35" i="16"/>
  <c r="Q35" i="16"/>
  <c r="R35" i="16"/>
  <c r="X16" i="16" s="1"/>
  <c r="S35" i="16"/>
  <c r="Z16" i="16" s="1"/>
  <c r="T35" i="16"/>
  <c r="Q36" i="16"/>
  <c r="R36" i="16"/>
  <c r="W16" i="16" s="1"/>
  <c r="S36" i="16"/>
  <c r="T36" i="16"/>
  <c r="Q37" i="16"/>
  <c r="R37" i="16"/>
  <c r="S37" i="16"/>
  <c r="T37" i="16"/>
  <c r="AC37" i="16"/>
  <c r="AD37" i="16"/>
  <c r="Q38" i="16"/>
  <c r="R38" i="16"/>
  <c r="S38" i="16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Q5" i="19"/>
  <c r="T5" i="19" s="1"/>
  <c r="R5" i="19"/>
  <c r="S5" i="19"/>
  <c r="Q6" i="19"/>
  <c r="R6" i="19"/>
  <c r="S6" i="19"/>
  <c r="T6" i="19"/>
  <c r="AC6" i="19"/>
  <c r="AD6" i="19"/>
  <c r="Q7" i="19"/>
  <c r="R7" i="19"/>
  <c r="S7" i="19"/>
  <c r="T7" i="19"/>
  <c r="AC7" i="19"/>
  <c r="AD7" i="19"/>
  <c r="AD4" i="19"/>
  <c r="AC4" i="19"/>
  <c r="T4" i="19"/>
  <c r="S4" i="19"/>
  <c r="R4" i="19"/>
  <c r="Q4" i="19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AF4" i="14"/>
  <c r="AE4" i="14"/>
  <c r="AB4" i="14"/>
  <c r="AA4" i="14"/>
  <c r="Z4" i="14"/>
  <c r="Y4" i="14"/>
  <c r="X4" i="14"/>
  <c r="W4" i="14"/>
  <c r="V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AC11" i="17" l="1"/>
  <c r="AD11" i="17" s="1"/>
  <c r="AC13" i="19"/>
  <c r="AD13" i="19" s="1"/>
  <c r="AC36" i="16"/>
  <c r="AD36" i="16" s="1"/>
  <c r="V16" i="16"/>
  <c r="AC35" i="16"/>
  <c r="AD35" i="16" s="1"/>
  <c r="Y16" i="16"/>
  <c r="AC38" i="16"/>
  <c r="U16" i="16"/>
  <c r="T38" i="16"/>
  <c r="AD38" i="16" s="1"/>
  <c r="AC5" i="19"/>
  <c r="AD5" i="19" s="1"/>
  <c r="AD7" i="16"/>
  <c r="AC6" i="16"/>
  <c r="AD6" i="16" s="1"/>
  <c r="AC10" i="16"/>
  <c r="AD10" i="16" s="1"/>
  <c r="AC9" i="13"/>
  <c r="AD9" i="13" s="1"/>
  <c r="AC5" i="12"/>
  <c r="AD5" i="12" s="1"/>
  <c r="AC8" i="11"/>
  <c r="AD8" i="11" s="1"/>
  <c r="AC5" i="11"/>
  <c r="AD5" i="11" s="1"/>
  <c r="T4" i="12"/>
  <c r="T4" i="11"/>
  <c r="T4" i="15"/>
  <c r="AC4" i="15"/>
  <c r="T4" i="18"/>
  <c r="AC5" i="18"/>
  <c r="AD5" i="18" s="1"/>
  <c r="AB16" i="16" l="1"/>
  <c r="AA16" i="16"/>
  <c r="AF16" i="16"/>
  <c r="AE16" i="16"/>
  <c r="AD4" i="15"/>
  <c r="AE4" i="15" s="1"/>
  <c r="AB4" i="15"/>
  <c r="AA4" i="15"/>
  <c r="AD4" i="18"/>
  <c r="AB4" i="18"/>
  <c r="AA4" i="18"/>
  <c r="AF4" i="18" l="1"/>
  <c r="AE4" i="18"/>
</calcChain>
</file>

<file path=xl/sharedStrings.xml><?xml version="1.0" encoding="utf-8"?>
<sst xmlns="http://schemas.openxmlformats.org/spreadsheetml/2006/main" count="217" uniqueCount="38">
  <si>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</si>
  <si>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</si>
  <si>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</si>
  <si>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</si>
  <si>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</si>
  <si>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</si>
  <si>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</si>
  <si>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</si>
  <si>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</si>
  <si>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</si>
  <si>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</si>
  <si>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</si>
  <si>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</si>
  <si>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</si>
  <si>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</si>
  <si>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</si>
  <si>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</si>
  <si>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</si>
  <si>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</si>
  <si>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</si>
  <si>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</si>
  <si>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</si>
  <si>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</si>
  <si>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</si>
  <si>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</si>
  <si>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</si>
  <si>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</si>
  <si>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</si>
  <si>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</si>
  <si>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</si>
  <si>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</si>
  <si>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MIT</t>
  </si>
  <si>
    <t xml:space="preserve">c1 </t>
  </si>
  <si>
    <t>STDAUG</t>
  </si>
  <si>
    <t>PARBS</t>
  </si>
  <si>
    <t>ONLYMIN</t>
  </si>
  <si>
    <t>try3</t>
  </si>
  <si>
    <t>try: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</si>
</sst>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workbookViewId="0">
      <selection activeCell="A2" sqref="A2:XFD17"/>
    </sheetView>
  </sheetViews>
  <sheetFormatPr defaultRowHeight="14.4" x14ac:dyDescent="0.3"/>
  <cols>
    <col min="1" max="1" width="9.88671875" customWidth="1"/>
  </cols>
  <sheetData>
    <row r="1" spans="1:16" x14ac:dyDescent="0.3"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0</v>
      </c>
      <c r="N1" t="s">
        <v>15</v>
      </c>
      <c r="O1" t="s">
        <v>17</v>
      </c>
      <c r="P1" t="s">
        <v>18</v>
      </c>
    </row>
    <row r="2" spans="1:16" x14ac:dyDescent="0.3">
      <c r="A2" t="s">
        <v>31</v>
      </c>
    </row>
    <row r="3" spans="1:16" x14ac:dyDescent="0.3">
      <c r="B3" t="s">
        <v>2</v>
      </c>
    </row>
    <row r="4" spans="1:16" x14ac:dyDescent="0.3">
      <c r="C4" t="s">
        <v>3</v>
      </c>
      <c r="G4">
        <v>23.714285714285715</v>
      </c>
      <c r="H4">
        <v>2.6276913640612221</v>
      </c>
      <c r="I4">
        <v>12.285714285714286</v>
      </c>
      <c r="J4">
        <v>2.4127636791506446</v>
      </c>
      <c r="K4">
        <v>37.214285714285715</v>
      </c>
      <c r="L4">
        <v>3.4139071318303174</v>
      </c>
      <c r="M4">
        <v>24.404761904761905</v>
      </c>
      <c r="N4">
        <v>2.0634768009203559</v>
      </c>
      <c r="O4">
        <v>12.11904761904762</v>
      </c>
      <c r="P4">
        <v>1.8148418095390031</v>
      </c>
    </row>
    <row r="5" spans="1:16" x14ac:dyDescent="0.3">
      <c r="C5" t="s">
        <v>33</v>
      </c>
      <c r="F5" t="s">
        <v>19</v>
      </c>
      <c r="G5">
        <v>25.666666666666668</v>
      </c>
      <c r="H5">
        <v>3.9958311609309392</v>
      </c>
      <c r="I5">
        <v>14.166666666666666</v>
      </c>
      <c r="J5">
        <v>2.089657069154327</v>
      </c>
      <c r="K5">
        <v>36.833333333333336</v>
      </c>
      <c r="L5">
        <v>1.5705625319186327</v>
      </c>
      <c r="M5">
        <v>25.555555555555554</v>
      </c>
      <c r="N5">
        <v>1.4631270419005795</v>
      </c>
      <c r="O5">
        <v>11.388888888888891</v>
      </c>
      <c r="P5">
        <v>1.8519259244444917</v>
      </c>
    </row>
    <row r="6" spans="1:16" x14ac:dyDescent="0.3">
      <c r="C6" t="s">
        <v>26</v>
      </c>
    </row>
    <row r="7" spans="1:16" x14ac:dyDescent="0.3">
      <c r="D7" t="s">
        <v>33</v>
      </c>
      <c r="G7">
        <v>25.125</v>
      </c>
      <c r="H7">
        <v>4.9560569003997523</v>
      </c>
      <c r="I7">
        <v>10.875</v>
      </c>
      <c r="J7">
        <v>2.0966242709015206</v>
      </c>
      <c r="K7">
        <v>35.75</v>
      </c>
      <c r="L7">
        <v>2.9011491975882016</v>
      </c>
      <c r="M7">
        <v>23.916666666666668</v>
      </c>
      <c r="N7">
        <v>2.2709926039966328</v>
      </c>
      <c r="O7">
        <v>13.041666666666668</v>
      </c>
      <c r="P7">
        <v>2.1142155536764347</v>
      </c>
    </row>
    <row r="8" spans="1:16" x14ac:dyDescent="0.3">
      <c r="F8" t="s">
        <v>36</v>
      </c>
      <c r="G8">
        <v>23.25</v>
      </c>
      <c r="H8">
        <v>4.8733971724044816</v>
      </c>
      <c r="I8">
        <v>11.125</v>
      </c>
      <c r="J8">
        <v>1.75</v>
      </c>
      <c r="K8">
        <v>35.375</v>
      </c>
      <c r="L8">
        <v>2.6887109674836132</v>
      </c>
      <c r="M8">
        <v>23.249999999999996</v>
      </c>
      <c r="N8">
        <v>2.5549516194593154</v>
      </c>
      <c r="O8">
        <v>12.125</v>
      </c>
      <c r="P8">
        <v>1.7179606773406884</v>
      </c>
    </row>
    <row r="9" spans="1:16" x14ac:dyDescent="0.3">
      <c r="D9" t="s">
        <v>35</v>
      </c>
    </row>
    <row r="10" spans="1:16" x14ac:dyDescent="0.3">
      <c r="E10" t="s">
        <v>33</v>
      </c>
      <c r="G10">
        <v>27.125</v>
      </c>
      <c r="H10">
        <v>4.2695628191498329</v>
      </c>
      <c r="I10">
        <v>13.5</v>
      </c>
      <c r="J10">
        <v>2.1984843263788196</v>
      </c>
      <c r="K10">
        <v>36.75</v>
      </c>
      <c r="L10">
        <v>4.1932485418030412</v>
      </c>
      <c r="M10">
        <v>25.791666666666668</v>
      </c>
      <c r="N10">
        <v>2.0877730471237275</v>
      </c>
      <c r="O10">
        <v>12.291666666666668</v>
      </c>
      <c r="P10">
        <v>4.0377271751247248</v>
      </c>
    </row>
    <row r="11" spans="1:16" x14ac:dyDescent="0.3">
      <c r="F11" t="s">
        <v>36</v>
      </c>
      <c r="G11">
        <v>26.625</v>
      </c>
      <c r="H11">
        <v>1.4361406616345072</v>
      </c>
      <c r="I11">
        <v>12.25</v>
      </c>
      <c r="J11">
        <v>1.8929694486000912</v>
      </c>
      <c r="K11">
        <v>31.875</v>
      </c>
      <c r="L11">
        <v>2.8686524130097508</v>
      </c>
      <c r="M11">
        <v>23.583333333333336</v>
      </c>
      <c r="N11">
        <v>1.158702978589679</v>
      </c>
      <c r="O11">
        <v>11.333333333333336</v>
      </c>
      <c r="P11">
        <v>2.3293616992485018</v>
      </c>
    </row>
    <row r="13" spans="1:16" x14ac:dyDescent="0.3">
      <c r="B13" t="s">
        <v>34</v>
      </c>
    </row>
    <row r="14" spans="1:16" x14ac:dyDescent="0.3">
      <c r="C14" t="s">
        <v>3</v>
      </c>
      <c r="G14">
        <v>24.75</v>
      </c>
      <c r="H14">
        <v>1.7535677916750183</v>
      </c>
      <c r="I14">
        <v>15.083333333333334</v>
      </c>
      <c r="J14">
        <v>2.0103896803024659</v>
      </c>
      <c r="K14">
        <v>36</v>
      </c>
      <c r="L14">
        <v>2.9325756597230361</v>
      </c>
      <c r="M14">
        <v>25.277777777777782</v>
      </c>
      <c r="N14">
        <v>1.455513146116695</v>
      </c>
      <c r="O14">
        <v>10.194444444444445</v>
      </c>
      <c r="P14">
        <v>0.97420432870834284</v>
      </c>
    </row>
    <row r="15" spans="1:16" x14ac:dyDescent="0.3">
      <c r="C15" t="s">
        <v>33</v>
      </c>
      <c r="F15" t="s">
        <v>19</v>
      </c>
      <c r="G15">
        <v>21.5</v>
      </c>
      <c r="H15">
        <v>2.6925824035672519</v>
      </c>
      <c r="I15">
        <v>13.7</v>
      </c>
      <c r="J15">
        <v>0.83666002653407556</v>
      </c>
      <c r="K15">
        <v>35.4</v>
      </c>
      <c r="L15">
        <v>4.5607017003965469</v>
      </c>
      <c r="M15">
        <v>23.533333333333335</v>
      </c>
      <c r="N15">
        <v>2.4163792932585908</v>
      </c>
      <c r="O15">
        <v>9.8333333333333339</v>
      </c>
      <c r="P15">
        <v>2.0241596335818479</v>
      </c>
    </row>
    <row r="16" spans="1:16" x14ac:dyDescent="0.3">
      <c r="C16" t="s">
        <v>26</v>
      </c>
    </row>
    <row r="17" spans="4:16" x14ac:dyDescent="0.3">
      <c r="D17" t="s">
        <v>1</v>
      </c>
      <c r="E17" t="s">
        <v>36</v>
      </c>
      <c r="G17">
        <v>23.25</v>
      </c>
      <c r="H17">
        <v>2.4748737341529163</v>
      </c>
      <c r="I17">
        <v>12.5</v>
      </c>
      <c r="J17">
        <v>0</v>
      </c>
      <c r="K17">
        <v>30.5</v>
      </c>
      <c r="L17">
        <v>0</v>
      </c>
      <c r="M17">
        <v>22.083333333333336</v>
      </c>
      <c r="N17">
        <v>0.8249579113843063</v>
      </c>
      <c r="O17">
        <v>9.5833333333333339</v>
      </c>
      <c r="P17">
        <v>0.8249579113843063</v>
      </c>
    </row>
    <row r="18" spans="4:16" x14ac:dyDescent="0.3">
      <c r="D18" t="s">
        <v>35</v>
      </c>
    </row>
    <row r="19" spans="4:16" x14ac:dyDescent="0.3">
      <c r="E19" t="s">
        <v>33</v>
      </c>
      <c r="G19">
        <v>25</v>
      </c>
      <c r="H19">
        <v>1.7795130420052185</v>
      </c>
      <c r="I19">
        <v>13.625</v>
      </c>
      <c r="J19">
        <v>1.5478479684172259</v>
      </c>
      <c r="K19">
        <v>32.75</v>
      </c>
      <c r="L19">
        <v>6.9821200218844703</v>
      </c>
      <c r="M19">
        <v>23.791666666666664</v>
      </c>
      <c r="N19">
        <v>2.5032386429790709</v>
      </c>
      <c r="O19">
        <v>10.166666666666666</v>
      </c>
      <c r="P19">
        <v>2.3174059571793588</v>
      </c>
    </row>
    <row r="20" spans="4:16" x14ac:dyDescent="0.3">
      <c r="E20" t="s">
        <v>36</v>
      </c>
      <c r="G20">
        <v>25.25</v>
      </c>
      <c r="H20">
        <v>0.35355339059327379</v>
      </c>
      <c r="I20">
        <v>13.5</v>
      </c>
      <c r="J20">
        <v>0</v>
      </c>
      <c r="K20">
        <v>33.75</v>
      </c>
      <c r="L20">
        <v>1.0606601717798212</v>
      </c>
      <c r="M20">
        <v>24.166666666666664</v>
      </c>
      <c r="N20">
        <v>0.47140452079103251</v>
      </c>
      <c r="O20">
        <v>10.666666666666666</v>
      </c>
      <c r="P20">
        <v>0.47140452079103251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O1" workbookViewId="0">
      <selection activeCell="Q2" sqref="Q2:AF2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71</v>
      </c>
      <c r="C4">
        <v>29</v>
      </c>
      <c r="D4">
        <v>34</v>
      </c>
      <c r="E4">
        <v>66</v>
      </c>
      <c r="G4">
        <v>90</v>
      </c>
      <c r="H4">
        <v>10</v>
      </c>
      <c r="I4">
        <v>12</v>
      </c>
      <c r="J4">
        <v>88</v>
      </c>
      <c r="L4">
        <v>68</v>
      </c>
      <c r="M4">
        <v>32</v>
      </c>
      <c r="N4">
        <v>45</v>
      </c>
      <c r="O4">
        <v>55</v>
      </c>
      <c r="Q4">
        <f>AVERAGE(C4:D4)</f>
        <v>31.5</v>
      </c>
      <c r="R4">
        <f>AVERAGE(H4:I4)</f>
        <v>11</v>
      </c>
      <c r="S4">
        <f>AVERAGE(M4:N4)</f>
        <v>38.5</v>
      </c>
      <c r="T4">
        <f>AVERAGE(Q4:S4)</f>
        <v>27</v>
      </c>
      <c r="U4">
        <f>AVERAGE(Q4:Q7)</f>
        <v>27.125</v>
      </c>
      <c r="V4">
        <f>_xlfn.STDEV.S(Q4:Q7)</f>
        <v>4.2695628191498329</v>
      </c>
      <c r="W4">
        <f>AVERAGE(R4:R7)</f>
        <v>13.5</v>
      </c>
      <c r="X4">
        <f>_xlfn.STDEV.S(R4:R7)</f>
        <v>2.1984843263788196</v>
      </c>
      <c r="Y4">
        <f>AVERAGE(S4:S7)</f>
        <v>36.75</v>
      </c>
      <c r="Z4">
        <f>_xlfn.STDEV.S(S4:S7)</f>
        <v>4.1932485418030412</v>
      </c>
      <c r="AA4">
        <f>AVERAGE(T4:T7)</f>
        <v>25.791666666666668</v>
      </c>
      <c r="AB4">
        <f>_xlfn.STDEV.S(T4:T7)</f>
        <v>2.0877730471237275</v>
      </c>
      <c r="AC4">
        <f>MIN(Q4:S4)</f>
        <v>11</v>
      </c>
      <c r="AD4">
        <f>T4-AC4</f>
        <v>16</v>
      </c>
      <c r="AE4">
        <f>AVERAGE(AD4:AD7)</f>
        <v>12.291666666666668</v>
      </c>
      <c r="AF4">
        <f>_xlfn.STDEV.S(AD4:AD7)</f>
        <v>4.0377271751247248</v>
      </c>
    </row>
    <row r="5" spans="1:32" x14ac:dyDescent="0.3">
      <c r="B5">
        <v>82</v>
      </c>
      <c r="C5">
        <v>18</v>
      </c>
      <c r="D5">
        <v>35</v>
      </c>
      <c r="E5">
        <v>65</v>
      </c>
      <c r="G5">
        <v>84</v>
      </c>
      <c r="H5">
        <v>16</v>
      </c>
      <c r="I5">
        <v>13</v>
      </c>
      <c r="J5">
        <v>87</v>
      </c>
      <c r="L5">
        <v>77</v>
      </c>
      <c r="M5">
        <v>23</v>
      </c>
      <c r="N5">
        <v>56</v>
      </c>
      <c r="O5">
        <v>44</v>
      </c>
      <c r="Q5">
        <f t="shared" ref="Q5:Q7" si="0">AVERAGE(C5:D5)</f>
        <v>26.5</v>
      </c>
      <c r="R5">
        <f t="shared" ref="R5:R7" si="1">AVERAGE(H5:I5)</f>
        <v>14.5</v>
      </c>
      <c r="S5">
        <f t="shared" ref="S5:S7" si="2">AVERAGE(M5:N5)</f>
        <v>39.5</v>
      </c>
      <c r="T5">
        <f t="shared" ref="T5:T7" si="3">AVERAGE(Q5:S5)</f>
        <v>26.833333333333332</v>
      </c>
      <c r="AC5">
        <f t="shared" ref="AC5:AC7" si="4">MIN(Q5:S5)</f>
        <v>14.5</v>
      </c>
      <c r="AD5">
        <f t="shared" ref="AD5:AD7" si="5">T5-AC5</f>
        <v>12.333333333333332</v>
      </c>
    </row>
    <row r="6" spans="1:32" x14ac:dyDescent="0.3">
      <c r="B6">
        <v>87</v>
      </c>
      <c r="C6">
        <v>13</v>
      </c>
      <c r="D6">
        <v>30</v>
      </c>
      <c r="E6">
        <v>70</v>
      </c>
      <c r="G6">
        <v>81</v>
      </c>
      <c r="H6">
        <v>19</v>
      </c>
      <c r="I6">
        <v>13</v>
      </c>
      <c r="J6">
        <v>87</v>
      </c>
      <c r="L6">
        <v>87</v>
      </c>
      <c r="M6">
        <v>13</v>
      </c>
      <c r="N6">
        <v>48</v>
      </c>
      <c r="O6">
        <v>52</v>
      </c>
      <c r="Q6">
        <f t="shared" si="0"/>
        <v>21.5</v>
      </c>
      <c r="R6">
        <f t="shared" si="1"/>
        <v>16</v>
      </c>
      <c r="S6">
        <f t="shared" si="2"/>
        <v>30.5</v>
      </c>
      <c r="T6">
        <f t="shared" si="3"/>
        <v>22.666666666666668</v>
      </c>
      <c r="AC6">
        <f t="shared" si="4"/>
        <v>16</v>
      </c>
      <c r="AD6">
        <f t="shared" si="5"/>
        <v>6.6666666666666679</v>
      </c>
    </row>
    <row r="7" spans="1:32" x14ac:dyDescent="0.3">
      <c r="A7" t="s">
        <v>21</v>
      </c>
      <c r="B7">
        <v>76</v>
      </c>
      <c r="C7">
        <v>24</v>
      </c>
      <c r="D7">
        <v>34</v>
      </c>
      <c r="E7">
        <v>66</v>
      </c>
      <c r="G7">
        <v>90</v>
      </c>
      <c r="H7">
        <v>10</v>
      </c>
      <c r="I7">
        <v>15</v>
      </c>
      <c r="J7">
        <v>85</v>
      </c>
      <c r="L7">
        <v>83</v>
      </c>
      <c r="M7">
        <v>17</v>
      </c>
      <c r="N7">
        <v>60</v>
      </c>
      <c r="O7">
        <v>40</v>
      </c>
      <c r="Q7">
        <f t="shared" si="0"/>
        <v>29</v>
      </c>
      <c r="R7">
        <f t="shared" si="1"/>
        <v>12.5</v>
      </c>
      <c r="S7">
        <f t="shared" si="2"/>
        <v>38.5</v>
      </c>
      <c r="T7">
        <f t="shared" si="3"/>
        <v>26.666666666666668</v>
      </c>
      <c r="AC7">
        <f t="shared" si="4"/>
        <v>12.5</v>
      </c>
      <c r="AD7">
        <f t="shared" si="5"/>
        <v>14.166666666666668</v>
      </c>
    </row>
    <row r="9" spans="1:32" x14ac:dyDescent="0.3">
      <c r="A9" t="s">
        <v>36</v>
      </c>
    </row>
    <row r="10" spans="1:32" x14ac:dyDescent="0.3">
      <c r="B10">
        <v>86</v>
      </c>
      <c r="C10">
        <v>14</v>
      </c>
      <c r="D10">
        <v>36</v>
      </c>
      <c r="E10">
        <v>64</v>
      </c>
      <c r="G10">
        <v>83</v>
      </c>
      <c r="H10">
        <v>17</v>
      </c>
      <c r="I10">
        <v>7</v>
      </c>
      <c r="J10">
        <v>93</v>
      </c>
      <c r="L10">
        <v>86</v>
      </c>
      <c r="M10">
        <v>14</v>
      </c>
      <c r="N10">
        <v>47</v>
      </c>
      <c r="O10">
        <v>53</v>
      </c>
      <c r="Q10">
        <f t="shared" ref="Q10:Q13" si="6">AVERAGE(C10:D10)</f>
        <v>25</v>
      </c>
      <c r="R10">
        <f t="shared" ref="R10:R13" si="7">AVERAGE(H10:I10)</f>
        <v>12</v>
      </c>
      <c r="S10">
        <f t="shared" ref="S10:S13" si="8">AVERAGE(M10:N10)</f>
        <v>30.5</v>
      </c>
      <c r="T10">
        <f t="shared" ref="T10:T13" si="9">AVERAGE(Q10:S10)</f>
        <v>22.5</v>
      </c>
      <c r="U10">
        <f>AVERAGE(Q10:Q13)</f>
        <v>26.625</v>
      </c>
      <c r="V10">
        <f>_xlfn.STDEV.S(Q10:Q13)</f>
        <v>1.4361406616345072</v>
      </c>
      <c r="W10">
        <f>AVERAGE(R10:R13)</f>
        <v>12.25</v>
      </c>
      <c r="X10">
        <f>_xlfn.STDEV.S(R10:R13)</f>
        <v>1.8929694486000912</v>
      </c>
      <c r="Y10">
        <f>AVERAGE(S10:S13)</f>
        <v>31.875</v>
      </c>
      <c r="Z10">
        <f>_xlfn.STDEV.S(S10:S13)</f>
        <v>2.8686524130097508</v>
      </c>
      <c r="AA10">
        <f>AVERAGE(T10:T13)</f>
        <v>23.583333333333336</v>
      </c>
      <c r="AB10">
        <f>_xlfn.STDEV.S(T10:T13)</f>
        <v>1.158702978589679</v>
      </c>
      <c r="AC10">
        <f t="shared" ref="AC10:AC13" si="10">MIN(Q10:S10)</f>
        <v>12</v>
      </c>
      <c r="AD10">
        <f t="shared" ref="AD10:AD13" si="11">T10-AC10</f>
        <v>10.5</v>
      </c>
      <c r="AE10">
        <f>AVERAGE(AD10:AD13)</f>
        <v>11.333333333333336</v>
      </c>
      <c r="AF10">
        <f>_xlfn.STDEV.S(AD10:AD13)</f>
        <v>2.3293616992485018</v>
      </c>
    </row>
    <row r="11" spans="1:32" x14ac:dyDescent="0.3">
      <c r="B11">
        <v>85</v>
      </c>
      <c r="C11">
        <v>15</v>
      </c>
      <c r="D11">
        <v>38</v>
      </c>
      <c r="E11">
        <v>62</v>
      </c>
      <c r="G11">
        <v>91</v>
      </c>
      <c r="H11">
        <v>9</v>
      </c>
      <c r="I11">
        <v>13</v>
      </c>
      <c r="J11">
        <v>87</v>
      </c>
      <c r="L11">
        <v>86</v>
      </c>
      <c r="M11">
        <v>14</v>
      </c>
      <c r="N11">
        <v>49</v>
      </c>
      <c r="O11">
        <v>51</v>
      </c>
      <c r="Q11">
        <f t="shared" si="6"/>
        <v>26.5</v>
      </c>
      <c r="R11">
        <f t="shared" si="7"/>
        <v>11</v>
      </c>
      <c r="S11">
        <f t="shared" si="8"/>
        <v>31.5</v>
      </c>
      <c r="T11">
        <f t="shared" si="9"/>
        <v>23</v>
      </c>
      <c r="AC11">
        <f t="shared" si="10"/>
        <v>11</v>
      </c>
      <c r="AD11">
        <f t="shared" si="11"/>
        <v>12</v>
      </c>
    </row>
    <row r="12" spans="1:32" x14ac:dyDescent="0.3">
      <c r="B12">
        <v>83</v>
      </c>
      <c r="C12">
        <v>17</v>
      </c>
      <c r="D12">
        <v>40</v>
      </c>
      <c r="E12">
        <v>60</v>
      </c>
      <c r="G12">
        <v>89</v>
      </c>
      <c r="H12">
        <v>11</v>
      </c>
      <c r="I12">
        <v>11</v>
      </c>
      <c r="J12">
        <v>89</v>
      </c>
      <c r="L12">
        <v>81</v>
      </c>
      <c r="M12">
        <v>19</v>
      </c>
      <c r="N12">
        <v>53</v>
      </c>
      <c r="O12">
        <v>47</v>
      </c>
      <c r="Q12">
        <f t="shared" si="6"/>
        <v>28.5</v>
      </c>
      <c r="R12">
        <f t="shared" si="7"/>
        <v>11</v>
      </c>
      <c r="S12">
        <f t="shared" si="8"/>
        <v>36</v>
      </c>
      <c r="T12">
        <f t="shared" si="9"/>
        <v>25.166666666666668</v>
      </c>
      <c r="AC12">
        <f t="shared" si="10"/>
        <v>11</v>
      </c>
      <c r="AD12">
        <f t="shared" si="11"/>
        <v>14.166666666666668</v>
      </c>
    </row>
    <row r="13" spans="1:32" x14ac:dyDescent="0.3">
      <c r="B13">
        <v>82</v>
      </c>
      <c r="C13">
        <v>18</v>
      </c>
      <c r="D13">
        <v>35</v>
      </c>
      <c r="E13">
        <v>65</v>
      </c>
      <c r="G13">
        <v>79</v>
      </c>
      <c r="H13">
        <v>21</v>
      </c>
      <c r="I13">
        <v>9</v>
      </c>
      <c r="J13">
        <v>91</v>
      </c>
      <c r="L13">
        <v>73</v>
      </c>
      <c r="M13">
        <v>27</v>
      </c>
      <c r="N13">
        <v>32</v>
      </c>
      <c r="O13">
        <v>68</v>
      </c>
      <c r="Q13">
        <f t="shared" si="6"/>
        <v>26.5</v>
      </c>
      <c r="R13">
        <f t="shared" si="7"/>
        <v>15</v>
      </c>
      <c r="S13">
        <f t="shared" si="8"/>
        <v>29.5</v>
      </c>
      <c r="T13">
        <f t="shared" si="9"/>
        <v>23.666666666666668</v>
      </c>
      <c r="AC13">
        <f t="shared" si="10"/>
        <v>15</v>
      </c>
      <c r="AD13">
        <f t="shared" si="11"/>
        <v>8.6666666666666679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1"/>
  <sheetViews>
    <sheetView topLeftCell="M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93</v>
      </c>
      <c r="C4">
        <v>7</v>
      </c>
      <c r="D4">
        <v>43</v>
      </c>
      <c r="E4">
        <v>57</v>
      </c>
      <c r="G4">
        <v>87</v>
      </c>
      <c r="H4">
        <v>13</v>
      </c>
      <c r="I4">
        <v>16</v>
      </c>
      <c r="J4">
        <v>84</v>
      </c>
      <c r="L4">
        <v>81</v>
      </c>
      <c r="M4">
        <v>19</v>
      </c>
      <c r="N4">
        <v>63</v>
      </c>
      <c r="O4">
        <v>37</v>
      </c>
      <c r="Q4">
        <f>AVERAGE(C4:D4)</f>
        <v>25</v>
      </c>
      <c r="R4">
        <f>AVERAGE(H4:I4)</f>
        <v>14.5</v>
      </c>
      <c r="S4">
        <f>AVERAGE(M4:N4)</f>
        <v>41</v>
      </c>
      <c r="T4">
        <f>AVERAGE(Q4:S4)</f>
        <v>26.833333333333332</v>
      </c>
      <c r="U4">
        <f>AVERAGE(Q4:Q7)</f>
        <v>25</v>
      </c>
      <c r="V4">
        <f>_xlfn.STDEV.S(Q4:Q7)</f>
        <v>1.7795130420052185</v>
      </c>
      <c r="W4">
        <f>AVERAGE(R4:R7)</f>
        <v>13.625</v>
      </c>
      <c r="X4">
        <f>_xlfn.STDEV.S(R4:R7)</f>
        <v>1.5478479684172259</v>
      </c>
      <c r="Y4">
        <f>AVERAGE(S4:S7)</f>
        <v>32.75</v>
      </c>
      <c r="Z4">
        <f>_xlfn.STDEV.S(S4:S6,S7)</f>
        <v>6.9821200218844703</v>
      </c>
      <c r="AA4">
        <f>AVERAGE(T4:T7)</f>
        <v>23.791666666666664</v>
      </c>
      <c r="AB4">
        <f>_xlfn.STDEV.S(T4:T7)</f>
        <v>2.5032386429790709</v>
      </c>
      <c r="AC4">
        <f>MIN(Q4:S4)</f>
        <v>14.5</v>
      </c>
      <c r="AD4">
        <f>T4-AC4</f>
        <v>12.333333333333332</v>
      </c>
      <c r="AE4">
        <f>AVERAGE(AD4:AD7)</f>
        <v>10.166666666666666</v>
      </c>
      <c r="AF4">
        <f>_xlfn.STDEV.S(AD4:AD7)</f>
        <v>2.3174059571793588</v>
      </c>
    </row>
    <row r="5" spans="1:32" x14ac:dyDescent="0.3">
      <c r="B5">
        <v>80</v>
      </c>
      <c r="C5">
        <v>20</v>
      </c>
      <c r="D5">
        <v>33</v>
      </c>
      <c r="E5">
        <v>67</v>
      </c>
      <c r="G5">
        <v>84</v>
      </c>
      <c r="H5">
        <v>16</v>
      </c>
      <c r="I5">
        <v>14</v>
      </c>
      <c r="J5">
        <v>86</v>
      </c>
      <c r="L5">
        <v>87</v>
      </c>
      <c r="M5">
        <v>13</v>
      </c>
      <c r="N5">
        <v>36</v>
      </c>
      <c r="O5">
        <v>64</v>
      </c>
      <c r="Q5">
        <f t="shared" ref="Q5:Q7" si="0">AVERAGE(C5:D5)</f>
        <v>26.5</v>
      </c>
      <c r="R5">
        <f t="shared" ref="R5:R7" si="1">AVERAGE(H5:I5)</f>
        <v>15</v>
      </c>
      <c r="S5">
        <f t="shared" ref="S5:S7" si="2">AVERAGE(M5:N5)</f>
        <v>24.5</v>
      </c>
      <c r="T5">
        <f t="shared" ref="T5:T7" si="3">AVERAGE(Q5:S5)</f>
        <v>22</v>
      </c>
      <c r="AC5">
        <f t="shared" ref="AC5:AC7" si="4">MIN(Q5:S5)</f>
        <v>15</v>
      </c>
      <c r="AD5">
        <f t="shared" ref="AD5:AD7" si="5">T5-AC5</f>
        <v>7</v>
      </c>
    </row>
    <row r="6" spans="1:32" x14ac:dyDescent="0.3">
      <c r="B6">
        <v>79</v>
      </c>
      <c r="C6">
        <v>21</v>
      </c>
      <c r="D6">
        <v>24</v>
      </c>
      <c r="E6">
        <v>76</v>
      </c>
      <c r="G6">
        <v>87</v>
      </c>
      <c r="H6">
        <v>13</v>
      </c>
      <c r="I6">
        <v>10</v>
      </c>
      <c r="J6">
        <v>90</v>
      </c>
      <c r="L6">
        <v>87</v>
      </c>
      <c r="M6">
        <v>13</v>
      </c>
      <c r="N6">
        <v>48</v>
      </c>
      <c r="O6">
        <v>52</v>
      </c>
      <c r="Q6">
        <f t="shared" si="0"/>
        <v>22.5</v>
      </c>
      <c r="R6">
        <f t="shared" si="1"/>
        <v>11.5</v>
      </c>
      <c r="S6">
        <f t="shared" si="2"/>
        <v>30.5</v>
      </c>
      <c r="T6">
        <f t="shared" si="3"/>
        <v>21.5</v>
      </c>
      <c r="AC6">
        <f t="shared" si="4"/>
        <v>11.5</v>
      </c>
      <c r="AD6">
        <f t="shared" si="5"/>
        <v>10</v>
      </c>
    </row>
    <row r="7" spans="1:32" x14ac:dyDescent="0.3">
      <c r="A7" t="s">
        <v>21</v>
      </c>
      <c r="B7">
        <v>89</v>
      </c>
      <c r="C7">
        <v>11</v>
      </c>
      <c r="D7">
        <v>41</v>
      </c>
      <c r="E7">
        <v>59</v>
      </c>
      <c r="G7">
        <v>88</v>
      </c>
      <c r="H7">
        <v>12</v>
      </c>
      <c r="I7">
        <v>15</v>
      </c>
      <c r="J7">
        <v>85</v>
      </c>
      <c r="L7">
        <v>73</v>
      </c>
      <c r="M7">
        <v>27</v>
      </c>
      <c r="N7">
        <v>43</v>
      </c>
      <c r="O7">
        <v>57</v>
      </c>
      <c r="Q7">
        <f t="shared" si="0"/>
        <v>26</v>
      </c>
      <c r="R7">
        <f t="shared" si="1"/>
        <v>13.5</v>
      </c>
      <c r="S7">
        <f t="shared" si="2"/>
        <v>35</v>
      </c>
      <c r="T7">
        <f t="shared" si="3"/>
        <v>24.833333333333332</v>
      </c>
      <c r="AC7">
        <f t="shared" si="4"/>
        <v>13.5</v>
      </c>
      <c r="AD7">
        <f t="shared" si="5"/>
        <v>11.333333333333332</v>
      </c>
    </row>
    <row r="9" spans="1:32" x14ac:dyDescent="0.3">
      <c r="A9" t="s">
        <v>36</v>
      </c>
    </row>
    <row r="10" spans="1:32" x14ac:dyDescent="0.3">
      <c r="B10">
        <v>82</v>
      </c>
      <c r="C10">
        <v>18</v>
      </c>
      <c r="D10">
        <v>33</v>
      </c>
      <c r="E10">
        <v>67</v>
      </c>
      <c r="G10">
        <v>85</v>
      </c>
      <c r="H10">
        <v>15</v>
      </c>
      <c r="I10">
        <v>12</v>
      </c>
      <c r="J10">
        <v>88</v>
      </c>
      <c r="L10">
        <v>59</v>
      </c>
      <c r="M10">
        <v>41</v>
      </c>
      <c r="N10">
        <v>28</v>
      </c>
      <c r="O10">
        <v>72</v>
      </c>
      <c r="Q10">
        <f t="shared" ref="Q10:Q11" si="6">AVERAGE(C10:D10)</f>
        <v>25.5</v>
      </c>
      <c r="R10">
        <f t="shared" ref="R10:R11" si="7">AVERAGE(H10:I10)</f>
        <v>13.5</v>
      </c>
      <c r="S10">
        <f t="shared" ref="S10:S11" si="8">AVERAGE(M10:N10)</f>
        <v>34.5</v>
      </c>
      <c r="T10">
        <f t="shared" ref="T10:T11" si="9">AVERAGE(Q10:S10)</f>
        <v>24.5</v>
      </c>
      <c r="U10">
        <f>AVERAGE(Q10:Q13)</f>
        <v>25.25</v>
      </c>
      <c r="V10">
        <f>_xlfn.STDEV.S(Q10:Q13)</f>
        <v>0.35355339059327379</v>
      </c>
      <c r="W10">
        <f>AVERAGE(R10:R13)</f>
        <v>13.5</v>
      </c>
      <c r="X10">
        <f>_xlfn.STDEV.S(R10:R13)</f>
        <v>0</v>
      </c>
      <c r="Y10">
        <f>AVERAGE(S10:S13)</f>
        <v>33.75</v>
      </c>
      <c r="Z10">
        <f>_xlfn.STDEV.S(S10:S12,S13)</f>
        <v>1.0606601717798212</v>
      </c>
      <c r="AA10">
        <f>AVERAGE(T10:T13)</f>
        <v>24.166666666666664</v>
      </c>
      <c r="AB10">
        <f>_xlfn.STDEV.S(T10:T13)</f>
        <v>0.47140452079103251</v>
      </c>
      <c r="AC10">
        <f t="shared" ref="AC10:AC11" si="10">MIN(Q10:S10)</f>
        <v>13.5</v>
      </c>
      <c r="AD10">
        <f t="shared" ref="AD10:AD11" si="11">T10-AC10</f>
        <v>11</v>
      </c>
      <c r="AE10">
        <f>AVERAGE(AD10:AD13)</f>
        <v>10.666666666666666</v>
      </c>
      <c r="AF10">
        <f>_xlfn.STDEV.S(AD10:AD13)</f>
        <v>0.47140452079103251</v>
      </c>
    </row>
    <row r="11" spans="1:32" x14ac:dyDescent="0.3">
      <c r="B11">
        <v>91</v>
      </c>
      <c r="C11">
        <v>9</v>
      </c>
      <c r="D11">
        <v>41</v>
      </c>
      <c r="E11">
        <v>59</v>
      </c>
      <c r="G11">
        <v>91</v>
      </c>
      <c r="H11">
        <v>9</v>
      </c>
      <c r="I11">
        <v>18</v>
      </c>
      <c r="J11">
        <v>82</v>
      </c>
      <c r="L11">
        <v>86</v>
      </c>
      <c r="M11">
        <v>14</v>
      </c>
      <c r="N11">
        <v>52</v>
      </c>
      <c r="O11">
        <v>48</v>
      </c>
      <c r="Q11">
        <f t="shared" si="6"/>
        <v>25</v>
      </c>
      <c r="R11">
        <f t="shared" si="7"/>
        <v>13.5</v>
      </c>
      <c r="S11">
        <f t="shared" si="8"/>
        <v>33</v>
      </c>
      <c r="T11">
        <f t="shared" si="9"/>
        <v>23.833333333333332</v>
      </c>
      <c r="AC11">
        <f t="shared" si="10"/>
        <v>13.5</v>
      </c>
      <c r="AD11">
        <f t="shared" si="11"/>
        <v>10.333333333333332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8"/>
  <sheetViews>
    <sheetView topLeftCell="M31" workbookViewId="0">
      <selection activeCell="AF35" activeCellId="2" sqref="U35:AB35 AE35 AF35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20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AVERAGE(Q16:Q38)</f>
        <v>24.1875</v>
      </c>
      <c r="V16">
        <f>_xlfn.STDEV.S(Q16:Q38)</f>
        <v>4.659379940353805</v>
      </c>
      <c r="W16">
        <f>AVERAGE(R16:R38)</f>
        <v>11</v>
      </c>
      <c r="X16">
        <f>_xlfn.STDEV.S(R16:R38)</f>
        <v>1.7928429140015905</v>
      </c>
      <c r="Y16">
        <f>AVERAGE(S16:S38)</f>
        <v>35.5625</v>
      </c>
      <c r="Z16">
        <f>_xlfn.STDEV.S(S16:S38)</f>
        <v>2.5972169170644399</v>
      </c>
      <c r="AA16">
        <f>AVERAGE(T16:T38)</f>
        <v>23.583333333333336</v>
      </c>
      <c r="AB16">
        <f>_xlfn.STDEV.S(T16:T38)</f>
        <v>2.2660363269199006</v>
      </c>
      <c r="AC16">
        <f t="shared" ref="AC16:AC19" si="10">MIN(Q16:S16)</f>
        <v>11.5</v>
      </c>
      <c r="AD16">
        <f t="shared" ref="AD16:AD19" si="11">T16-AC16</f>
        <v>12.833333333333332</v>
      </c>
      <c r="AE16">
        <f>AVERAGE(AD16:AD38)</f>
        <v>12.583333333333332</v>
      </c>
      <c r="AF16">
        <f>_xlfn.STDEV.S(AD16:AD38)</f>
        <v>1.8494958558036669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  <row r="34" spans="1:32" x14ac:dyDescent="0.3">
      <c r="A34" t="s">
        <v>37</v>
      </c>
    </row>
    <row r="35" spans="1:32" x14ac:dyDescent="0.3">
      <c r="B35">
        <v>84</v>
      </c>
      <c r="C35">
        <v>16</v>
      </c>
      <c r="D35">
        <v>42</v>
      </c>
      <c r="E35">
        <v>58</v>
      </c>
      <c r="G35">
        <v>91</v>
      </c>
      <c r="H35">
        <v>9</v>
      </c>
      <c r="I35">
        <v>15</v>
      </c>
      <c r="J35">
        <v>85</v>
      </c>
      <c r="L35">
        <v>91</v>
      </c>
      <c r="M35">
        <v>9</v>
      </c>
      <c r="N35">
        <v>67</v>
      </c>
      <c r="O35">
        <v>33</v>
      </c>
      <c r="Q35">
        <f>AVERAGE(C35:D35)</f>
        <v>29</v>
      </c>
      <c r="R35">
        <f>AVERAGE(H35:I35)</f>
        <v>12</v>
      </c>
      <c r="S35">
        <f>AVERAGE(M35:N35)</f>
        <v>38</v>
      </c>
      <c r="T35">
        <f>AVERAGE(Q35:S35)</f>
        <v>26.333333333333332</v>
      </c>
      <c r="U35">
        <f>AVERAGE(Q35:Q57)</f>
        <v>23.25</v>
      </c>
      <c r="V35">
        <f>_xlfn.STDEV.S(Q35:Q57)</f>
        <v>4.8733971724044816</v>
      </c>
      <c r="W35">
        <f>AVERAGE(R35:R57)</f>
        <v>11.125</v>
      </c>
      <c r="X35">
        <f>_xlfn.STDEV.S(R35:R57)</f>
        <v>1.75</v>
      </c>
      <c r="Y35">
        <f>AVERAGE(S35:S57)</f>
        <v>35.375</v>
      </c>
      <c r="Z35">
        <f>_xlfn.STDEV.S(S35:S57)</f>
        <v>2.6887109674836132</v>
      </c>
      <c r="AA35">
        <f>AVERAGE(T35:T57)</f>
        <v>23.249999999999996</v>
      </c>
      <c r="AB35">
        <f>_xlfn.STDEV.S(T35:T57)</f>
        <v>2.5549516194593154</v>
      </c>
      <c r="AC35">
        <f>MIN(Q35:S35)</f>
        <v>12</v>
      </c>
      <c r="AD35">
        <f>T35-AC35</f>
        <v>14.333333333333332</v>
      </c>
      <c r="AE35">
        <f>AVERAGE(AD35:AD57)</f>
        <v>12.125</v>
      </c>
      <c r="AF35">
        <f>_xlfn.STDEV.S(AD35:AD57)</f>
        <v>1.7179606773406884</v>
      </c>
    </row>
    <row r="36" spans="1:32" x14ac:dyDescent="0.3">
      <c r="B36">
        <v>88</v>
      </c>
      <c r="C36">
        <v>12</v>
      </c>
      <c r="D36">
        <v>28</v>
      </c>
      <c r="E36">
        <v>72</v>
      </c>
      <c r="G36">
        <v>89</v>
      </c>
      <c r="H36">
        <v>11</v>
      </c>
      <c r="I36">
        <v>10</v>
      </c>
      <c r="J36">
        <v>90</v>
      </c>
      <c r="L36">
        <v>82</v>
      </c>
      <c r="M36">
        <v>18</v>
      </c>
      <c r="N36">
        <v>46</v>
      </c>
      <c r="O36">
        <v>54</v>
      </c>
      <c r="Q36">
        <f>AVERAGE(C36:D36)</f>
        <v>20</v>
      </c>
      <c r="R36">
        <f>AVERAGE(H36:I36)</f>
        <v>10.5</v>
      </c>
      <c r="S36">
        <f>AVERAGE(M36:N36)</f>
        <v>32</v>
      </c>
      <c r="T36">
        <f>AVERAGE(Q36:S36)</f>
        <v>20.833333333333332</v>
      </c>
      <c r="AC36">
        <f>MIN(Q36:S36)</f>
        <v>10.5</v>
      </c>
      <c r="AD36">
        <f>T36-AC36</f>
        <v>10.333333333333332</v>
      </c>
    </row>
    <row r="37" spans="1:32" x14ac:dyDescent="0.3">
      <c r="B37">
        <v>90</v>
      </c>
      <c r="C37">
        <v>10</v>
      </c>
      <c r="D37">
        <v>27</v>
      </c>
      <c r="E37">
        <v>73</v>
      </c>
      <c r="G37">
        <v>89</v>
      </c>
      <c r="H37">
        <v>11</v>
      </c>
      <c r="I37">
        <v>7</v>
      </c>
      <c r="J37">
        <v>93</v>
      </c>
      <c r="L37">
        <v>82</v>
      </c>
      <c r="M37">
        <v>18</v>
      </c>
      <c r="N37">
        <v>56</v>
      </c>
      <c r="O37">
        <v>44</v>
      </c>
      <c r="Q37">
        <f>AVERAGE(C37:D37)</f>
        <v>18.5</v>
      </c>
      <c r="R37">
        <f>AVERAGE(H37:I37)</f>
        <v>9</v>
      </c>
      <c r="S37">
        <f>AVERAGE(M37:N37)</f>
        <v>37</v>
      </c>
      <c r="T37">
        <f>AVERAGE(Q37:S37)</f>
        <v>21.5</v>
      </c>
      <c r="AC37">
        <f>MIN(Q37:S37)</f>
        <v>9</v>
      </c>
      <c r="AD37">
        <f>T37-AC37</f>
        <v>12.5</v>
      </c>
    </row>
    <row r="38" spans="1:32" x14ac:dyDescent="0.3">
      <c r="B38">
        <v>69</v>
      </c>
      <c r="C38">
        <v>31</v>
      </c>
      <c r="D38">
        <v>20</v>
      </c>
      <c r="E38">
        <v>80</v>
      </c>
      <c r="G38">
        <v>82</v>
      </c>
      <c r="H38">
        <v>18</v>
      </c>
      <c r="I38">
        <v>8</v>
      </c>
      <c r="J38">
        <v>92</v>
      </c>
      <c r="L38">
        <v>73</v>
      </c>
      <c r="M38">
        <v>27</v>
      </c>
      <c r="N38">
        <v>42</v>
      </c>
      <c r="O38">
        <v>58</v>
      </c>
      <c r="Q38">
        <f>AVERAGE(C38:D38)</f>
        <v>25.5</v>
      </c>
      <c r="R38">
        <f>AVERAGE(H38:I38)</f>
        <v>13</v>
      </c>
      <c r="S38">
        <f>AVERAGE(M38:N38)</f>
        <v>34.5</v>
      </c>
      <c r="T38">
        <f>AVERAGE(Q38:S38)</f>
        <v>24.333333333333332</v>
      </c>
      <c r="AC38">
        <f>MIN(Q38:S38)</f>
        <v>13</v>
      </c>
      <c r="AD38">
        <f>T38-AC38</f>
        <v>11.333333333333332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2"/>
  <sheetViews>
    <sheetView topLeftCell="M1" workbookViewId="0">
      <selection activeCell="AF11" activeCellId="2" sqref="U11:AB11 AE11 AF11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  <row r="10" spans="1:32" x14ac:dyDescent="0.3">
      <c r="A10" t="s">
        <v>36</v>
      </c>
    </row>
    <row r="11" spans="1:32" x14ac:dyDescent="0.3">
      <c r="B11">
        <v>87</v>
      </c>
      <c r="C11">
        <v>13</v>
      </c>
      <c r="D11">
        <v>30</v>
      </c>
      <c r="E11">
        <v>70</v>
      </c>
      <c r="G11">
        <v>94</v>
      </c>
      <c r="H11">
        <v>6</v>
      </c>
      <c r="I11">
        <v>19</v>
      </c>
      <c r="J11">
        <v>81</v>
      </c>
      <c r="L11">
        <v>74</v>
      </c>
      <c r="M11">
        <v>26</v>
      </c>
      <c r="N11">
        <v>35</v>
      </c>
      <c r="O11">
        <v>65</v>
      </c>
      <c r="Q11">
        <f t="shared" ref="Q11:Q12" si="6">AVERAGE(C11:D11)</f>
        <v>21.5</v>
      </c>
      <c r="R11">
        <f t="shared" ref="R11:R12" si="7">AVERAGE(H11:I11)</f>
        <v>12.5</v>
      </c>
      <c r="S11">
        <f t="shared" ref="S11:S12" si="8">AVERAGE(M11:N11)</f>
        <v>30.5</v>
      </c>
      <c r="T11">
        <f t="shared" ref="T11:T12" si="9">AVERAGE(Q11:S11)</f>
        <v>21.5</v>
      </c>
      <c r="U11">
        <f>AVERAGE(Q11:Q15)</f>
        <v>23.25</v>
      </c>
      <c r="V11">
        <f>_xlfn.STDEV.S(Q11:Q15)</f>
        <v>2.4748737341529163</v>
      </c>
      <c r="W11">
        <f>AVERAGE(R11:R15)</f>
        <v>12.5</v>
      </c>
      <c r="X11">
        <f>_xlfn.STDEV.S(R11:R15)</f>
        <v>0</v>
      </c>
      <c r="Y11">
        <f>AVERAGE(S11:S15)</f>
        <v>30.5</v>
      </c>
      <c r="Z11">
        <f>_xlfn.STDEV.S(S11:S15)</f>
        <v>0</v>
      </c>
      <c r="AA11">
        <f>AVERAGE(T11:T15)</f>
        <v>22.083333333333336</v>
      </c>
      <c r="AB11">
        <f>_xlfn.STDEV.S(T11:T15)</f>
        <v>0.8249579113843063</v>
      </c>
      <c r="AC11">
        <f t="shared" ref="AC11:AC12" si="10">MIN(Q11:S11)</f>
        <v>12.5</v>
      </c>
      <c r="AD11">
        <f t="shared" ref="AD11:AD12" si="11">T11-AC11</f>
        <v>9</v>
      </c>
      <c r="AE11">
        <f>AVERAGE(AD11:AD15)</f>
        <v>9.5833333333333339</v>
      </c>
      <c r="AF11">
        <f>_xlfn.STDEV.S(AD11:AD15)</f>
        <v>0.8249579113843063</v>
      </c>
    </row>
    <row r="12" spans="1:32" x14ac:dyDescent="0.3">
      <c r="B12">
        <v>83</v>
      </c>
      <c r="C12">
        <v>17</v>
      </c>
      <c r="D12">
        <v>33</v>
      </c>
      <c r="E12">
        <v>67</v>
      </c>
      <c r="G12">
        <v>92</v>
      </c>
      <c r="H12">
        <v>8</v>
      </c>
      <c r="I12">
        <v>17</v>
      </c>
      <c r="J12">
        <v>83</v>
      </c>
      <c r="L12">
        <v>75</v>
      </c>
      <c r="M12">
        <v>25</v>
      </c>
      <c r="N12">
        <v>36</v>
      </c>
      <c r="O12">
        <v>64</v>
      </c>
      <c r="Q12">
        <f t="shared" si="6"/>
        <v>25</v>
      </c>
      <c r="R12">
        <f t="shared" si="7"/>
        <v>12.5</v>
      </c>
      <c r="S12">
        <f t="shared" si="8"/>
        <v>30.5</v>
      </c>
      <c r="T12">
        <f t="shared" si="9"/>
        <v>22.666666666666668</v>
      </c>
      <c r="AC12">
        <f t="shared" si="10"/>
        <v>12.5</v>
      </c>
      <c r="AD12">
        <f t="shared" si="11"/>
        <v>10.166666666666668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abSelected="1"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27</v>
      </c>
      <c r="Q2" t="s">
        <v>10</v>
      </c>
      <c r="R2" t="s">
        <v>11</v>
      </c>
      <c r="S2" t="s">
        <v>12</v>
      </c>
      <c r="T2" t="s">
        <v>14</v>
      </c>
      <c r="U2" t="s">
        <v>28</v>
      </c>
      <c r="V2" t="s">
        <v>23</v>
      </c>
      <c r="W2" t="s">
        <v>29</v>
      </c>
      <c r="X2" t="s">
        <v>24</v>
      </c>
      <c r="Y2" t="s">
        <v>30</v>
      </c>
      <c r="Z2" t="s">
        <v>25</v>
      </c>
      <c r="AA2" t="s">
        <v>0</v>
      </c>
      <c r="AB2" t="s">
        <v>15</v>
      </c>
      <c r="AC2" t="s">
        <v>16</v>
      </c>
      <c r="AD2" t="s">
        <v>13</v>
      </c>
      <c r="AE2" t="s">
        <v>17</v>
      </c>
      <c r="AF2" t="s">
        <v>18</v>
      </c>
    </row>
    <row r="3" spans="1:32" x14ac:dyDescent="0.3">
      <c r="A3" t="s">
        <v>21</v>
      </c>
      <c r="F3" t="s">
        <v>32</v>
      </c>
      <c r="K3" t="s">
        <v>22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2026-03-18T18:51:13Z</dcterms:modified>
</cp:coreProperties>
</file>