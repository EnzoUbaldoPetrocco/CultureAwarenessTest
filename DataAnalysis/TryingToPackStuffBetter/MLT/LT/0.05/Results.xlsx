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CS\0.05\"/>
    </mc:Choice>
  </mc:AlternateContent>
  <xr:revisionPtr revIDLastSave="0" documentId="13_ncr:1_{22A67A13-6F9E-42CA-9A72-9DEA5AD647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" sheetId="17" r:id="rId2"/>
    <sheet name="PARBS_DIFF" sheetId="20" r:id="rId3"/>
    <sheet name="PARBS_STDAUG" sheetId="14" r:id="rId4"/>
    <sheet name="PARBS_NOAUG" sheetId="13" r:id="rId5"/>
    <sheet name="MIT_DIFF_ONLYMIN" sheetId="19" r:id="rId6"/>
    <sheet name="MIT_DIFF" sheetId="16" r:id="rId7"/>
    <sheet name="MIT_STDAUG" sheetId="12" r:id="rId8"/>
    <sheet name="MIT_NOAUG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7" l="1"/>
  <c r="R4" i="17"/>
  <c r="Q4" i="17"/>
  <c r="AF4" i="20"/>
  <c r="AE4" i="20"/>
  <c r="AD4" i="20"/>
  <c r="AC4" i="20"/>
  <c r="AB4" i="20"/>
  <c r="AA4" i="20"/>
  <c r="Z4" i="20"/>
  <c r="Y4" i="20"/>
  <c r="X4" i="20"/>
  <c r="W4" i="20"/>
  <c r="S4" i="20"/>
  <c r="R4" i="20"/>
  <c r="Q4" i="20"/>
  <c r="S4" i="14"/>
  <c r="AA4" i="14" s="1"/>
  <c r="R4" i="14"/>
  <c r="Z4" i="14" s="1"/>
  <c r="Q4" i="14"/>
  <c r="S4" i="13"/>
  <c r="R4" i="13"/>
  <c r="Q4" i="13"/>
  <c r="S4" i="19"/>
  <c r="R4" i="19"/>
  <c r="Q4" i="19"/>
  <c r="X4" i="19" s="1"/>
  <c r="S35" i="16"/>
  <c r="R35" i="16"/>
  <c r="Q35" i="16"/>
  <c r="S4" i="12"/>
  <c r="R4" i="12"/>
  <c r="Q4" i="12"/>
  <c r="AF4" i="11"/>
  <c r="AE4" i="11"/>
  <c r="AD4" i="11"/>
  <c r="AC4" i="11"/>
  <c r="AB4" i="11"/>
  <c r="AA4" i="11"/>
  <c r="Z4" i="11"/>
  <c r="Y4" i="11"/>
  <c r="X4" i="11"/>
  <c r="W4" i="11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S4" i="11"/>
  <c r="R4" i="11"/>
  <c r="Q4" i="11"/>
  <c r="X4" i="17" l="1"/>
  <c r="Z4" i="17"/>
  <c r="AB4" i="17"/>
  <c r="T4" i="17"/>
  <c r="U4" i="17"/>
  <c r="W4" i="17"/>
  <c r="Y4" i="17"/>
  <c r="AA4" i="17"/>
  <c r="T4" i="20"/>
  <c r="U4" i="20"/>
  <c r="X4" i="14"/>
  <c r="AB4" i="14"/>
  <c r="T4" i="14"/>
  <c r="U4" i="14"/>
  <c r="W4" i="14"/>
  <c r="Y4" i="14"/>
  <c r="X4" i="13"/>
  <c r="AB4" i="13"/>
  <c r="Z4" i="13"/>
  <c r="T4" i="13"/>
  <c r="U4" i="13"/>
  <c r="W4" i="13"/>
  <c r="Y4" i="13"/>
  <c r="AA4" i="13"/>
  <c r="Z4" i="19"/>
  <c r="AB4" i="19"/>
  <c r="T4" i="19"/>
  <c r="U4" i="19"/>
  <c r="W4" i="19"/>
  <c r="Y4" i="19"/>
  <c r="AA4" i="19"/>
  <c r="X35" i="16"/>
  <c r="AB35" i="16"/>
  <c r="Z35" i="16"/>
  <c r="T35" i="16"/>
  <c r="U35" i="16"/>
  <c r="W16" i="16"/>
  <c r="W35" i="16"/>
  <c r="Z16" i="16"/>
  <c r="X16" i="16"/>
  <c r="Y35" i="16"/>
  <c r="AA35" i="16"/>
  <c r="W4" i="12"/>
  <c r="Z4" i="12"/>
  <c r="AB4" i="12"/>
  <c r="Y4" i="12"/>
  <c r="X4" i="12"/>
  <c r="T4" i="12"/>
  <c r="U4" i="12"/>
  <c r="AA4" i="12"/>
  <c r="U4" i="11"/>
  <c r="V16" i="16"/>
  <c r="Y16" i="16"/>
  <c r="U16" i="16"/>
  <c r="AD7" i="16"/>
  <c r="AC6" i="16"/>
  <c r="AD6" i="16" s="1"/>
  <c r="AC10" i="16"/>
  <c r="AD10" i="16" s="1"/>
  <c r="T4" i="11"/>
  <c r="AD4" i="17" l="1"/>
  <c r="AC4" i="17"/>
  <c r="V4" i="17"/>
  <c r="V4" i="20"/>
  <c r="V4" i="14"/>
  <c r="AD4" i="14"/>
  <c r="AC4" i="14"/>
  <c r="AC4" i="13"/>
  <c r="V4" i="13"/>
  <c r="AD4" i="13"/>
  <c r="AD4" i="19"/>
  <c r="AC4" i="19"/>
  <c r="V4" i="19"/>
  <c r="AD35" i="16"/>
  <c r="AF16" i="16" s="1"/>
  <c r="AC35" i="16"/>
  <c r="V35" i="16"/>
  <c r="AD4" i="12"/>
  <c r="AC4" i="12"/>
  <c r="V4" i="12"/>
  <c r="V4" i="11"/>
  <c r="AB16" i="16"/>
  <c r="AA16" i="16"/>
  <c r="AF4" i="17" l="1"/>
  <c r="AE4" i="17"/>
  <c r="AF4" i="14"/>
  <c r="AE4" i="14"/>
  <c r="AF4" i="13"/>
  <c r="AE4" i="13"/>
  <c r="AF4" i="19"/>
  <c r="AE4" i="19"/>
  <c r="AE16" i="16"/>
  <c r="AE35" i="16"/>
  <c r="AF35" i="16"/>
  <c r="AF4" i="12"/>
  <c r="AE4" i="12"/>
</calcChain>
</file>

<file path=xl/sharedStrings.xml><?xml version="1.0" encoding="utf-8"?>
<sst xmlns="http://schemas.openxmlformats.org/spreadsheetml/2006/main" count="198" uniqueCount="35">
  <si>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</si>
  <si>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</si>
  <si>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</si>
  <si>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</si>
  <si>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</si>
  <si>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</si>
  <si>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</si>
  <si>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</si>
  <si>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</si>
  <si>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</si>
  <si>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</si>
  <si>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</si>
  <si>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</si>
  <si>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</si>
  <si>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</si>
  <si>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</si>
  <si>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</si>
  <si>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</si>
  <si>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</si>
  <si>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</si>
  <si>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</si>
  <si>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</si>
  <si>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</si>
  <si>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</si>
  <si>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</si>
  <si>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</si>
  <si>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</si>
  <si>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</si>
  <si>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</si>
  <si>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</si>
  <si>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 xml:space="preserve">c1 </t>
  </si>
  <si>
    <t>STDAUG</t>
  </si>
  <si>
    <t>PARBS</t>
  </si>
  <si>
    <t>ONLYMIN</t>
  </si>
  <si>
    <t>try: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</si>
</sst>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workbookViewId="0">
      <selection activeCell="E4" sqref="E4:N16"/>
    </sheetView>
  </sheetViews>
  <sheetFormatPr defaultRowHeight="14.4" x14ac:dyDescent="0.3"/>
  <sheetData>
    <row r="1" spans="1:14" x14ac:dyDescent="0.3"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0</v>
      </c>
      <c r="L1" t="s">
        <v>15</v>
      </c>
      <c r="M1" t="s">
        <v>17</v>
      </c>
      <c r="N1" t="s">
        <v>18</v>
      </c>
    </row>
    <row r="3" spans="1:14" x14ac:dyDescent="0.3">
      <c r="A3" t="s">
        <v>2</v>
      </c>
    </row>
    <row r="4" spans="1:14" x14ac:dyDescent="0.3">
      <c r="B4" t="s">
        <v>3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x14ac:dyDescent="0.3">
      <c r="B5" t="s">
        <v>31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x14ac:dyDescent="0.3">
      <c r="B6" t="s">
        <v>25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3">
      <c r="C7" t="s">
        <v>31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x14ac:dyDescent="0.3">
      <c r="C8" t="s">
        <v>33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x14ac:dyDescent="0.3">
      <c r="D9" t="s">
        <v>31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x14ac:dyDescent="0.3">
      <c r="A10" t="s">
        <v>32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x14ac:dyDescent="0.3">
      <c r="B11" t="s">
        <v>3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x14ac:dyDescent="0.3">
      <c r="B12" t="s">
        <v>31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x14ac:dyDescent="0.3">
      <c r="B13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x14ac:dyDescent="0.3">
      <c r="C14" t="s">
        <v>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x14ac:dyDescent="0.3">
      <c r="C15" t="s">
        <v>33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3">
      <c r="D16" t="s">
        <v>31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4"/>
  <sheetViews>
    <sheetView workbookViewId="0">
      <selection activeCell="A5" sqref="A5:XFD12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82</v>
      </c>
      <c r="C4">
        <v>18</v>
      </c>
      <c r="D4">
        <v>33</v>
      </c>
      <c r="E4">
        <v>67</v>
      </c>
      <c r="G4">
        <v>85</v>
      </c>
      <c r="H4">
        <v>15</v>
      </c>
      <c r="I4">
        <v>12</v>
      </c>
      <c r="J4">
        <v>88</v>
      </c>
      <c r="L4">
        <v>59</v>
      </c>
      <c r="M4">
        <v>41</v>
      </c>
      <c r="N4">
        <v>28</v>
      </c>
      <c r="O4">
        <v>72</v>
      </c>
      <c r="Q4">
        <f>AVERAGE(C4,D4)</f>
        <v>25.5</v>
      </c>
      <c r="R4">
        <f>AVERAGE(H4,I4)</f>
        <v>13.5</v>
      </c>
      <c r="S4">
        <f>AVERAGE(M4,N4)</f>
        <v>34.5</v>
      </c>
      <c r="T4">
        <f>AVERAGE(Q4:S4)</f>
        <v>24.5</v>
      </c>
      <c r="U4">
        <f>MIN(Q4:S4)</f>
        <v>13.5</v>
      </c>
      <c r="V4">
        <f>T4-U4</f>
        <v>11</v>
      </c>
      <c r="W4">
        <f>AVERAGE(Q4:Q15)</f>
        <v>25.5</v>
      </c>
      <c r="X4" t="e">
        <f>_xlfn.STDEV.S(Q4:Q15)</f>
        <v>#DIV/0!</v>
      </c>
      <c r="Y4">
        <f>AVERAGE(R4:R15)</f>
        <v>13.5</v>
      </c>
      <c r="Z4" t="e">
        <f>_xlfn.STDEV.S(R4:R15)</f>
        <v>#DIV/0!</v>
      </c>
      <c r="AA4">
        <f>AVERAGE(S4:S15)</f>
        <v>34.5</v>
      </c>
      <c r="AB4" t="e">
        <f>_xlfn.STDEV.S(S4:S15)</f>
        <v>#DIV/0!</v>
      </c>
      <c r="AC4">
        <f>AVERAGE(T4:T15)</f>
        <v>24.5</v>
      </c>
      <c r="AD4" t="e">
        <f>_xlfn.STDEV.S(T4:T15)</f>
        <v>#DIV/0!</v>
      </c>
      <c r="AE4">
        <f>AVERAGE(V4:V15)</f>
        <v>11</v>
      </c>
      <c r="AF4" t="e">
        <f>_xlfn.STDEV.S(V4:V15)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5A84A-0B17-453A-AC24-3659BE690EA1}">
  <dimension ref="B2:AF4"/>
  <sheetViews>
    <sheetView topLeftCell="K1" workbookViewId="0">
      <selection activeCell="K5" sqref="A5:XFD16"/>
    </sheetView>
  </sheetViews>
  <sheetFormatPr defaultRowHeight="14.4" x14ac:dyDescent="0.3"/>
  <sheetData>
    <row r="2" spans="2:32" x14ac:dyDescent="0.3"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4" spans="2:32" x14ac:dyDescent="0.3">
      <c r="B4">
        <v>87</v>
      </c>
      <c r="C4">
        <v>13</v>
      </c>
      <c r="D4">
        <v>30</v>
      </c>
      <c r="E4">
        <v>70</v>
      </c>
      <c r="G4">
        <v>94</v>
      </c>
      <c r="H4">
        <v>6</v>
      </c>
      <c r="I4">
        <v>19</v>
      </c>
      <c r="J4">
        <v>81</v>
      </c>
      <c r="L4">
        <v>74</v>
      </c>
      <c r="M4">
        <v>26</v>
      </c>
      <c r="N4">
        <v>35</v>
      </c>
      <c r="O4">
        <v>65</v>
      </c>
      <c r="Q4">
        <f>AVERAGE(C4,D4)</f>
        <v>21.5</v>
      </c>
      <c r="R4">
        <f>AVERAGE(H4,I4)</f>
        <v>12.5</v>
      </c>
      <c r="S4">
        <f>AVERAGE(M4,N4)</f>
        <v>30.5</v>
      </c>
      <c r="T4">
        <f>AVERAGE(Q4:S4)</f>
        <v>21.5</v>
      </c>
      <c r="U4">
        <f>MIN(Q4:S4)</f>
        <v>12.5</v>
      </c>
      <c r="V4">
        <f>T4-U4</f>
        <v>9</v>
      </c>
      <c r="W4">
        <f>AVERAGE(Q4:Q15)</f>
        <v>21.5</v>
      </c>
      <c r="X4" t="e">
        <f>_xlfn.STDEV.S(Q4:Q15)</f>
        <v>#DIV/0!</v>
      </c>
      <c r="Y4">
        <f>AVERAGE(R4:R15)</f>
        <v>12.5</v>
      </c>
      <c r="Z4" t="e">
        <f>_xlfn.STDEV.S(R4:R15)</f>
        <v>#DIV/0!</v>
      </c>
      <c r="AA4">
        <f>AVERAGE(S4:S15)</f>
        <v>30.5</v>
      </c>
      <c r="AB4" t="e">
        <f>_xlfn.STDEV.S(S4:S15)</f>
        <v>#DIV/0!</v>
      </c>
      <c r="AC4">
        <f>AVERAGE(T4:T15)</f>
        <v>21.5</v>
      </c>
      <c r="AD4" t="e">
        <f>_xlfn.STDEV.S(T4:T15)</f>
        <v>#DIV/0!</v>
      </c>
      <c r="AE4">
        <f>AVERAGE(V4:V15)</f>
        <v>9</v>
      </c>
      <c r="AF4" t="e">
        <f>_xlfn.STDEV.S(V4:V15)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4"/>
  <sheetViews>
    <sheetView topLeftCell="M1" workbookViewId="0">
      <selection activeCell="M5" sqref="A5:XFD9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80</v>
      </c>
      <c r="C4">
        <v>20</v>
      </c>
      <c r="D4">
        <v>27</v>
      </c>
      <c r="E4">
        <v>73</v>
      </c>
      <c r="G4">
        <v>88</v>
      </c>
      <c r="H4">
        <v>12</v>
      </c>
      <c r="I4">
        <v>19</v>
      </c>
      <c r="J4">
        <v>81</v>
      </c>
      <c r="L4">
        <v>67</v>
      </c>
      <c r="M4">
        <v>33</v>
      </c>
      <c r="N4">
        <v>38</v>
      </c>
      <c r="O4">
        <v>62</v>
      </c>
      <c r="Q4">
        <f>AVERAGE(C4,D4)</f>
        <v>23.5</v>
      </c>
      <c r="R4">
        <f>AVERAGE(H4,I4)</f>
        <v>15.5</v>
      </c>
      <c r="S4">
        <f>AVERAGE(M4,N4)</f>
        <v>35.5</v>
      </c>
      <c r="T4">
        <f>AVERAGE(Q4:S4)</f>
        <v>24.833333333333332</v>
      </c>
      <c r="U4">
        <f>MIN(Q4:S4)</f>
        <v>15.5</v>
      </c>
      <c r="V4">
        <f>T4-U4</f>
        <v>9.3333333333333321</v>
      </c>
      <c r="W4">
        <f>AVERAGE(Q4:Q12)</f>
        <v>23.5</v>
      </c>
      <c r="X4" t="e">
        <f>_xlfn.STDEV.S(Q4:Q12)</f>
        <v>#DIV/0!</v>
      </c>
      <c r="Y4">
        <f>AVERAGE(R4:R12)</f>
        <v>15.5</v>
      </c>
      <c r="Z4" t="e">
        <f>_xlfn.STDEV.S(R4:R12)</f>
        <v>#DIV/0!</v>
      </c>
      <c r="AA4">
        <f>AVERAGE(S4:S12)</f>
        <v>35.5</v>
      </c>
      <c r="AB4" t="e">
        <f>_xlfn.STDEV.S(S4:S12)</f>
        <v>#DIV/0!</v>
      </c>
      <c r="AC4">
        <f>AVERAGE(T4:T12)</f>
        <v>24.833333333333332</v>
      </c>
      <c r="AD4" t="e">
        <f>_xlfn.STDEV.S(T4:T12)</f>
        <v>#DIV/0!</v>
      </c>
      <c r="AE4">
        <f>AVERAGE(V4:V12)</f>
        <v>9.3333333333333321</v>
      </c>
      <c r="AF4" t="e">
        <f>_xlfn.STDEV.S(V4:V12)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4"/>
  <sheetViews>
    <sheetView topLeftCell="L1" workbookViewId="0">
      <selection activeCell="L5" sqref="A5:XFD13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81</v>
      </c>
      <c r="C4">
        <v>19</v>
      </c>
      <c r="D4">
        <v>26</v>
      </c>
      <c r="E4">
        <v>74</v>
      </c>
      <c r="G4">
        <v>84</v>
      </c>
      <c r="H4">
        <v>16</v>
      </c>
      <c r="I4">
        <v>16</v>
      </c>
      <c r="J4">
        <v>84</v>
      </c>
      <c r="L4">
        <v>65</v>
      </c>
      <c r="M4">
        <v>35</v>
      </c>
      <c r="N4">
        <v>41</v>
      </c>
      <c r="O4">
        <v>59</v>
      </c>
      <c r="Q4">
        <f>AVERAGE(C4,D4)</f>
        <v>22.5</v>
      </c>
      <c r="R4">
        <f>AVERAGE(H4,I4)</f>
        <v>16</v>
      </c>
      <c r="S4">
        <f>AVERAGE(M4,N4)</f>
        <v>38</v>
      </c>
      <c r="T4">
        <f>AVERAGE(Q4:S4)</f>
        <v>25.5</v>
      </c>
      <c r="U4">
        <f>MIN(Q4:S4)</f>
        <v>16</v>
      </c>
      <c r="V4">
        <f>T4-U4</f>
        <v>9.5</v>
      </c>
      <c r="W4">
        <f>AVERAGE(Q4:Q12)</f>
        <v>22.5</v>
      </c>
      <c r="X4" t="e">
        <f>_xlfn.STDEV.S(Q4:Q12)</f>
        <v>#DIV/0!</v>
      </c>
      <c r="Y4">
        <f>AVERAGE(R4:R12)</f>
        <v>16</v>
      </c>
      <c r="Z4" t="e">
        <f>_xlfn.STDEV.S(R4:R12)</f>
        <v>#DIV/0!</v>
      </c>
      <c r="AA4">
        <f>AVERAGE(S4:S12)</f>
        <v>38</v>
      </c>
      <c r="AB4" t="e">
        <f>_xlfn.STDEV.S(S4:S12)</f>
        <v>#DIV/0!</v>
      </c>
      <c r="AC4">
        <f>AVERAGE(T4:T12)</f>
        <v>25.5</v>
      </c>
      <c r="AD4" t="e">
        <f>_xlfn.STDEV.S(T4:T12)</f>
        <v>#DIV/0!</v>
      </c>
      <c r="AE4">
        <f>AVERAGE(V4:V12)</f>
        <v>9.5</v>
      </c>
      <c r="AF4" t="e">
        <f>_xlfn.STDEV.S(V4:V12)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4"/>
  <sheetViews>
    <sheetView topLeftCell="K1" workbookViewId="0">
      <selection activeCell="K5" sqref="A5:XFD11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86</v>
      </c>
      <c r="C4">
        <v>14</v>
      </c>
      <c r="D4">
        <v>36</v>
      </c>
      <c r="E4">
        <v>64</v>
      </c>
      <c r="G4">
        <v>83</v>
      </c>
      <c r="H4">
        <v>17</v>
      </c>
      <c r="I4">
        <v>7</v>
      </c>
      <c r="J4">
        <v>93</v>
      </c>
      <c r="L4">
        <v>86</v>
      </c>
      <c r="M4">
        <v>14</v>
      </c>
      <c r="N4">
        <v>47</v>
      </c>
      <c r="O4">
        <v>53</v>
      </c>
      <c r="Q4">
        <f>AVERAGE(C4,D4)</f>
        <v>25</v>
      </c>
      <c r="R4">
        <f>AVERAGE(H4,I4)</f>
        <v>12</v>
      </c>
      <c r="S4">
        <f>AVERAGE(M4,N4)</f>
        <v>30.5</v>
      </c>
      <c r="T4">
        <f>AVERAGE(Q4:S4)</f>
        <v>22.5</v>
      </c>
      <c r="U4">
        <f>MIN(Q4:S4)</f>
        <v>12</v>
      </c>
      <c r="V4">
        <f>T4-U4</f>
        <v>10.5</v>
      </c>
      <c r="W4">
        <f>AVERAGE(Q4:Q12)</f>
        <v>25</v>
      </c>
      <c r="X4" t="e">
        <f>_xlfn.STDEV.S(Q4:Q12)</f>
        <v>#DIV/0!</v>
      </c>
      <c r="Y4">
        <f>AVERAGE(R4:R12)</f>
        <v>12</v>
      </c>
      <c r="Z4" t="e">
        <f>_xlfn.STDEV.S(R4:R12)</f>
        <v>#DIV/0!</v>
      </c>
      <c r="AA4">
        <f>AVERAGE(S4:S12)</f>
        <v>30.5</v>
      </c>
      <c r="AB4" t="e">
        <f>_xlfn.STDEV.S(S4:S12)</f>
        <v>#DIV/0!</v>
      </c>
      <c r="AC4">
        <f>AVERAGE(T4:T12)</f>
        <v>22.5</v>
      </c>
      <c r="AD4" t="e">
        <f>_xlfn.STDEV.S(T4:T12)</f>
        <v>#DIV/0!</v>
      </c>
      <c r="AE4">
        <f>AVERAGE(V4:V12)</f>
        <v>10.5</v>
      </c>
      <c r="AF4" t="e">
        <f>_xlfn.STDEV.S(V4:V12)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5"/>
  <sheetViews>
    <sheetView topLeftCell="J31" workbookViewId="0">
      <selection activeCell="J36" sqref="A36:XFD40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27</v>
      </c>
      <c r="V2" t="s">
        <v>22</v>
      </c>
      <c r="W2" t="s">
        <v>28</v>
      </c>
      <c r="X2" t="s">
        <v>23</v>
      </c>
      <c r="Y2" t="s">
        <v>29</v>
      </c>
      <c r="Z2" t="s">
        <v>24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19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AVERAGE(Q16:Q38)</f>
        <v>25.9</v>
      </c>
      <c r="V16">
        <f>_xlfn.STDEV.S(Q16:Q38)</f>
        <v>4.6287147244132418</v>
      </c>
      <c r="W16">
        <f>AVERAGE(R16:R38)</f>
        <v>11.1</v>
      </c>
      <c r="X16">
        <f>_xlfn.STDEV.S(R16:R38)</f>
        <v>1.8841443681416803</v>
      </c>
      <c r="Y16">
        <f>AVERAGE(S16:S38)</f>
        <v>36.200000000000003</v>
      </c>
      <c r="Z16">
        <f>_xlfn.STDEV.S(S16:S38)</f>
        <v>2.7064737205448717</v>
      </c>
      <c r="AA16">
        <f>AVERAGE(T16:T38)</f>
        <v>24.4</v>
      </c>
      <c r="AB16">
        <f>_xlfn.STDEV.S(T16:T38)</f>
        <v>2.2441281405283231</v>
      </c>
      <c r="AC16">
        <f t="shared" ref="AC16:AC19" si="10">MIN(Q16:S16)</f>
        <v>11.5</v>
      </c>
      <c r="AD16">
        <f t="shared" ref="AD16:AD19" si="11">T16-AC16</f>
        <v>12.833333333333332</v>
      </c>
      <c r="AE16" t="e">
        <f>AVERAGE(AD16:AD38)</f>
        <v>#DIV/0!</v>
      </c>
      <c r="AF16" t="e">
        <f>_xlfn.STDEV.S(AD16:AD38)</f>
        <v>#DIV/0!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  <row r="33" spans="1:32" x14ac:dyDescent="0.3">
      <c r="Q33" t="s">
        <v>10</v>
      </c>
      <c r="R33" t="s">
        <v>11</v>
      </c>
      <c r="S33" t="s">
        <v>12</v>
      </c>
      <c r="T33" t="s">
        <v>14</v>
      </c>
      <c r="U33" t="s">
        <v>16</v>
      </c>
      <c r="V33" t="s">
        <v>13</v>
      </c>
      <c r="W33" t="s">
        <v>27</v>
      </c>
      <c r="X33" t="s">
        <v>22</v>
      </c>
      <c r="Y33" t="s">
        <v>28</v>
      </c>
      <c r="Z33" t="s">
        <v>23</v>
      </c>
      <c r="AA33" t="s">
        <v>29</v>
      </c>
      <c r="AB33" t="s">
        <v>24</v>
      </c>
      <c r="AC33" t="s">
        <v>0</v>
      </c>
      <c r="AD33" t="s">
        <v>15</v>
      </c>
      <c r="AE33" t="s">
        <v>17</v>
      </c>
      <c r="AF33" t="s">
        <v>18</v>
      </c>
    </row>
    <row r="34" spans="1:32" x14ac:dyDescent="0.3">
      <c r="A34" t="s">
        <v>34</v>
      </c>
    </row>
    <row r="35" spans="1:32" x14ac:dyDescent="0.3">
      <c r="B35">
        <v>84</v>
      </c>
      <c r="C35">
        <v>16</v>
      </c>
      <c r="D35">
        <v>42</v>
      </c>
      <c r="E35">
        <v>58</v>
      </c>
      <c r="G35">
        <v>91</v>
      </c>
      <c r="H35">
        <v>9</v>
      </c>
      <c r="I35">
        <v>15</v>
      </c>
      <c r="J35">
        <v>85</v>
      </c>
      <c r="L35">
        <v>91</v>
      </c>
      <c r="M35">
        <v>9</v>
      </c>
      <c r="N35">
        <v>67</v>
      </c>
      <c r="O35">
        <v>33</v>
      </c>
      <c r="Q35">
        <f>AVERAGE(C35,D35)</f>
        <v>29</v>
      </c>
      <c r="R35">
        <f>AVERAGE(H35,I35)</f>
        <v>12</v>
      </c>
      <c r="S35">
        <f>AVERAGE(M35,N35)</f>
        <v>38</v>
      </c>
      <c r="T35">
        <f>AVERAGE(Q35:S35)</f>
        <v>26.333333333333332</v>
      </c>
      <c r="U35">
        <f>MIN(Q35:S35)</f>
        <v>12</v>
      </c>
      <c r="V35">
        <f>T35-U35</f>
        <v>14.333333333333332</v>
      </c>
      <c r="W35">
        <f>AVERAGE(Q35:Q43)</f>
        <v>29</v>
      </c>
      <c r="X35" t="e">
        <f>_xlfn.STDEV.S(Q35:Q43)</f>
        <v>#DIV/0!</v>
      </c>
      <c r="Y35">
        <f>AVERAGE(R35:R43)</f>
        <v>12</v>
      </c>
      <c r="Z35" t="e">
        <f>_xlfn.STDEV.S(R35:R43)</f>
        <v>#DIV/0!</v>
      </c>
      <c r="AA35">
        <f>AVERAGE(S35:S43)</f>
        <v>38</v>
      </c>
      <c r="AB35" t="e">
        <f>_xlfn.STDEV.S(S35:S43)</f>
        <v>#DIV/0!</v>
      </c>
      <c r="AC35">
        <f>AVERAGE(T35:T43)</f>
        <v>26.333333333333332</v>
      </c>
      <c r="AD35" t="e">
        <f>_xlfn.STDEV.S(T35:T43)</f>
        <v>#DIV/0!</v>
      </c>
      <c r="AE35">
        <f>AVERAGE(V35:V43)</f>
        <v>14.333333333333332</v>
      </c>
      <c r="AF35" t="e">
        <f>_xlfn.STDEV.S(V35:V43)</f>
        <v>#DIV/0!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4"/>
  <sheetViews>
    <sheetView topLeftCell="M1" workbookViewId="0">
      <selection activeCell="M5" sqref="A5:XFD17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92</v>
      </c>
      <c r="C4">
        <v>8</v>
      </c>
      <c r="D4">
        <v>49</v>
      </c>
      <c r="E4">
        <v>51</v>
      </c>
      <c r="G4">
        <v>79</v>
      </c>
      <c r="H4">
        <v>21</v>
      </c>
      <c r="I4">
        <v>11</v>
      </c>
      <c r="J4">
        <v>89</v>
      </c>
      <c r="L4">
        <v>83</v>
      </c>
      <c r="M4">
        <v>17</v>
      </c>
      <c r="N4">
        <v>62</v>
      </c>
      <c r="O4">
        <v>38</v>
      </c>
      <c r="Q4">
        <f>AVERAGE(C4,D4)</f>
        <v>28.5</v>
      </c>
      <c r="R4">
        <f>AVERAGE(H4,I4)</f>
        <v>16</v>
      </c>
      <c r="S4">
        <f>AVERAGE(M4,N4)</f>
        <v>39.5</v>
      </c>
      <c r="T4">
        <f>AVERAGE(Q4:S4)</f>
        <v>28</v>
      </c>
      <c r="U4">
        <f>MIN(Q4:S4)</f>
        <v>16</v>
      </c>
      <c r="V4">
        <f>T4-U4</f>
        <v>12</v>
      </c>
      <c r="W4">
        <f>AVERAGE(Q4:Q12)</f>
        <v>28.5</v>
      </c>
      <c r="X4" t="e">
        <f>_xlfn.STDEV.S(Q4:Q12)</f>
        <v>#DIV/0!</v>
      </c>
      <c r="Y4">
        <f>AVERAGE(R4:R12)</f>
        <v>16</v>
      </c>
      <c r="Z4" t="e">
        <f>_xlfn.STDEV.S(R4:R12)</f>
        <v>#DIV/0!</v>
      </c>
      <c r="AA4">
        <f>AVERAGE(S4:S12)</f>
        <v>39.5</v>
      </c>
      <c r="AB4" t="e">
        <f>_xlfn.STDEV.S(S4:S12)</f>
        <v>#DIV/0!</v>
      </c>
      <c r="AC4">
        <f>AVERAGE(T4:T12)</f>
        <v>28</v>
      </c>
      <c r="AD4" t="e">
        <f>_xlfn.STDEV.S(T4:T12)</f>
        <v>#DIV/0!</v>
      </c>
      <c r="AE4">
        <f>AVERAGE(V4:V12)</f>
        <v>12</v>
      </c>
      <c r="AF4" t="e">
        <f>_xlfn.STDEV.S(V4:V12)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4"/>
  <sheetViews>
    <sheetView topLeftCell="M1" workbookViewId="0">
      <selection activeCell="M5" sqref="A5:XFD19"/>
    </sheetView>
  </sheetViews>
  <sheetFormatPr defaultRowHeight="14.4" x14ac:dyDescent="0.3"/>
  <cols>
    <col min="21" max="21" width="10.44140625" customWidth="1"/>
  </cols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77</v>
      </c>
      <c r="C4">
        <v>23</v>
      </c>
      <c r="D4">
        <v>28</v>
      </c>
      <c r="E4">
        <v>72</v>
      </c>
      <c r="G4">
        <v>85</v>
      </c>
      <c r="H4">
        <v>15</v>
      </c>
      <c r="I4">
        <v>11</v>
      </c>
      <c r="J4">
        <v>89</v>
      </c>
      <c r="L4">
        <v>72</v>
      </c>
      <c r="M4">
        <v>28</v>
      </c>
      <c r="N4">
        <v>51</v>
      </c>
      <c r="O4">
        <v>49</v>
      </c>
      <c r="Q4">
        <f>AVERAGE(C4,D4)</f>
        <v>25.5</v>
      </c>
      <c r="R4">
        <f>AVERAGE(H4,I4)</f>
        <v>13</v>
      </c>
      <c r="S4">
        <f>AVERAGE(M4,N4)</f>
        <v>39.5</v>
      </c>
      <c r="T4">
        <f>AVERAGE(Q4:S4)</f>
        <v>26</v>
      </c>
      <c r="U4">
        <f>MIN(Q4:S4)</f>
        <v>13</v>
      </c>
      <c r="V4">
        <f>T4-U4</f>
        <v>13</v>
      </c>
      <c r="W4">
        <f>AVERAGE(Q4:Q12)</f>
        <v>25.5</v>
      </c>
      <c r="X4" t="e">
        <f>_xlfn.STDEV.S(Q4:Q12)</f>
        <v>#DIV/0!</v>
      </c>
      <c r="Y4">
        <f>AVERAGE(R4:R12)</f>
        <v>13</v>
      </c>
      <c r="Z4" t="e">
        <f>_xlfn.STDEV.S(R4:R12)</f>
        <v>#DIV/0!</v>
      </c>
      <c r="AA4">
        <f>AVERAGE(S4:S12)</f>
        <v>39.5</v>
      </c>
      <c r="AB4" t="e">
        <f>_xlfn.STDEV.S(S4:S12)</f>
        <v>#DIV/0!</v>
      </c>
      <c r="AC4">
        <f>AVERAGE(T4:T12)</f>
        <v>26</v>
      </c>
      <c r="AD4" t="e">
        <f>_xlfn.STDEV.S(T4:T12)</f>
        <v>#DIV/0!</v>
      </c>
      <c r="AE4">
        <f>AVERAGE(V4:V12)</f>
        <v>13</v>
      </c>
      <c r="AF4" t="e">
        <f>_xlfn.STDEV.S(V4:V12)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Foglio1</vt:lpstr>
      <vt:lpstr>PARBS_DIFF_ONLYMIN</vt:lpstr>
      <vt:lpstr>PARBS_DIFF</vt:lpstr>
      <vt:lpstr>PARBS_STDAUG</vt:lpstr>
      <vt:lpstr>PARBS_NOAUG</vt:lpstr>
      <vt:lpstr>MIT_DIFF_ONLYMIN</vt:lpstr>
      <vt:lpstr>MIT_DIFF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2026-03-28T21:53:11Z</dcterms:modified>
</cp:coreProperties>
</file>