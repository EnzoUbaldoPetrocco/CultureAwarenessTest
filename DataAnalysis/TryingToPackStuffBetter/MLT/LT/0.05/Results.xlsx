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LT\0.05\"/>
    </mc:Choice>
  </mc:AlternateContent>
  <xr:revisionPtr revIDLastSave="0" documentId="13_ncr:1_{71CB409C-6364-4D2C-8423-80CD5DFDB36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Foglio1" sheetId="1" r:id="rId1"/>
    <sheet name="MIT_DIFF_ONLYMIN_STDAUG" sheetId="19" r:id="rId2"/>
    <sheet name="PARBS_STDAUG" sheetId="18" r:id="rId3"/>
    <sheet name="MIT_PARBS_DIFF_ONLYMIN_STDAUG" sheetId="17" r:id="rId4"/>
    <sheet name="MIT_DIFF_STDAUG" sheetId="16" r:id="rId5"/>
    <sheet name="MIT_DIFF_NOAUG" sheetId="15" r:id="rId6"/>
    <sheet name="MIT_PARBS_STDAUG" sheetId="14" r:id="rId7"/>
    <sheet name="MIT_PARBS_NOAUG" sheetId="13" r:id="rId8"/>
    <sheet name="MIT_STDAUG" sheetId="12" r:id="rId9"/>
    <sheet name="MIT_NOAUG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3" l="1"/>
  <c r="AE12" i="13"/>
  <c r="AB12" i="13"/>
  <c r="AA12" i="13"/>
  <c r="Z12" i="13"/>
  <c r="Y12" i="13"/>
  <c r="X12" i="13"/>
  <c r="W12" i="13"/>
  <c r="V12" i="13"/>
  <c r="U12" i="13"/>
  <c r="W4" i="13"/>
  <c r="V4" i="13"/>
  <c r="AB4" i="13"/>
  <c r="AA4" i="13"/>
  <c r="Z4" i="13"/>
  <c r="X4" i="13"/>
  <c r="Y4" i="13"/>
  <c r="Q12" i="13"/>
  <c r="AC12" i="13" s="1"/>
  <c r="R12" i="13"/>
  <c r="S12" i="13"/>
  <c r="T12" i="13"/>
  <c r="AD12" i="13" s="1"/>
  <c r="Q13" i="13"/>
  <c r="R13" i="13"/>
  <c r="S13" i="13"/>
  <c r="T13" i="13"/>
  <c r="AC13" i="13"/>
  <c r="AD13" i="13"/>
  <c r="Q14" i="13"/>
  <c r="R14" i="13"/>
  <c r="S14" i="13"/>
  <c r="T14" i="13"/>
  <c r="AC14" i="13"/>
  <c r="AD14" i="13" s="1"/>
  <c r="U13" i="12"/>
  <c r="AC15" i="12"/>
  <c r="AD15" i="12"/>
  <c r="AC16" i="12"/>
  <c r="AD16" i="12"/>
  <c r="Q15" i="12"/>
  <c r="T15" i="12" s="1"/>
  <c r="R15" i="12"/>
  <c r="X13" i="12" s="1"/>
  <c r="S15" i="12"/>
  <c r="Q16" i="12"/>
  <c r="R16" i="12"/>
  <c r="S16" i="12"/>
  <c r="Z13" i="12" s="1"/>
  <c r="T16" i="12"/>
  <c r="AF14" i="11"/>
  <c r="AE14" i="11"/>
  <c r="AB14" i="11"/>
  <c r="AA14" i="11"/>
  <c r="Z14" i="11"/>
  <c r="Y14" i="11"/>
  <c r="X14" i="11"/>
  <c r="W14" i="11"/>
  <c r="V14" i="11"/>
  <c r="U14" i="11"/>
  <c r="Q14" i="11"/>
  <c r="R14" i="11"/>
  <c r="S14" i="11"/>
  <c r="T14" i="11"/>
  <c r="AC14" i="11"/>
  <c r="AD14" i="11"/>
  <c r="Q15" i="11"/>
  <c r="R15" i="11"/>
  <c r="S15" i="11"/>
  <c r="T15" i="11"/>
  <c r="AC15" i="11"/>
  <c r="AD15" i="11"/>
  <c r="Q16" i="11"/>
  <c r="T16" i="11" s="1"/>
  <c r="R16" i="11"/>
  <c r="S16" i="11"/>
  <c r="Q13" i="12"/>
  <c r="V13" i="12" s="1"/>
  <c r="R13" i="12"/>
  <c r="W13" i="12" s="1"/>
  <c r="S13" i="12"/>
  <c r="Q14" i="12"/>
  <c r="R14" i="12"/>
  <c r="S14" i="12"/>
  <c r="AD5" i="18"/>
  <c r="AF4" i="18" s="1"/>
  <c r="AD6" i="18"/>
  <c r="AD4" i="18"/>
  <c r="AF12" i="17"/>
  <c r="AE12" i="17"/>
  <c r="AB12" i="17"/>
  <c r="AA12" i="17"/>
  <c r="Z12" i="17"/>
  <c r="Y12" i="17"/>
  <c r="X12" i="17"/>
  <c r="W12" i="17"/>
  <c r="V12" i="17"/>
  <c r="U12" i="17"/>
  <c r="Q12" i="17"/>
  <c r="AC12" i="17" s="1"/>
  <c r="R12" i="17"/>
  <c r="S12" i="17"/>
  <c r="T12" i="17"/>
  <c r="AD12" i="17" s="1"/>
  <c r="Q13" i="17"/>
  <c r="AC13" i="17" s="1"/>
  <c r="R13" i="17"/>
  <c r="S13" i="17"/>
  <c r="T13" i="17"/>
  <c r="AD13" i="17" s="1"/>
  <c r="Q14" i="17"/>
  <c r="R14" i="17"/>
  <c r="S14" i="17"/>
  <c r="T14" i="17"/>
  <c r="AC14" i="17"/>
  <c r="AD14" i="17"/>
  <c r="AB4" i="18"/>
  <c r="AA4" i="18"/>
  <c r="Z4" i="18"/>
  <c r="Y4" i="18"/>
  <c r="X4" i="18"/>
  <c r="W4" i="18"/>
  <c r="V4" i="18"/>
  <c r="U4" i="18"/>
  <c r="Q6" i="18"/>
  <c r="AC6" i="18" s="1"/>
  <c r="R6" i="18"/>
  <c r="S6" i="18"/>
  <c r="T6" i="18"/>
  <c r="AF12" i="19"/>
  <c r="AE12" i="19"/>
  <c r="AB12" i="19"/>
  <c r="AA12" i="19"/>
  <c r="Z12" i="19"/>
  <c r="Y12" i="19"/>
  <c r="X12" i="19"/>
  <c r="W12" i="19"/>
  <c r="V12" i="19"/>
  <c r="U12" i="19"/>
  <c r="Q12" i="19"/>
  <c r="R12" i="19"/>
  <c r="S12" i="19"/>
  <c r="T12" i="19"/>
  <c r="AC12" i="19"/>
  <c r="AD12" i="19"/>
  <c r="Q13" i="19"/>
  <c r="AC13" i="19" s="1"/>
  <c r="R13" i="19"/>
  <c r="S13" i="19"/>
  <c r="T13" i="19"/>
  <c r="AD13" i="19" s="1"/>
  <c r="Q14" i="19"/>
  <c r="R14" i="19"/>
  <c r="S14" i="19"/>
  <c r="T14" i="19"/>
  <c r="AC14" i="19"/>
  <c r="AD14" i="19"/>
  <c r="Q15" i="19"/>
  <c r="R15" i="19"/>
  <c r="S15" i="19"/>
  <c r="T15" i="19"/>
  <c r="AC15" i="19"/>
  <c r="AD15" i="19"/>
  <c r="U4" i="19"/>
  <c r="AF21" i="16"/>
  <c r="AE21" i="16"/>
  <c r="AB21" i="16"/>
  <c r="AA21" i="16"/>
  <c r="Z21" i="16"/>
  <c r="Y21" i="16"/>
  <c r="X21" i="16"/>
  <c r="W21" i="16"/>
  <c r="V21" i="16"/>
  <c r="U21" i="16"/>
  <c r="U12" i="16"/>
  <c r="Q21" i="16"/>
  <c r="R21" i="16"/>
  <c r="S21" i="16"/>
  <c r="T21" i="16"/>
  <c r="AC21" i="16"/>
  <c r="AD21" i="16"/>
  <c r="Q22" i="16"/>
  <c r="R22" i="16"/>
  <c r="S22" i="16"/>
  <c r="T22" i="16"/>
  <c r="AC22" i="16"/>
  <c r="AD22" i="16"/>
  <c r="Q23" i="16"/>
  <c r="T23" i="16" s="1"/>
  <c r="R23" i="16"/>
  <c r="S23" i="16"/>
  <c r="Q24" i="16"/>
  <c r="R24" i="16"/>
  <c r="S24" i="16"/>
  <c r="T24" i="16"/>
  <c r="AC24" i="16"/>
  <c r="AD24" i="16"/>
  <c r="Q25" i="16"/>
  <c r="R25" i="16"/>
  <c r="S25" i="16"/>
  <c r="T25" i="16"/>
  <c r="AD25" i="16" s="1"/>
  <c r="AC25" i="16"/>
  <c r="Q26" i="16"/>
  <c r="R26" i="16"/>
  <c r="S26" i="16"/>
  <c r="T26" i="16"/>
  <c r="AC26" i="16"/>
  <c r="AD26" i="16"/>
  <c r="Z12" i="16"/>
  <c r="Y12" i="16"/>
  <c r="X12" i="16"/>
  <c r="W12" i="16"/>
  <c r="U4" i="16"/>
  <c r="Q12" i="16"/>
  <c r="T12" i="16" s="1"/>
  <c r="R12" i="16"/>
  <c r="S12" i="16"/>
  <c r="Q13" i="16"/>
  <c r="R13" i="16"/>
  <c r="S13" i="16"/>
  <c r="T13" i="16"/>
  <c r="AD13" i="16" s="1"/>
  <c r="AC13" i="16"/>
  <c r="Q14" i="16"/>
  <c r="R14" i="16"/>
  <c r="S14" i="16"/>
  <c r="T14" i="16"/>
  <c r="AC14" i="16"/>
  <c r="AD14" i="16"/>
  <c r="AF4" i="17"/>
  <c r="AB4" i="17"/>
  <c r="Z4" i="17"/>
  <c r="X4" i="17"/>
  <c r="V4" i="17"/>
  <c r="AE4" i="17"/>
  <c r="AA4" i="17"/>
  <c r="Y4" i="17"/>
  <c r="W4" i="17"/>
  <c r="U4" i="17"/>
  <c r="Q5" i="17"/>
  <c r="R5" i="17"/>
  <c r="S5" i="17"/>
  <c r="T5" i="17"/>
  <c r="AC5" i="17"/>
  <c r="AD5" i="17"/>
  <c r="Q6" i="17"/>
  <c r="R6" i="17"/>
  <c r="S6" i="17"/>
  <c r="T6" i="17"/>
  <c r="AC6" i="17"/>
  <c r="AD6" i="17"/>
  <c r="AD4" i="17"/>
  <c r="AC4" i="17"/>
  <c r="T4" i="17"/>
  <c r="S4" i="17"/>
  <c r="R4" i="17"/>
  <c r="Q4" i="17"/>
  <c r="AF4" i="19"/>
  <c r="AB4" i="19"/>
  <c r="Z4" i="19"/>
  <c r="X4" i="19"/>
  <c r="V4" i="19"/>
  <c r="AE4" i="19"/>
  <c r="AA4" i="19"/>
  <c r="Y4" i="19"/>
  <c r="W4" i="19"/>
  <c r="Q5" i="19"/>
  <c r="R5" i="19"/>
  <c r="S5" i="19"/>
  <c r="T5" i="19"/>
  <c r="AC5" i="19"/>
  <c r="AD5" i="19"/>
  <c r="Q6" i="19"/>
  <c r="R6" i="19"/>
  <c r="S6" i="19"/>
  <c r="T6" i="19"/>
  <c r="AC6" i="19"/>
  <c r="AD6" i="19"/>
  <c r="Q7" i="19"/>
  <c r="AC7" i="19" s="1"/>
  <c r="R7" i="19"/>
  <c r="S7" i="19"/>
  <c r="T7" i="19"/>
  <c r="AD7" i="19" s="1"/>
  <c r="AD4" i="19"/>
  <c r="AF4" i="16"/>
  <c r="AE4" i="16"/>
  <c r="AB4" i="16"/>
  <c r="AA4" i="16"/>
  <c r="Z4" i="16"/>
  <c r="Y4" i="16"/>
  <c r="X4" i="16"/>
  <c r="W4" i="16"/>
  <c r="V4" i="16"/>
  <c r="Q5" i="16"/>
  <c r="T5" i="16" s="1"/>
  <c r="R5" i="16"/>
  <c r="S5" i="16"/>
  <c r="Q6" i="16"/>
  <c r="R6" i="16"/>
  <c r="S6" i="16"/>
  <c r="T6" i="16"/>
  <c r="AC6" i="16"/>
  <c r="AD6" i="16"/>
  <c r="Q7" i="16"/>
  <c r="R7" i="16"/>
  <c r="S7" i="16"/>
  <c r="T7" i="16"/>
  <c r="AC7" i="16"/>
  <c r="AD7" i="16"/>
  <c r="Q8" i="16"/>
  <c r="R8" i="16"/>
  <c r="T8" i="16" s="1"/>
  <c r="S8" i="16"/>
  <c r="Q9" i="16"/>
  <c r="R9" i="16"/>
  <c r="S9" i="16"/>
  <c r="T9" i="16"/>
  <c r="AC9" i="16"/>
  <c r="AD9" i="16"/>
  <c r="Q10" i="16"/>
  <c r="AC10" i="16" s="1"/>
  <c r="R10" i="16"/>
  <c r="S10" i="16"/>
  <c r="T10" i="16"/>
  <c r="AD4" i="16"/>
  <c r="V4" i="14"/>
  <c r="Q5" i="14"/>
  <c r="R5" i="14"/>
  <c r="S5" i="14"/>
  <c r="Q6" i="14"/>
  <c r="R6" i="14"/>
  <c r="S6" i="14"/>
  <c r="AC4" i="14"/>
  <c r="S4" i="14"/>
  <c r="R4" i="14"/>
  <c r="Q4" i="14"/>
  <c r="U4" i="14" s="1"/>
  <c r="Q5" i="13"/>
  <c r="R5" i="13"/>
  <c r="S5" i="13"/>
  <c r="T5" i="13"/>
  <c r="Q6" i="13"/>
  <c r="R6" i="13"/>
  <c r="S6" i="13"/>
  <c r="AC6" i="13"/>
  <c r="Q7" i="13"/>
  <c r="R7" i="13"/>
  <c r="S7" i="13"/>
  <c r="Q8" i="13"/>
  <c r="R8" i="13"/>
  <c r="S8" i="13"/>
  <c r="Q9" i="13"/>
  <c r="R9" i="13"/>
  <c r="S9" i="13"/>
  <c r="AC9" i="13"/>
  <c r="Q5" i="12"/>
  <c r="R5" i="12"/>
  <c r="S5" i="12"/>
  <c r="Q6" i="12"/>
  <c r="R6" i="12"/>
  <c r="T6" i="12" s="1"/>
  <c r="S6" i="12"/>
  <c r="Q7" i="12"/>
  <c r="R7" i="12"/>
  <c r="S7" i="12"/>
  <c r="Q8" i="12"/>
  <c r="R8" i="12"/>
  <c r="S8" i="12"/>
  <c r="AC8" i="12"/>
  <c r="Q9" i="12"/>
  <c r="R9" i="12"/>
  <c r="S9" i="12"/>
  <c r="U4" i="11"/>
  <c r="Q5" i="11"/>
  <c r="R5" i="11"/>
  <c r="S5" i="11"/>
  <c r="Q6" i="11"/>
  <c r="R6" i="11"/>
  <c r="S6" i="11"/>
  <c r="T6" i="11"/>
  <c r="Q7" i="11"/>
  <c r="R7" i="11"/>
  <c r="S7" i="11"/>
  <c r="T7" i="11"/>
  <c r="AC7" i="11"/>
  <c r="AD7" i="11"/>
  <c r="Q8" i="11"/>
  <c r="R8" i="11"/>
  <c r="S8" i="11"/>
  <c r="Q9" i="11"/>
  <c r="R9" i="11"/>
  <c r="S9" i="11"/>
  <c r="Q10" i="11"/>
  <c r="R10" i="11"/>
  <c r="S10" i="11"/>
  <c r="T10" i="11"/>
  <c r="AC10" i="11"/>
  <c r="AD10" i="11"/>
  <c r="S4" i="19"/>
  <c r="R4" i="19"/>
  <c r="Q4" i="19"/>
  <c r="Q5" i="18"/>
  <c r="R5" i="18"/>
  <c r="S5" i="18"/>
  <c r="S4" i="18"/>
  <c r="R4" i="18"/>
  <c r="Q4" i="18"/>
  <c r="AC4" i="18" s="1"/>
  <c r="S4" i="16"/>
  <c r="R4" i="16"/>
  <c r="Q4" i="16"/>
  <c r="AF4" i="15"/>
  <c r="Z4" i="15"/>
  <c r="X4" i="15"/>
  <c r="Y4" i="15"/>
  <c r="W4" i="15"/>
  <c r="V4" i="15"/>
  <c r="Q5" i="15"/>
  <c r="R5" i="15"/>
  <c r="S5" i="15"/>
  <c r="T5" i="15"/>
  <c r="AC5" i="15"/>
  <c r="AD5" i="15"/>
  <c r="S4" i="15"/>
  <c r="R4" i="15"/>
  <c r="Q4" i="15"/>
  <c r="U4" i="15" s="1"/>
  <c r="S4" i="13"/>
  <c r="R4" i="13"/>
  <c r="Q4" i="13"/>
  <c r="S4" i="12"/>
  <c r="R4" i="12"/>
  <c r="Q4" i="12"/>
  <c r="S4" i="11"/>
  <c r="R4" i="11"/>
  <c r="Q4" i="11"/>
  <c r="Y13" i="12" l="1"/>
  <c r="T14" i="12"/>
  <c r="AC13" i="12"/>
  <c r="T13" i="12"/>
  <c r="AC16" i="11"/>
  <c r="AD16" i="11" s="1"/>
  <c r="AC14" i="12"/>
  <c r="AD14" i="12" s="1"/>
  <c r="AE4" i="18"/>
  <c r="T5" i="18"/>
  <c r="AB12" i="16"/>
  <c r="AA12" i="16"/>
  <c r="AC23" i="16"/>
  <c r="AD23" i="16" s="1"/>
  <c r="V12" i="16"/>
  <c r="AC12" i="16"/>
  <c r="AD12" i="16" s="1"/>
  <c r="AC4" i="19"/>
  <c r="T4" i="19"/>
  <c r="AD10" i="16"/>
  <c r="AC8" i="16"/>
  <c r="AD8" i="16" s="1"/>
  <c r="AC5" i="16"/>
  <c r="AD5" i="16" s="1"/>
  <c r="Z4" i="14"/>
  <c r="T6" i="14"/>
  <c r="X4" i="14"/>
  <c r="T5" i="14"/>
  <c r="T4" i="14"/>
  <c r="AB4" i="14" s="1"/>
  <c r="AD4" i="14"/>
  <c r="W4" i="14"/>
  <c r="Y4" i="14"/>
  <c r="AA4" i="14"/>
  <c r="AC6" i="14"/>
  <c r="T9" i="13"/>
  <c r="T4" i="13"/>
  <c r="AC7" i="13"/>
  <c r="T6" i="13"/>
  <c r="AC5" i="13"/>
  <c r="AD5" i="13" s="1"/>
  <c r="AC8" i="13"/>
  <c r="AD6" i="13"/>
  <c r="U4" i="13"/>
  <c r="AD9" i="13"/>
  <c r="T8" i="13"/>
  <c r="AD8" i="13" s="1"/>
  <c r="T7" i="13"/>
  <c r="AD7" i="13" s="1"/>
  <c r="AC4" i="12"/>
  <c r="Z4" i="12"/>
  <c r="T8" i="12"/>
  <c r="AD8" i="12" s="1"/>
  <c r="AC7" i="12"/>
  <c r="X4" i="12"/>
  <c r="T9" i="12"/>
  <c r="T7" i="12"/>
  <c r="AC6" i="12"/>
  <c r="AD6" i="12" s="1"/>
  <c r="T5" i="12"/>
  <c r="AD7" i="12"/>
  <c r="Z4" i="11"/>
  <c r="X4" i="11"/>
  <c r="T9" i="11"/>
  <c r="T5" i="11"/>
  <c r="T8" i="11"/>
  <c r="AC4" i="11"/>
  <c r="AC6" i="11"/>
  <c r="AD6" i="11" s="1"/>
  <c r="V4" i="11"/>
  <c r="W4" i="11"/>
  <c r="Y4" i="11"/>
  <c r="AC8" i="11"/>
  <c r="AD8" i="11" s="1"/>
  <c r="AC5" i="11"/>
  <c r="AD5" i="11" s="1"/>
  <c r="W4" i="12"/>
  <c r="T4" i="12"/>
  <c r="U4" i="12"/>
  <c r="V4" i="12"/>
  <c r="Y4" i="12"/>
  <c r="AC9" i="12"/>
  <c r="AD9" i="12" s="1"/>
  <c r="AC5" i="14"/>
  <c r="AD5" i="14" s="1"/>
  <c r="AC4" i="13"/>
  <c r="AD4" i="13" s="1"/>
  <c r="AC5" i="12"/>
  <c r="AD5" i="12" s="1"/>
  <c r="AC9" i="11"/>
  <c r="AD9" i="11" s="1"/>
  <c r="T4" i="11"/>
  <c r="T4" i="15"/>
  <c r="AC4" i="15"/>
  <c r="T4" i="16"/>
  <c r="AC4" i="16"/>
  <c r="T4" i="18"/>
  <c r="AC5" i="18"/>
  <c r="AD13" i="12" l="1"/>
  <c r="AA13" i="12"/>
  <c r="AB13" i="12"/>
  <c r="AE13" i="12"/>
  <c r="AF13" i="12"/>
  <c r="AF12" i="16"/>
  <c r="AE12" i="16"/>
  <c r="AD6" i="14"/>
  <c r="AF4" i="14"/>
  <c r="AE4" i="14"/>
  <c r="AB4" i="11"/>
  <c r="AA4" i="11"/>
  <c r="AD4" i="11"/>
  <c r="AA4" i="12"/>
  <c r="AD4" i="12"/>
  <c r="AB4" i="12"/>
  <c r="AF4" i="13"/>
  <c r="AE4" i="13"/>
  <c r="AD4" i="15"/>
  <c r="AE4" i="15" s="1"/>
  <c r="AB4" i="15"/>
  <c r="AA4" i="15"/>
  <c r="AF4" i="11" l="1"/>
  <c r="AE4" i="11"/>
  <c r="AE4" i="12"/>
  <c r="AF4" i="12"/>
</calcChain>
</file>

<file path=xl/sharedStrings.xml><?xml version="1.0" encoding="utf-8"?>
<sst xmlns="http://schemas.openxmlformats.org/spreadsheetml/2006/main" count="220" uniqueCount="36">
  <si>
    <t>ERR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</si>
  <si>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</si>
  <si>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</si>
  <si>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</si>
  <si>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</si>
  <si>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</si>
  <si>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</si>
  <si>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</si>
  <si>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</si>
  <si>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</si>
  <si>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</si>
  <si>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</si>
  <si>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</si>
  <si>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</si>
  <si>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</si>
  <si>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</si>
  <si>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</si>
  <si>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</si>
  <si>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</si>
  <si>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</si>
  <si>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</si>
  <si>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</si>
  <si>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</si>
  <si>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</si>
  <si>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</si>
  <si>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</si>
  <si>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</si>
  <si>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</si>
  <si>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</si>
  <si>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</si>
  <si>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>MIT</t>
  </si>
  <si>
    <t xml:space="preserve">c1 </t>
  </si>
  <si>
    <t>STDAUG</t>
  </si>
  <si>
    <t>PARBS</t>
  </si>
  <si>
    <t>ONLYMIN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</si>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</sst>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workbookViewId="0">
      <selection activeCell="A2" sqref="A2:XFD17"/>
    </sheetView>
  </sheetViews>
  <sheetFormatPr defaultRowHeight="14.4" x14ac:dyDescent="0.3"/>
  <cols>
    <col min="1" max="1" width="9.88671875" customWidth="1"/>
  </cols>
  <sheetData>
    <row r="1" spans="1:27" x14ac:dyDescent="0.3"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0</v>
      </c>
      <c r="N1" t="s">
        <v>14</v>
      </c>
      <c r="O1" t="s">
        <v>16</v>
      </c>
      <c r="P1" t="s">
        <v>17</v>
      </c>
    </row>
    <row r="2" spans="1:27" x14ac:dyDescent="0.3">
      <c r="A2" t="s">
        <v>30</v>
      </c>
    </row>
    <row r="3" spans="1:27" x14ac:dyDescent="0.3">
      <c r="B3" t="s">
        <v>1</v>
      </c>
    </row>
    <row r="4" spans="1:27" x14ac:dyDescent="0.3">
      <c r="C4" t="s">
        <v>2</v>
      </c>
      <c r="G4">
        <v>36.642857142857146</v>
      </c>
      <c r="H4">
        <v>4.9135381491199581</v>
      </c>
      <c r="I4">
        <v>32.5</v>
      </c>
      <c r="J4">
        <v>4.9413223601245315</v>
      </c>
      <c r="K4">
        <v>11</v>
      </c>
      <c r="L4">
        <v>1.9148542155126762</v>
      </c>
      <c r="M4">
        <v>26.714285714285712</v>
      </c>
      <c r="N4">
        <v>3.0470299529856346</v>
      </c>
      <c r="O4">
        <v>15.714285714285714</v>
      </c>
      <c r="P4">
        <v>3.5207247329921398</v>
      </c>
      <c r="R4">
        <v>37.666666666666664</v>
      </c>
      <c r="S4">
        <v>1.4433756729740643</v>
      </c>
      <c r="T4">
        <v>33.333333333333336</v>
      </c>
      <c r="U4">
        <v>4.5092497528228863</v>
      </c>
      <c r="V4">
        <v>11.166666666666666</v>
      </c>
      <c r="W4">
        <v>2.7537852736430528</v>
      </c>
      <c r="X4">
        <v>27.388888888888886</v>
      </c>
      <c r="Y4">
        <v>2.1430335024428788</v>
      </c>
      <c r="Z4">
        <v>16.222222222222221</v>
      </c>
      <c r="AA4">
        <v>2.6369876191790693</v>
      </c>
    </row>
    <row r="5" spans="1:27" x14ac:dyDescent="0.3">
      <c r="C5" t="s">
        <v>32</v>
      </c>
      <c r="F5" t="s">
        <v>18</v>
      </c>
      <c r="G5">
        <v>27.25</v>
      </c>
      <c r="H5">
        <v>4.6124830622995248</v>
      </c>
      <c r="I5">
        <v>27.833333333333332</v>
      </c>
      <c r="J5">
        <v>2.9944392908634274</v>
      </c>
      <c r="K5">
        <v>10.416666666666666</v>
      </c>
      <c r="L5">
        <v>2.8533605917701106</v>
      </c>
      <c r="M5">
        <v>21.833333333333332</v>
      </c>
      <c r="N5">
        <v>2.3452078799117149</v>
      </c>
      <c r="O5">
        <v>11.416666666666664</v>
      </c>
      <c r="P5">
        <v>3.2158461820595017</v>
      </c>
      <c r="Q5" t="s">
        <v>35</v>
      </c>
      <c r="R5">
        <v>26.625</v>
      </c>
      <c r="S5">
        <v>3.6371921404658658</v>
      </c>
      <c r="T5">
        <v>27.625</v>
      </c>
      <c r="U5">
        <v>2.2126530078919591</v>
      </c>
      <c r="V5">
        <v>8.5</v>
      </c>
      <c r="W5">
        <v>2.1602468994692869</v>
      </c>
      <c r="X5">
        <v>20.916666666666668</v>
      </c>
      <c r="Y5">
        <v>1.707825127659933</v>
      </c>
      <c r="Z5">
        <v>12.416666666666668</v>
      </c>
      <c r="AA5">
        <v>1.2583057392117916</v>
      </c>
    </row>
    <row r="6" spans="1:27" x14ac:dyDescent="0.3">
      <c r="C6" t="s">
        <v>25</v>
      </c>
    </row>
    <row r="7" spans="1:27" x14ac:dyDescent="0.3">
      <c r="D7" t="s">
        <v>32</v>
      </c>
      <c r="F7" t="s">
        <v>19</v>
      </c>
      <c r="G7">
        <v>25.666666666666668</v>
      </c>
      <c r="H7">
        <v>2.9297326385411577</v>
      </c>
      <c r="I7">
        <v>27.333333333333332</v>
      </c>
      <c r="J7">
        <v>5.3463383107818059</v>
      </c>
      <c r="K7">
        <v>10.666666666666666</v>
      </c>
      <c r="L7">
        <v>0.57735026918962573</v>
      </c>
      <c r="M7">
        <v>21.222222222222218</v>
      </c>
      <c r="N7">
        <v>1.1706281947614148</v>
      </c>
      <c r="O7">
        <v>10.555555555555555</v>
      </c>
      <c r="P7">
        <v>1.677740985615729</v>
      </c>
    </row>
    <row r="8" spans="1:27" x14ac:dyDescent="0.3">
      <c r="F8" t="s">
        <v>35</v>
      </c>
      <c r="G8">
        <v>27.416666666666668</v>
      </c>
      <c r="H8">
        <v>2.083666640004266</v>
      </c>
      <c r="I8">
        <v>28.583333333333332</v>
      </c>
      <c r="J8">
        <v>3.292668623877387</v>
      </c>
      <c r="K8">
        <v>8.5</v>
      </c>
      <c r="L8">
        <v>1.8973665961010275</v>
      </c>
      <c r="M8">
        <v>21.500000000000004</v>
      </c>
      <c r="N8">
        <v>1.2560962454277844</v>
      </c>
      <c r="O8">
        <v>13</v>
      </c>
      <c r="P8">
        <v>2.0357908646136602</v>
      </c>
    </row>
    <row r="9" spans="1:27" x14ac:dyDescent="0.3">
      <c r="D9" t="s">
        <v>34</v>
      </c>
    </row>
    <row r="10" spans="1:27" x14ac:dyDescent="0.3">
      <c r="E10" t="s">
        <v>32</v>
      </c>
      <c r="G10">
        <v>31.875</v>
      </c>
      <c r="H10">
        <v>2.2867371223353739</v>
      </c>
      <c r="I10">
        <v>27.5</v>
      </c>
      <c r="J10">
        <v>3.5590260840104371</v>
      </c>
      <c r="K10">
        <v>8.125</v>
      </c>
      <c r="L10">
        <v>2.056493779875511</v>
      </c>
      <c r="M10">
        <v>22.5</v>
      </c>
      <c r="N10">
        <v>1.3402597868683137</v>
      </c>
      <c r="O10">
        <v>14.375</v>
      </c>
      <c r="P10">
        <v>2.532657073480697</v>
      </c>
    </row>
    <row r="11" spans="1:27" x14ac:dyDescent="0.3">
      <c r="G11">
        <v>29.625</v>
      </c>
      <c r="H11">
        <v>2.6259918760981216</v>
      </c>
      <c r="I11">
        <v>27.375</v>
      </c>
      <c r="J11">
        <v>5.0559371040391712</v>
      </c>
      <c r="K11">
        <v>11</v>
      </c>
      <c r="L11">
        <v>0.40824829046386302</v>
      </c>
      <c r="M11">
        <v>22.666666666666668</v>
      </c>
      <c r="N11">
        <v>2.1125725935368393</v>
      </c>
      <c r="O11">
        <v>11.666666666666668</v>
      </c>
      <c r="P11">
        <v>2.4645636680909782</v>
      </c>
    </row>
    <row r="13" spans="1:27" x14ac:dyDescent="0.3">
      <c r="B13" t="s">
        <v>33</v>
      </c>
    </row>
    <row r="14" spans="1:27" x14ac:dyDescent="0.3">
      <c r="C14" t="s">
        <v>2</v>
      </c>
      <c r="G14">
        <v>23.833333333333332</v>
      </c>
      <c r="H14">
        <v>3.6968455021364766</v>
      </c>
      <c r="I14">
        <v>22</v>
      </c>
      <c r="J14">
        <v>3.03315017762062</v>
      </c>
      <c r="K14">
        <v>8.5833333333333339</v>
      </c>
      <c r="L14">
        <v>1.9853631070075477</v>
      </c>
      <c r="M14">
        <v>18.138888888888889</v>
      </c>
      <c r="N14">
        <v>2.2959303770576787</v>
      </c>
      <c r="O14">
        <v>9.5555555555555554</v>
      </c>
      <c r="P14">
        <v>1.9254629073050034</v>
      </c>
      <c r="R14">
        <v>22.333333333333332</v>
      </c>
      <c r="S14">
        <v>3.2145502536643242</v>
      </c>
      <c r="T14">
        <v>21</v>
      </c>
      <c r="U14">
        <v>4</v>
      </c>
      <c r="V14">
        <v>10.333333333333334</v>
      </c>
      <c r="W14">
        <v>3.2532035493238571</v>
      </c>
      <c r="X14">
        <v>17.888888888888889</v>
      </c>
      <c r="Y14">
        <v>1.0584754935143132</v>
      </c>
      <c r="Z14">
        <v>7.5555555555555562</v>
      </c>
      <c r="AA14">
        <v>2.364866294865863</v>
      </c>
    </row>
    <row r="15" spans="1:27" x14ac:dyDescent="0.3">
      <c r="C15" t="s">
        <v>32</v>
      </c>
      <c r="F15" t="s">
        <v>18</v>
      </c>
      <c r="G15">
        <v>18.666666666666668</v>
      </c>
      <c r="H15">
        <v>5.9651767227244301</v>
      </c>
      <c r="I15">
        <v>19.333333333333332</v>
      </c>
      <c r="J15">
        <v>3.6855573979160021</v>
      </c>
      <c r="K15">
        <v>10.5</v>
      </c>
      <c r="L15">
        <v>0.5</v>
      </c>
      <c r="M15">
        <v>16.166666666666668</v>
      </c>
      <c r="N15">
        <v>3.3706247360261101</v>
      </c>
      <c r="O15">
        <v>5.666666666666667</v>
      </c>
      <c r="P15">
        <v>2.9059326290271166</v>
      </c>
    </row>
    <row r="16" spans="1:27" x14ac:dyDescent="0.3">
      <c r="C16" t="s">
        <v>25</v>
      </c>
    </row>
    <row r="17" spans="4:16" x14ac:dyDescent="0.3">
      <c r="F17" t="s">
        <v>35</v>
      </c>
      <c r="G17">
        <v>23.5</v>
      </c>
      <c r="H17">
        <v>5.634713834792322</v>
      </c>
      <c r="I17">
        <v>22.5</v>
      </c>
      <c r="J17">
        <v>5.4083269131959844</v>
      </c>
      <c r="K17">
        <v>7</v>
      </c>
      <c r="L17">
        <v>2.2912878474779199</v>
      </c>
      <c r="M17">
        <v>17.666666666666668</v>
      </c>
      <c r="N17">
        <v>4.3429380735984644</v>
      </c>
      <c r="O17">
        <v>10.666666666666666</v>
      </c>
      <c r="P17">
        <v>2.4209731743889984</v>
      </c>
    </row>
    <row r="18" spans="4:16" x14ac:dyDescent="0.3">
      <c r="D18" t="s">
        <v>34</v>
      </c>
    </row>
    <row r="19" spans="4:16" x14ac:dyDescent="0.3">
      <c r="E19" t="s">
        <v>32</v>
      </c>
      <c r="G19">
        <v>21.5</v>
      </c>
      <c r="H19">
        <v>4.5</v>
      </c>
      <c r="I19">
        <v>22.666666666666668</v>
      </c>
      <c r="J19">
        <v>3.8188130791298716</v>
      </c>
      <c r="K19">
        <v>10.666666666666666</v>
      </c>
      <c r="L19">
        <v>0.28867513459481292</v>
      </c>
      <c r="M19">
        <v>18.277777777777775</v>
      </c>
      <c r="N19">
        <v>2.3589859717291444</v>
      </c>
      <c r="O19">
        <v>7.6111111111111107</v>
      </c>
      <c r="P19">
        <v>2.0705161281760218</v>
      </c>
    </row>
    <row r="20" spans="4:16" x14ac:dyDescent="0.3">
      <c r="F20" t="s">
        <v>35</v>
      </c>
      <c r="G20">
        <v>22.666666666666668</v>
      </c>
      <c r="H20">
        <v>3.7859388972001873</v>
      </c>
      <c r="I20">
        <v>20.833333333333332</v>
      </c>
      <c r="J20">
        <v>4.2524502740576953</v>
      </c>
      <c r="K20">
        <v>11.166666666666666</v>
      </c>
      <c r="L20">
        <v>1.0408329997330665</v>
      </c>
      <c r="M20">
        <v>18.222222222222225</v>
      </c>
      <c r="N20">
        <v>2.2750661366047948</v>
      </c>
      <c r="O20">
        <v>7.0555555555555562</v>
      </c>
      <c r="P20">
        <v>3.3096380019125498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5"/>
  <sheetViews>
    <sheetView topLeftCell="O1" workbookViewId="0">
      <selection activeCell="Q2" sqref="Q2: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75</v>
      </c>
      <c r="C4">
        <v>25</v>
      </c>
      <c r="D4">
        <v>33</v>
      </c>
      <c r="E4">
        <v>67</v>
      </c>
      <c r="G4">
        <v>84</v>
      </c>
      <c r="H4">
        <v>16</v>
      </c>
      <c r="I4">
        <v>33</v>
      </c>
      <c r="J4">
        <v>67</v>
      </c>
      <c r="L4">
        <v>90</v>
      </c>
      <c r="M4">
        <v>10</v>
      </c>
      <c r="N4">
        <v>9</v>
      </c>
      <c r="O4">
        <v>91</v>
      </c>
      <c r="Q4">
        <f>AVERAGE(C4,D4)</f>
        <v>29</v>
      </c>
      <c r="R4">
        <f>AVERAGE(H4,I4)</f>
        <v>24.5</v>
      </c>
      <c r="S4">
        <f>AVERAGE(M4,N4)</f>
        <v>9.5</v>
      </c>
      <c r="T4">
        <f>AVERAGE(Q4:S4)</f>
        <v>21</v>
      </c>
      <c r="U4">
        <f>AVERAGE(Q4:Q7)</f>
        <v>31.875</v>
      </c>
      <c r="V4">
        <f>_xlfn.STDEV.S(Q4:Q7)</f>
        <v>2.2867371223353739</v>
      </c>
      <c r="W4">
        <f>AVERAGE(R4:R7)</f>
        <v>27.5</v>
      </c>
      <c r="X4">
        <f>_xlfn.STDEV.S(R4:R7)</f>
        <v>3.5590260840104371</v>
      </c>
      <c r="Y4">
        <f>AVERAGE(S4:S7)</f>
        <v>8.125</v>
      </c>
      <c r="Z4">
        <f>_xlfn.STDEV.S(S4:S7)</f>
        <v>2.056493779875511</v>
      </c>
      <c r="AA4">
        <f>AVERAGE(T4:T7)</f>
        <v>22.5</v>
      </c>
      <c r="AB4">
        <f>_xlfn.STDEV.S(T4:T7)</f>
        <v>1.3402597868683137</v>
      </c>
      <c r="AC4">
        <f>MIN(Q4:S4)</f>
        <v>9.5</v>
      </c>
      <c r="AD4">
        <f>(T4-AC4)</f>
        <v>11.5</v>
      </c>
      <c r="AE4">
        <f>AVERAGE(AD4:AD7)</f>
        <v>14.375</v>
      </c>
      <c r="AF4">
        <f>_xlfn.STDEV.S(AD4:AD7)</f>
        <v>2.532657073480697</v>
      </c>
    </row>
    <row r="5" spans="1:32" x14ac:dyDescent="0.3">
      <c r="B5">
        <v>75</v>
      </c>
      <c r="C5">
        <v>25</v>
      </c>
      <c r="D5">
        <v>40</v>
      </c>
      <c r="E5">
        <v>60</v>
      </c>
      <c r="G5">
        <v>85</v>
      </c>
      <c r="H5">
        <v>15</v>
      </c>
      <c r="I5">
        <v>36</v>
      </c>
      <c r="J5">
        <v>64</v>
      </c>
      <c r="L5">
        <v>94</v>
      </c>
      <c r="M5">
        <v>6</v>
      </c>
      <c r="N5">
        <v>9</v>
      </c>
      <c r="O5">
        <v>91</v>
      </c>
      <c r="Q5">
        <f t="shared" ref="Q5:Q7" si="0">AVERAGE(C5,D5)</f>
        <v>32.5</v>
      </c>
      <c r="R5">
        <f t="shared" ref="R5:R7" si="1">AVERAGE(H5,I5)</f>
        <v>25.5</v>
      </c>
      <c r="S5">
        <f t="shared" ref="S5:S7" si="2">AVERAGE(M5,N5)</f>
        <v>7.5</v>
      </c>
      <c r="T5">
        <f t="shared" ref="T5:T7" si="3">AVERAGE(Q5:S5)</f>
        <v>21.833333333333332</v>
      </c>
      <c r="AC5">
        <f t="shared" ref="AC5:AC7" si="4">MIN(Q5:S5)</f>
        <v>7.5</v>
      </c>
      <c r="AD5">
        <f t="shared" ref="AD5:AD7" si="5">(T5-AC5)</f>
        <v>14.333333333333332</v>
      </c>
    </row>
    <row r="6" spans="1:32" x14ac:dyDescent="0.3">
      <c r="B6">
        <v>76</v>
      </c>
      <c r="C6">
        <v>24</v>
      </c>
      <c r="D6">
        <v>45</v>
      </c>
      <c r="E6">
        <v>55</v>
      </c>
      <c r="G6">
        <v>88</v>
      </c>
      <c r="H6">
        <v>12</v>
      </c>
      <c r="I6">
        <v>43</v>
      </c>
      <c r="J6">
        <v>57</v>
      </c>
      <c r="L6">
        <v>95</v>
      </c>
      <c r="M6">
        <v>5</v>
      </c>
      <c r="N6">
        <v>15</v>
      </c>
      <c r="O6">
        <v>85</v>
      </c>
      <c r="Q6">
        <f t="shared" si="0"/>
        <v>34.5</v>
      </c>
      <c r="R6">
        <f t="shared" si="1"/>
        <v>27.5</v>
      </c>
      <c r="S6">
        <f t="shared" si="2"/>
        <v>10</v>
      </c>
      <c r="T6">
        <f t="shared" si="3"/>
        <v>24</v>
      </c>
      <c r="AC6">
        <f t="shared" si="4"/>
        <v>10</v>
      </c>
      <c r="AD6">
        <f t="shared" si="5"/>
        <v>14</v>
      </c>
    </row>
    <row r="7" spans="1:32" x14ac:dyDescent="0.3">
      <c r="A7" t="s">
        <v>20</v>
      </c>
      <c r="B7">
        <v>59</v>
      </c>
      <c r="C7">
        <v>41</v>
      </c>
      <c r="D7">
        <v>22</v>
      </c>
      <c r="E7">
        <v>78</v>
      </c>
      <c r="G7">
        <v>65</v>
      </c>
      <c r="H7">
        <v>35</v>
      </c>
      <c r="I7">
        <v>30</v>
      </c>
      <c r="J7">
        <v>70</v>
      </c>
      <c r="L7">
        <v>96</v>
      </c>
      <c r="M7">
        <v>4</v>
      </c>
      <c r="N7">
        <v>7</v>
      </c>
      <c r="O7">
        <v>93</v>
      </c>
      <c r="Q7">
        <f t="shared" si="0"/>
        <v>31.5</v>
      </c>
      <c r="R7">
        <f t="shared" si="1"/>
        <v>32.5</v>
      </c>
      <c r="S7">
        <f t="shared" si="2"/>
        <v>5.5</v>
      </c>
      <c r="T7">
        <f t="shared" si="3"/>
        <v>23.166666666666668</v>
      </c>
      <c r="AC7">
        <f t="shared" si="4"/>
        <v>5.5</v>
      </c>
      <c r="AD7">
        <f t="shared" si="5"/>
        <v>17.666666666666668</v>
      </c>
    </row>
    <row r="11" spans="1:32" x14ac:dyDescent="0.3">
      <c r="A11" t="s">
        <v>35</v>
      </c>
    </row>
    <row r="12" spans="1:32" x14ac:dyDescent="0.3">
      <c r="B12">
        <v>70</v>
      </c>
      <c r="C12">
        <v>30</v>
      </c>
      <c r="D12">
        <v>37</v>
      </c>
      <c r="E12">
        <v>63</v>
      </c>
      <c r="G12">
        <v>76</v>
      </c>
      <c r="H12">
        <v>24</v>
      </c>
      <c r="I12">
        <v>39</v>
      </c>
      <c r="J12">
        <v>61</v>
      </c>
      <c r="L12">
        <v>95</v>
      </c>
      <c r="M12">
        <v>5</v>
      </c>
      <c r="N12">
        <v>16</v>
      </c>
      <c r="O12">
        <v>84</v>
      </c>
      <c r="Q12">
        <f t="shared" ref="Q12:Q15" si="6">AVERAGE(C12,D12)</f>
        <v>33.5</v>
      </c>
      <c r="R12">
        <f t="shared" ref="R12:R15" si="7">AVERAGE(H12,I12)</f>
        <v>31.5</v>
      </c>
      <c r="S12">
        <f t="shared" ref="S12:S15" si="8">AVERAGE(M12,N12)</f>
        <v>10.5</v>
      </c>
      <c r="T12">
        <f t="shared" ref="T12:T15" si="9">AVERAGE(Q12:S12)</f>
        <v>25.166666666666668</v>
      </c>
      <c r="U12">
        <f>AVERAGE(Q12:Q15)</f>
        <v>29.625</v>
      </c>
      <c r="V12">
        <f>_xlfn.STDEV.S(Q12:Q15)</f>
        <v>2.6259918760981216</v>
      </c>
      <c r="W12">
        <f>AVERAGE(R12:R15)</f>
        <v>27.375</v>
      </c>
      <c r="X12">
        <f>_xlfn.STDEV.S(R12:R15)</f>
        <v>5.0559371040391712</v>
      </c>
      <c r="Y12">
        <f>AVERAGE(S12:S15)</f>
        <v>11</v>
      </c>
      <c r="Z12">
        <f>_xlfn.STDEV.S(S12:S15)</f>
        <v>0.40824829046386302</v>
      </c>
      <c r="AA12">
        <f>AVERAGE(T12:T15)</f>
        <v>22.666666666666668</v>
      </c>
      <c r="AB12">
        <f>_xlfn.STDEV.S(T12:T15)</f>
        <v>2.1125725935368393</v>
      </c>
      <c r="AC12">
        <f t="shared" ref="AC12:AC15" si="10">MIN(Q12:S12)</f>
        <v>10.5</v>
      </c>
      <c r="AD12">
        <f t="shared" ref="AD12:AD15" si="11">(T12-AC12)</f>
        <v>14.666666666666668</v>
      </c>
      <c r="AE12">
        <f>AVERAGE(AD12:AD15)</f>
        <v>11.666666666666668</v>
      </c>
      <c r="AF12">
        <f>_xlfn.STDEV.S(AD12:AD15)</f>
        <v>2.4645636680909782</v>
      </c>
    </row>
    <row r="13" spans="1:32" x14ac:dyDescent="0.3">
      <c r="B13">
        <v>71</v>
      </c>
      <c r="C13">
        <v>29</v>
      </c>
      <c r="D13">
        <v>27</v>
      </c>
      <c r="E13">
        <v>73</v>
      </c>
      <c r="G13">
        <v>89</v>
      </c>
      <c r="H13">
        <v>11</v>
      </c>
      <c r="I13">
        <v>35</v>
      </c>
      <c r="J13">
        <v>65</v>
      </c>
      <c r="L13">
        <v>87</v>
      </c>
      <c r="M13">
        <v>13</v>
      </c>
      <c r="N13">
        <v>10</v>
      </c>
      <c r="O13">
        <v>90</v>
      </c>
      <c r="Q13">
        <f t="shared" si="6"/>
        <v>28</v>
      </c>
      <c r="R13">
        <f t="shared" si="7"/>
        <v>23</v>
      </c>
      <c r="S13">
        <f t="shared" si="8"/>
        <v>11.5</v>
      </c>
      <c r="T13">
        <f t="shared" si="9"/>
        <v>20.833333333333332</v>
      </c>
      <c r="AC13">
        <f t="shared" si="10"/>
        <v>11.5</v>
      </c>
      <c r="AD13">
        <f t="shared" si="11"/>
        <v>9.3333333333333321</v>
      </c>
    </row>
    <row r="14" spans="1:32" x14ac:dyDescent="0.3">
      <c r="B14">
        <v>65</v>
      </c>
      <c r="C14">
        <v>35</v>
      </c>
      <c r="D14">
        <v>23</v>
      </c>
      <c r="E14">
        <v>77</v>
      </c>
      <c r="G14">
        <v>85</v>
      </c>
      <c r="H14">
        <v>15</v>
      </c>
      <c r="I14">
        <v>31</v>
      </c>
      <c r="J14">
        <v>69</v>
      </c>
      <c r="L14">
        <v>87</v>
      </c>
      <c r="M14">
        <v>13</v>
      </c>
      <c r="N14">
        <v>9</v>
      </c>
      <c r="O14">
        <v>91</v>
      </c>
      <c r="Q14">
        <f t="shared" si="6"/>
        <v>29</v>
      </c>
      <c r="R14">
        <f t="shared" si="7"/>
        <v>23</v>
      </c>
      <c r="S14">
        <f t="shared" si="8"/>
        <v>11</v>
      </c>
      <c r="T14">
        <f t="shared" si="9"/>
        <v>21</v>
      </c>
      <c r="AC14">
        <f t="shared" si="10"/>
        <v>11</v>
      </c>
      <c r="AD14">
        <f t="shared" si="11"/>
        <v>10</v>
      </c>
    </row>
    <row r="15" spans="1:32" x14ac:dyDescent="0.3">
      <c r="B15">
        <v>68</v>
      </c>
      <c r="C15">
        <v>32</v>
      </c>
      <c r="D15">
        <v>24</v>
      </c>
      <c r="E15">
        <v>76</v>
      </c>
      <c r="G15">
        <v>76</v>
      </c>
      <c r="H15">
        <v>24</v>
      </c>
      <c r="I15">
        <v>40</v>
      </c>
      <c r="J15">
        <v>60</v>
      </c>
      <c r="L15">
        <v>93</v>
      </c>
      <c r="M15">
        <v>7</v>
      </c>
      <c r="N15">
        <v>15</v>
      </c>
      <c r="O15">
        <v>85</v>
      </c>
      <c r="Q15">
        <f t="shared" si="6"/>
        <v>28</v>
      </c>
      <c r="R15">
        <f t="shared" si="7"/>
        <v>32</v>
      </c>
      <c r="S15">
        <f t="shared" si="8"/>
        <v>11</v>
      </c>
      <c r="T15">
        <f t="shared" si="9"/>
        <v>23.666666666666668</v>
      </c>
      <c r="AC15">
        <f t="shared" si="10"/>
        <v>11</v>
      </c>
      <c r="AD15">
        <f t="shared" si="11"/>
        <v>12.666666666666668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7A7D-364E-47EE-A0F3-0D888512E587}">
  <dimension ref="A2:AF6"/>
  <sheetViews>
    <sheetView topLeftCell="N1" workbookViewId="0">
      <selection activeCell="AE4" sqref="AE4: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68</v>
      </c>
      <c r="C4">
        <v>32</v>
      </c>
      <c r="D4">
        <v>28</v>
      </c>
      <c r="E4">
        <v>72</v>
      </c>
      <c r="G4">
        <v>88</v>
      </c>
      <c r="H4">
        <v>12</v>
      </c>
      <c r="I4">
        <v>45</v>
      </c>
      <c r="J4">
        <v>55</v>
      </c>
      <c r="L4">
        <v>93</v>
      </c>
      <c r="M4">
        <v>7</v>
      </c>
      <c r="N4">
        <v>12</v>
      </c>
      <c r="O4">
        <v>88</v>
      </c>
      <c r="Q4">
        <f>AVERAGE(C4,D4)</f>
        <v>30</v>
      </c>
      <c r="R4">
        <f>AVERAGE(H4,I4)</f>
        <v>28.5</v>
      </c>
      <c r="S4">
        <f>AVERAGE(M4,N4)</f>
        <v>9.5</v>
      </c>
      <c r="T4">
        <f>AVERAGE(Q4:S4)</f>
        <v>22.666666666666668</v>
      </c>
      <c r="U4">
        <f>AVERAGE(Q4,Q5:Q6)</f>
        <v>23.5</v>
      </c>
      <c r="V4">
        <f>_xlfn.STDEV.S(Q4,Q5:Q6)</f>
        <v>5.634713834792322</v>
      </c>
      <c r="W4">
        <f>AVERAGE(R4,R5:R6)</f>
        <v>22.5</v>
      </c>
      <c r="X4">
        <f>_xlfn.STDEV.S(R4,R5:R6)</f>
        <v>5.4083269131959844</v>
      </c>
      <c r="Y4">
        <f>AVERAGE(S4,S5:S6)</f>
        <v>7</v>
      </c>
      <c r="Z4">
        <f>_xlfn.STDEV.S(S4,S5:S6)</f>
        <v>2.2912878474779199</v>
      </c>
      <c r="AA4">
        <f>AVERAGE(T4,T5:T6)</f>
        <v>17.666666666666668</v>
      </c>
      <c r="AB4">
        <f>_xlfn.STDEV.S(T4,T5:T6)</f>
        <v>4.3429380735984644</v>
      </c>
      <c r="AC4">
        <f>MIN(Q4:S4)</f>
        <v>9.5</v>
      </c>
      <c r="AD4">
        <f>(T4-AC4)</f>
        <v>13.166666666666668</v>
      </c>
      <c r="AE4">
        <f>AVERAGE(AD4,AD5:AD6)</f>
        <v>10.666666666666666</v>
      </c>
      <c r="AF4">
        <f>_xlfn.STDEV.S(AD4,AD5:AD6)</f>
        <v>2.4209731743889984</v>
      </c>
    </row>
    <row r="5" spans="1:32" x14ac:dyDescent="0.3">
      <c r="B5">
        <v>82</v>
      </c>
      <c r="C5">
        <v>18</v>
      </c>
      <c r="D5">
        <v>22</v>
      </c>
      <c r="E5">
        <v>78</v>
      </c>
      <c r="G5">
        <v>90</v>
      </c>
      <c r="H5">
        <v>10</v>
      </c>
      <c r="I5">
        <v>26</v>
      </c>
      <c r="J5">
        <v>74</v>
      </c>
      <c r="L5">
        <v>97</v>
      </c>
      <c r="M5">
        <v>3</v>
      </c>
      <c r="N5">
        <v>10</v>
      </c>
      <c r="O5">
        <v>90</v>
      </c>
      <c r="Q5">
        <f>AVERAGE(C5,D5)</f>
        <v>20</v>
      </c>
      <c r="R5">
        <f>AVERAGE(H5,I5)</f>
        <v>18</v>
      </c>
      <c r="S5">
        <f>AVERAGE(M5,N5)</f>
        <v>6.5</v>
      </c>
      <c r="T5">
        <f>AVERAGE(Q5:S5)</f>
        <v>14.833333333333334</v>
      </c>
      <c r="AC5">
        <f>MIN(Q5:S5)</f>
        <v>6.5</v>
      </c>
      <c r="AD5">
        <f t="shared" ref="AD5:AD6" si="0">(T5-AC5)</f>
        <v>8.3333333333333339</v>
      </c>
    </row>
    <row r="6" spans="1:32" x14ac:dyDescent="0.3">
      <c r="B6">
        <v>85</v>
      </c>
      <c r="C6">
        <v>15</v>
      </c>
      <c r="D6">
        <v>26</v>
      </c>
      <c r="E6">
        <v>74</v>
      </c>
      <c r="G6">
        <v>94</v>
      </c>
      <c r="H6">
        <v>6</v>
      </c>
      <c r="I6">
        <v>36</v>
      </c>
      <c r="J6">
        <v>64</v>
      </c>
      <c r="L6">
        <v>96</v>
      </c>
      <c r="M6">
        <v>4</v>
      </c>
      <c r="N6">
        <v>6</v>
      </c>
      <c r="O6">
        <v>94</v>
      </c>
      <c r="Q6">
        <f>AVERAGE(C6,D6)</f>
        <v>20.5</v>
      </c>
      <c r="R6">
        <f>AVERAGE(H6,I6)</f>
        <v>21</v>
      </c>
      <c r="S6">
        <f>AVERAGE(M6,N6)</f>
        <v>5</v>
      </c>
      <c r="T6">
        <f>AVERAGE(Q6:S6)</f>
        <v>15.5</v>
      </c>
      <c r="AC6">
        <f>MIN(Q6:S6)</f>
        <v>5</v>
      </c>
      <c r="AD6">
        <f t="shared" si="0"/>
        <v>10.5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4"/>
  <sheetViews>
    <sheetView topLeftCell="L1" workbookViewId="0">
      <selection activeCell="AF12" activeCellId="2" sqref="U12:AB12 AE12 AF12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78</v>
      </c>
      <c r="C4">
        <v>22</v>
      </c>
      <c r="D4">
        <v>30</v>
      </c>
      <c r="E4">
        <v>70</v>
      </c>
      <c r="G4">
        <v>87</v>
      </c>
      <c r="H4">
        <v>13</v>
      </c>
      <c r="I4">
        <v>39</v>
      </c>
      <c r="J4">
        <v>61</v>
      </c>
      <c r="L4">
        <v>93</v>
      </c>
      <c r="M4">
        <v>7</v>
      </c>
      <c r="N4">
        <v>15</v>
      </c>
      <c r="O4">
        <v>85</v>
      </c>
      <c r="Q4">
        <f>AVERAGE(C4:D4)</f>
        <v>26</v>
      </c>
      <c r="R4">
        <f>AVERAGE(H4:I4)</f>
        <v>26</v>
      </c>
      <c r="S4">
        <f>AVERAGE(M4:N4)</f>
        <v>11</v>
      </c>
      <c r="T4">
        <f>AVERAGE(Q4:S4)</f>
        <v>21</v>
      </c>
      <c r="U4">
        <f>AVERAGE(Q4:Q6)</f>
        <v>21.5</v>
      </c>
      <c r="V4">
        <f>_xlfn.STDEV.S(Q4:Q6)</f>
        <v>4.5</v>
      </c>
      <c r="W4">
        <f>AVERAGE(R4:R6)</f>
        <v>22.666666666666668</v>
      </c>
      <c r="X4">
        <f>_xlfn.STDEV.S(R4:R6)</f>
        <v>3.8188130791298716</v>
      </c>
      <c r="Y4">
        <f>AVERAGE(S4:S6)</f>
        <v>10.666666666666666</v>
      </c>
      <c r="Z4">
        <f>_xlfn.STDEV.S(S4:S6)</f>
        <v>0.28867513459481292</v>
      </c>
      <c r="AA4">
        <f>AVERAGE(T4:T6)</f>
        <v>18.277777777777775</v>
      </c>
      <c r="AB4">
        <f>_xlfn.STDEV.S(T4:T6)</f>
        <v>2.3589859717291444</v>
      </c>
      <c r="AC4">
        <f>MIN(Q4:S4)</f>
        <v>11</v>
      </c>
      <c r="AD4">
        <f>T4-AC4</f>
        <v>10</v>
      </c>
      <c r="AE4">
        <f>AVERAGE(AD4:AD6)</f>
        <v>7.6111111111111107</v>
      </c>
      <c r="AF4">
        <f>_xlfn.STDEV.S(AD4:AD6)</f>
        <v>2.0705161281760218</v>
      </c>
    </row>
    <row r="5" spans="1:32" x14ac:dyDescent="0.3">
      <c r="B5">
        <v>79</v>
      </c>
      <c r="C5">
        <v>21</v>
      </c>
      <c r="D5">
        <v>13</v>
      </c>
      <c r="E5">
        <v>87</v>
      </c>
      <c r="G5">
        <v>88</v>
      </c>
      <c r="H5">
        <v>12</v>
      </c>
      <c r="I5">
        <v>35</v>
      </c>
      <c r="J5">
        <v>65</v>
      </c>
      <c r="L5">
        <v>91</v>
      </c>
      <c r="M5">
        <v>9</v>
      </c>
      <c r="N5">
        <v>12</v>
      </c>
      <c r="O5">
        <v>88</v>
      </c>
      <c r="Q5">
        <f t="shared" ref="Q5:Q6" si="0">AVERAGE(C5:D5)</f>
        <v>17</v>
      </c>
      <c r="R5">
        <f t="shared" ref="R5:R6" si="1">AVERAGE(H5:I5)</f>
        <v>23.5</v>
      </c>
      <c r="S5">
        <f t="shared" ref="S5:S6" si="2">AVERAGE(M5:N5)</f>
        <v>10.5</v>
      </c>
      <c r="T5">
        <f t="shared" ref="T5:T6" si="3">AVERAGE(Q5:S5)</f>
        <v>17</v>
      </c>
      <c r="AC5">
        <f t="shared" ref="AC5:AC6" si="4">MIN(Q5:S5)</f>
        <v>10.5</v>
      </c>
      <c r="AD5">
        <f t="shared" ref="AD5:AD6" si="5">T5-AC5</f>
        <v>6.5</v>
      </c>
    </row>
    <row r="6" spans="1:32" x14ac:dyDescent="0.3">
      <c r="B6">
        <v>77</v>
      </c>
      <c r="C6">
        <v>23</v>
      </c>
      <c r="D6">
        <v>20</v>
      </c>
      <c r="E6">
        <v>80</v>
      </c>
      <c r="G6">
        <v>91</v>
      </c>
      <c r="H6">
        <v>9</v>
      </c>
      <c r="I6">
        <v>28</v>
      </c>
      <c r="J6">
        <v>72</v>
      </c>
      <c r="L6">
        <v>94</v>
      </c>
      <c r="M6">
        <v>6</v>
      </c>
      <c r="N6">
        <v>15</v>
      </c>
      <c r="O6">
        <v>85</v>
      </c>
      <c r="Q6">
        <f t="shared" si="0"/>
        <v>21.5</v>
      </c>
      <c r="R6">
        <f t="shared" si="1"/>
        <v>18.5</v>
      </c>
      <c r="S6">
        <f t="shared" si="2"/>
        <v>10.5</v>
      </c>
      <c r="T6">
        <f t="shared" si="3"/>
        <v>16.833333333333332</v>
      </c>
      <c r="AC6">
        <f t="shared" si="4"/>
        <v>10.5</v>
      </c>
      <c r="AD6">
        <f t="shared" si="5"/>
        <v>6.3333333333333321</v>
      </c>
    </row>
    <row r="7" spans="1:32" x14ac:dyDescent="0.3">
      <c r="A7" t="s">
        <v>20</v>
      </c>
    </row>
    <row r="11" spans="1:32" x14ac:dyDescent="0.3">
      <c r="A11" t="s">
        <v>35</v>
      </c>
    </row>
    <row r="12" spans="1:32" x14ac:dyDescent="0.3">
      <c r="B12">
        <v>80</v>
      </c>
      <c r="C12">
        <v>20</v>
      </c>
      <c r="D12">
        <v>20</v>
      </c>
      <c r="E12">
        <v>80</v>
      </c>
      <c r="G12">
        <v>93</v>
      </c>
      <c r="H12">
        <v>7</v>
      </c>
      <c r="I12">
        <v>26</v>
      </c>
      <c r="J12">
        <v>74</v>
      </c>
      <c r="L12">
        <v>91</v>
      </c>
      <c r="M12">
        <v>9</v>
      </c>
      <c r="N12">
        <v>15</v>
      </c>
      <c r="O12">
        <v>85</v>
      </c>
      <c r="Q12">
        <f t="shared" ref="Q12:Q14" si="6">AVERAGE(C12:D12)</f>
        <v>20</v>
      </c>
      <c r="R12">
        <f t="shared" ref="R12:R14" si="7">AVERAGE(H12:I12)</f>
        <v>16.5</v>
      </c>
      <c r="S12">
        <f t="shared" ref="S12:S14" si="8">AVERAGE(M12:N12)</f>
        <v>12</v>
      </c>
      <c r="T12">
        <f t="shared" ref="T12:T14" si="9">AVERAGE(Q12:S12)</f>
        <v>16.166666666666668</v>
      </c>
      <c r="U12">
        <f>AVERAGE(Q12:Q14)</f>
        <v>22.666666666666668</v>
      </c>
      <c r="V12">
        <f>_xlfn.STDEV.S(Q12:Q14)</f>
        <v>3.7859388972001873</v>
      </c>
      <c r="W12">
        <f>AVERAGE(R12:R14)</f>
        <v>20.833333333333332</v>
      </c>
      <c r="X12">
        <f>_xlfn.STDEV.S(R12:R14)</f>
        <v>4.2524502740576953</v>
      </c>
      <c r="Y12">
        <f>AVERAGE(S12:S14)</f>
        <v>11.166666666666666</v>
      </c>
      <c r="Z12">
        <f>_xlfn.STDEV.S(S12:S14)</f>
        <v>1.0408329997330665</v>
      </c>
      <c r="AA12">
        <f>AVERAGE(T12:T14)</f>
        <v>18.222222222222225</v>
      </c>
      <c r="AB12">
        <f>_xlfn.STDEV.S(T12:T14)</f>
        <v>2.2750661366047948</v>
      </c>
      <c r="AC12">
        <f t="shared" ref="AC12:AC14" si="10">MIN(Q12:S12)</f>
        <v>12</v>
      </c>
      <c r="AD12">
        <f t="shared" ref="AD12:AD14" si="11">T12-AC12</f>
        <v>4.1666666666666679</v>
      </c>
      <c r="AE12">
        <f>AVERAGE(AD12:AD14)</f>
        <v>7.0555555555555562</v>
      </c>
      <c r="AF12">
        <f>_xlfn.STDEV.S(AD12:AD14)</f>
        <v>3.3096380019125498</v>
      </c>
    </row>
    <row r="13" spans="1:32" x14ac:dyDescent="0.3">
      <c r="B13">
        <v>78</v>
      </c>
      <c r="C13">
        <v>22</v>
      </c>
      <c r="D13">
        <v>20</v>
      </c>
      <c r="E13">
        <v>80</v>
      </c>
      <c r="G13">
        <v>87</v>
      </c>
      <c r="H13">
        <v>13</v>
      </c>
      <c r="I13">
        <v>29</v>
      </c>
      <c r="J13">
        <v>71</v>
      </c>
      <c r="L13">
        <v>92</v>
      </c>
      <c r="M13">
        <v>8</v>
      </c>
      <c r="N13">
        <v>15</v>
      </c>
      <c r="O13">
        <v>85</v>
      </c>
      <c r="Q13">
        <f t="shared" si="6"/>
        <v>21</v>
      </c>
      <c r="R13">
        <f t="shared" si="7"/>
        <v>21</v>
      </c>
      <c r="S13">
        <f t="shared" si="8"/>
        <v>11.5</v>
      </c>
      <c r="T13">
        <f t="shared" si="9"/>
        <v>17.833333333333332</v>
      </c>
      <c r="AC13">
        <f t="shared" si="10"/>
        <v>11.5</v>
      </c>
      <c r="AD13">
        <f t="shared" si="11"/>
        <v>6.3333333333333321</v>
      </c>
    </row>
    <row r="14" spans="1:32" x14ac:dyDescent="0.3">
      <c r="B14">
        <v>81</v>
      </c>
      <c r="C14">
        <v>19</v>
      </c>
      <c r="D14">
        <v>35</v>
      </c>
      <c r="E14">
        <v>65</v>
      </c>
      <c r="G14">
        <v>86</v>
      </c>
      <c r="H14">
        <v>14</v>
      </c>
      <c r="I14">
        <v>36</v>
      </c>
      <c r="J14">
        <v>64</v>
      </c>
      <c r="L14">
        <v>88</v>
      </c>
      <c r="M14">
        <v>12</v>
      </c>
      <c r="N14">
        <v>8</v>
      </c>
      <c r="O14">
        <v>92</v>
      </c>
      <c r="Q14">
        <f t="shared" si="6"/>
        <v>27</v>
      </c>
      <c r="R14">
        <f t="shared" si="7"/>
        <v>25</v>
      </c>
      <c r="S14">
        <f t="shared" si="8"/>
        <v>10</v>
      </c>
      <c r="T14">
        <f t="shared" si="9"/>
        <v>20.666666666666668</v>
      </c>
      <c r="AC14">
        <f t="shared" si="10"/>
        <v>10</v>
      </c>
      <c r="AD14">
        <f t="shared" si="11"/>
        <v>10.666666666666668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26"/>
  <sheetViews>
    <sheetView topLeftCell="N9" workbookViewId="0">
      <selection activeCell="AF21" activeCellId="2" sqref="U21:AB21 AE21 AF21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67</v>
      </c>
      <c r="C4">
        <v>33</v>
      </c>
      <c r="D4">
        <v>32</v>
      </c>
      <c r="E4">
        <v>68</v>
      </c>
      <c r="G4">
        <v>80</v>
      </c>
      <c r="H4">
        <v>20</v>
      </c>
      <c r="I4">
        <v>34</v>
      </c>
      <c r="J4">
        <v>66</v>
      </c>
      <c r="L4">
        <v>90</v>
      </c>
      <c r="M4">
        <v>10</v>
      </c>
      <c r="N4">
        <v>9</v>
      </c>
      <c r="O4">
        <v>91</v>
      </c>
      <c r="Q4">
        <f>AVERAGE(C4,D4)</f>
        <v>32.5</v>
      </c>
      <c r="R4">
        <f>AVERAGE(H4,I4)</f>
        <v>27</v>
      </c>
      <c r="S4">
        <f>AVERAGE(M4,N4)</f>
        <v>9.5</v>
      </c>
      <c r="T4">
        <f>AVERAGE(Q4:S4)</f>
        <v>23</v>
      </c>
      <c r="U4">
        <f>AVERAGE(Q4:Q10)</f>
        <v>29.714285714285715</v>
      </c>
      <c r="V4">
        <f>_xlfn.STDEV.S(Q4:Q10)</f>
        <v>4.2314018840996335</v>
      </c>
      <c r="W4">
        <f>AVERAGE(R4:R10)</f>
        <v>26.714285714285715</v>
      </c>
      <c r="X4">
        <f>_xlfn.STDEV.S(R4:R10)</f>
        <v>3.6384193323605869</v>
      </c>
      <c r="Y4">
        <f>AVERAGE(S4:S10)</f>
        <v>9.7857142857142865</v>
      </c>
      <c r="Z4">
        <f>_xlfn.STDEV.S(S4:S10)</f>
        <v>2.8263218567769739</v>
      </c>
      <c r="AA4">
        <f>AVERAGE(T4:T10)</f>
        <v>22.071428571428573</v>
      </c>
      <c r="AB4">
        <f>_xlfn.STDEV.S(T4:T10)</f>
        <v>2.5456155896283152</v>
      </c>
      <c r="AC4">
        <f>MIN(Q4:S4)</f>
        <v>9.5</v>
      </c>
      <c r="AD4">
        <f>(T4-AC4)</f>
        <v>13.5</v>
      </c>
      <c r="AE4">
        <f>AVERAGE(AD4:AD10)</f>
        <v>12.285714285714286</v>
      </c>
      <c r="AF4">
        <f>_xlfn.STDEV.S(AD4:AD10)</f>
        <v>3.0164890765932415</v>
      </c>
    </row>
    <row r="5" spans="1:32" x14ac:dyDescent="0.3">
      <c r="B5">
        <v>67</v>
      </c>
      <c r="C5">
        <v>33</v>
      </c>
      <c r="D5">
        <v>19</v>
      </c>
      <c r="E5">
        <v>81</v>
      </c>
      <c r="G5">
        <v>85</v>
      </c>
      <c r="H5">
        <v>15</v>
      </c>
      <c r="I5">
        <v>32</v>
      </c>
      <c r="J5">
        <v>68</v>
      </c>
      <c r="L5">
        <v>87</v>
      </c>
      <c r="M5">
        <v>13</v>
      </c>
      <c r="N5">
        <v>15</v>
      </c>
      <c r="O5">
        <v>85</v>
      </c>
      <c r="Q5">
        <f t="shared" ref="Q5:Q10" si="0">AVERAGE(C5,D5)</f>
        <v>26</v>
      </c>
      <c r="R5">
        <f t="shared" ref="R5:R10" si="1">AVERAGE(H5,I5)</f>
        <v>23.5</v>
      </c>
      <c r="S5">
        <f t="shared" ref="S5:S10" si="2">AVERAGE(M5,N5)</f>
        <v>14</v>
      </c>
      <c r="T5">
        <f t="shared" ref="T5:T10" si="3">AVERAGE(Q5:S5)</f>
        <v>21.166666666666668</v>
      </c>
      <c r="AC5">
        <f t="shared" ref="AC5:AC10" si="4">MIN(Q5:S5)</f>
        <v>14</v>
      </c>
      <c r="AD5">
        <f t="shared" ref="AD5:AD10" si="5">(T5-AC5)</f>
        <v>7.1666666666666679</v>
      </c>
    </row>
    <row r="6" spans="1:32" x14ac:dyDescent="0.3">
      <c r="B6">
        <v>77</v>
      </c>
      <c r="C6">
        <v>23</v>
      </c>
      <c r="D6">
        <v>32</v>
      </c>
      <c r="E6">
        <v>68</v>
      </c>
      <c r="G6">
        <v>81</v>
      </c>
      <c r="H6">
        <v>19</v>
      </c>
      <c r="I6">
        <v>34</v>
      </c>
      <c r="J6">
        <v>66</v>
      </c>
      <c r="L6">
        <v>99</v>
      </c>
      <c r="M6">
        <v>1</v>
      </c>
      <c r="N6">
        <v>20</v>
      </c>
      <c r="O6">
        <v>80</v>
      </c>
      <c r="Q6">
        <f t="shared" si="0"/>
        <v>27.5</v>
      </c>
      <c r="R6">
        <f t="shared" si="1"/>
        <v>26.5</v>
      </c>
      <c r="S6">
        <f t="shared" si="2"/>
        <v>10.5</v>
      </c>
      <c r="T6">
        <f t="shared" si="3"/>
        <v>21.5</v>
      </c>
      <c r="AC6">
        <f t="shared" si="4"/>
        <v>10.5</v>
      </c>
      <c r="AD6">
        <f t="shared" si="5"/>
        <v>11</v>
      </c>
    </row>
    <row r="7" spans="1:32" x14ac:dyDescent="0.3">
      <c r="B7">
        <v>74</v>
      </c>
      <c r="C7">
        <v>26</v>
      </c>
      <c r="D7">
        <v>50</v>
      </c>
      <c r="E7">
        <v>50</v>
      </c>
      <c r="G7">
        <v>80</v>
      </c>
      <c r="H7">
        <v>20</v>
      </c>
      <c r="I7">
        <v>42</v>
      </c>
      <c r="J7">
        <v>58</v>
      </c>
      <c r="L7">
        <v>95</v>
      </c>
      <c r="M7">
        <v>5</v>
      </c>
      <c r="N7">
        <v>14</v>
      </c>
      <c r="O7">
        <v>86</v>
      </c>
      <c r="Q7">
        <f t="shared" si="0"/>
        <v>38</v>
      </c>
      <c r="R7">
        <f t="shared" si="1"/>
        <v>31</v>
      </c>
      <c r="S7">
        <f t="shared" si="2"/>
        <v>9.5</v>
      </c>
      <c r="T7">
        <f t="shared" si="3"/>
        <v>26.166666666666668</v>
      </c>
      <c r="AC7">
        <f t="shared" si="4"/>
        <v>9.5</v>
      </c>
      <c r="AD7">
        <f t="shared" si="5"/>
        <v>16.666666666666668</v>
      </c>
    </row>
    <row r="8" spans="1:32" x14ac:dyDescent="0.3">
      <c r="B8">
        <v>76</v>
      </c>
      <c r="C8">
        <v>24</v>
      </c>
      <c r="D8">
        <v>29</v>
      </c>
      <c r="E8">
        <v>71</v>
      </c>
      <c r="G8">
        <v>85</v>
      </c>
      <c r="H8">
        <v>15</v>
      </c>
      <c r="I8">
        <v>34</v>
      </c>
      <c r="J8">
        <v>66</v>
      </c>
      <c r="L8">
        <v>92</v>
      </c>
      <c r="M8">
        <v>8</v>
      </c>
      <c r="N8">
        <v>11</v>
      </c>
      <c r="O8">
        <v>89</v>
      </c>
      <c r="Q8">
        <f t="shared" si="0"/>
        <v>26.5</v>
      </c>
      <c r="R8">
        <f t="shared" si="1"/>
        <v>24.5</v>
      </c>
      <c r="S8">
        <f t="shared" si="2"/>
        <v>9.5</v>
      </c>
      <c r="T8">
        <f t="shared" si="3"/>
        <v>20.166666666666668</v>
      </c>
      <c r="AC8">
        <f t="shared" si="4"/>
        <v>9.5</v>
      </c>
      <c r="AD8">
        <f t="shared" si="5"/>
        <v>10.666666666666668</v>
      </c>
    </row>
    <row r="9" spans="1:32" x14ac:dyDescent="0.3">
      <c r="B9">
        <v>74</v>
      </c>
      <c r="C9">
        <v>26</v>
      </c>
      <c r="D9">
        <v>31</v>
      </c>
      <c r="E9">
        <v>69</v>
      </c>
      <c r="G9">
        <v>87</v>
      </c>
      <c r="H9">
        <v>13</v>
      </c>
      <c r="I9">
        <v>32</v>
      </c>
      <c r="J9">
        <v>68</v>
      </c>
      <c r="L9">
        <v>95</v>
      </c>
      <c r="M9">
        <v>5</v>
      </c>
      <c r="N9">
        <v>4</v>
      </c>
      <c r="O9">
        <v>96</v>
      </c>
      <c r="Q9">
        <f t="shared" si="0"/>
        <v>28.5</v>
      </c>
      <c r="R9">
        <f t="shared" si="1"/>
        <v>22.5</v>
      </c>
      <c r="S9">
        <f t="shared" si="2"/>
        <v>4.5</v>
      </c>
      <c r="T9">
        <f t="shared" si="3"/>
        <v>18.5</v>
      </c>
      <c r="AC9">
        <f t="shared" si="4"/>
        <v>4.5</v>
      </c>
      <c r="AD9">
        <f t="shared" si="5"/>
        <v>14</v>
      </c>
    </row>
    <row r="10" spans="1:32" x14ac:dyDescent="0.3">
      <c r="B10">
        <v>81</v>
      </c>
      <c r="C10">
        <v>19</v>
      </c>
      <c r="D10">
        <v>39</v>
      </c>
      <c r="E10">
        <v>61</v>
      </c>
      <c r="G10">
        <v>79</v>
      </c>
      <c r="H10">
        <v>21</v>
      </c>
      <c r="I10">
        <v>43</v>
      </c>
      <c r="J10">
        <v>57</v>
      </c>
      <c r="L10">
        <v>95</v>
      </c>
      <c r="M10">
        <v>5</v>
      </c>
      <c r="N10">
        <v>17</v>
      </c>
      <c r="O10">
        <v>83</v>
      </c>
      <c r="Q10">
        <f t="shared" si="0"/>
        <v>29</v>
      </c>
      <c r="R10">
        <f t="shared" si="1"/>
        <v>32</v>
      </c>
      <c r="S10">
        <f t="shared" si="2"/>
        <v>11</v>
      </c>
      <c r="T10">
        <f t="shared" si="3"/>
        <v>24</v>
      </c>
      <c r="AC10">
        <f t="shared" si="4"/>
        <v>11</v>
      </c>
      <c r="AD10">
        <f t="shared" si="5"/>
        <v>13</v>
      </c>
    </row>
    <row r="11" spans="1:32" x14ac:dyDescent="0.3">
      <c r="A11" t="s">
        <v>19</v>
      </c>
    </row>
    <row r="12" spans="1:32" x14ac:dyDescent="0.3">
      <c r="B12">
        <v>70</v>
      </c>
      <c r="C12">
        <v>30</v>
      </c>
      <c r="D12">
        <v>19</v>
      </c>
      <c r="E12">
        <v>81</v>
      </c>
      <c r="G12">
        <v>80</v>
      </c>
      <c r="H12">
        <v>20</v>
      </c>
      <c r="I12">
        <v>29</v>
      </c>
      <c r="J12">
        <v>71</v>
      </c>
      <c r="L12">
        <v>87</v>
      </c>
      <c r="M12">
        <v>13</v>
      </c>
      <c r="N12">
        <v>9</v>
      </c>
      <c r="O12">
        <v>91</v>
      </c>
      <c r="Q12">
        <f t="shared" ref="Q12:Q14" si="6">AVERAGE(C12,D12)</f>
        <v>24.5</v>
      </c>
      <c r="R12">
        <f t="shared" ref="R12:R14" si="7">AVERAGE(H12,I12)</f>
        <v>24.5</v>
      </c>
      <c r="S12">
        <f t="shared" ref="S12:S14" si="8">AVERAGE(M12,N12)</f>
        <v>11</v>
      </c>
      <c r="T12">
        <f t="shared" ref="T12:T14" si="9">AVERAGE(Q12:S12)</f>
        <v>20</v>
      </c>
      <c r="U12">
        <f>AVERAGE(Q12:Q18)</f>
        <v>25.666666666666668</v>
      </c>
      <c r="V12">
        <f>_xlfn.STDEV.S(Q12:Q18)</f>
        <v>2.9297326385411577</v>
      </c>
      <c r="W12">
        <f>AVERAGE(R12:R18)</f>
        <v>27.333333333333332</v>
      </c>
      <c r="X12">
        <f>_xlfn.STDEV.S(R12:R18)</f>
        <v>5.3463383107818059</v>
      </c>
      <c r="Y12">
        <f>AVERAGE(S12:S18)</f>
        <v>10.666666666666666</v>
      </c>
      <c r="Z12">
        <f>_xlfn.STDEV.S(S12:S18)</f>
        <v>0.57735026918962573</v>
      </c>
      <c r="AA12">
        <f>AVERAGE(T12:T18)</f>
        <v>21.222222222222218</v>
      </c>
      <c r="AB12">
        <f>_xlfn.STDEV.S(T12:T18)</f>
        <v>1.1706281947614148</v>
      </c>
      <c r="AC12">
        <f t="shared" ref="AC12:AC14" si="10">MIN(Q12:S12)</f>
        <v>11</v>
      </c>
      <c r="AD12">
        <f t="shared" ref="AD12:AD14" si="11">(T12-AC12)</f>
        <v>9</v>
      </c>
      <c r="AE12">
        <f>AVERAGE(AD12:AD18)</f>
        <v>10.555555555555555</v>
      </c>
      <c r="AF12">
        <f>_xlfn.STDEV.S(AD12:AD18)</f>
        <v>1.677740985615729</v>
      </c>
    </row>
    <row r="13" spans="1:32" x14ac:dyDescent="0.3">
      <c r="B13">
        <v>77</v>
      </c>
      <c r="C13">
        <v>23</v>
      </c>
      <c r="D13">
        <v>24</v>
      </c>
      <c r="E13">
        <v>76</v>
      </c>
      <c r="G13">
        <v>78</v>
      </c>
      <c r="H13">
        <v>22</v>
      </c>
      <c r="I13">
        <v>45</v>
      </c>
      <c r="J13">
        <v>55</v>
      </c>
      <c r="L13">
        <v>93</v>
      </c>
      <c r="M13">
        <v>7</v>
      </c>
      <c r="N13">
        <v>13</v>
      </c>
      <c r="O13">
        <v>87</v>
      </c>
      <c r="Q13">
        <f t="shared" si="6"/>
        <v>23.5</v>
      </c>
      <c r="R13">
        <f t="shared" si="7"/>
        <v>33.5</v>
      </c>
      <c r="S13">
        <f t="shared" si="8"/>
        <v>10</v>
      </c>
      <c r="T13">
        <f t="shared" si="9"/>
        <v>22.333333333333332</v>
      </c>
      <c r="AC13">
        <f t="shared" si="10"/>
        <v>10</v>
      </c>
      <c r="AD13">
        <f t="shared" si="11"/>
        <v>12.333333333333332</v>
      </c>
    </row>
    <row r="14" spans="1:32" x14ac:dyDescent="0.3">
      <c r="B14">
        <v>79</v>
      </c>
      <c r="C14">
        <v>21</v>
      </c>
      <c r="D14">
        <v>37</v>
      </c>
      <c r="E14">
        <v>63</v>
      </c>
      <c r="G14">
        <v>88</v>
      </c>
      <c r="H14">
        <v>12</v>
      </c>
      <c r="I14">
        <v>36</v>
      </c>
      <c r="J14">
        <v>64</v>
      </c>
      <c r="L14">
        <v>92</v>
      </c>
      <c r="M14">
        <v>8</v>
      </c>
      <c r="N14">
        <v>14</v>
      </c>
      <c r="O14">
        <v>86</v>
      </c>
      <c r="Q14">
        <f t="shared" si="6"/>
        <v>29</v>
      </c>
      <c r="R14">
        <f t="shared" si="7"/>
        <v>24</v>
      </c>
      <c r="S14">
        <f t="shared" si="8"/>
        <v>11</v>
      </c>
      <c r="T14">
        <f t="shared" si="9"/>
        <v>21.333333333333332</v>
      </c>
      <c r="AC14">
        <f t="shared" si="10"/>
        <v>11</v>
      </c>
      <c r="AD14">
        <f t="shared" si="11"/>
        <v>10.333333333333332</v>
      </c>
    </row>
    <row r="20" spans="1:32" x14ac:dyDescent="0.3">
      <c r="A20" t="s">
        <v>35</v>
      </c>
    </row>
    <row r="21" spans="1:32" x14ac:dyDescent="0.3">
      <c r="B21">
        <v>78</v>
      </c>
      <c r="C21">
        <v>22</v>
      </c>
      <c r="D21">
        <v>32</v>
      </c>
      <c r="E21">
        <v>68</v>
      </c>
      <c r="G21">
        <v>87</v>
      </c>
      <c r="H21">
        <v>13</v>
      </c>
      <c r="I21">
        <v>49</v>
      </c>
      <c r="J21">
        <v>51</v>
      </c>
      <c r="L21">
        <v>86</v>
      </c>
      <c r="M21">
        <v>14</v>
      </c>
      <c r="N21">
        <v>6</v>
      </c>
      <c r="O21">
        <v>94</v>
      </c>
      <c r="Q21">
        <f t="shared" ref="Q21:Q26" si="12">AVERAGE(C21,D21)</f>
        <v>27</v>
      </c>
      <c r="R21">
        <f t="shared" ref="R21:R26" si="13">AVERAGE(H21,I21)</f>
        <v>31</v>
      </c>
      <c r="S21">
        <f t="shared" ref="S21:S26" si="14">AVERAGE(M21,N21)</f>
        <v>10</v>
      </c>
      <c r="T21">
        <f t="shared" ref="T21:T26" si="15">AVERAGE(Q21:S21)</f>
        <v>22.666666666666668</v>
      </c>
      <c r="U21">
        <f>AVERAGE(Q21:Q27)</f>
        <v>27.416666666666668</v>
      </c>
      <c r="V21">
        <f>_xlfn.STDEV.S(Q21:Q27)</f>
        <v>2.083666640004266</v>
      </c>
      <c r="W21">
        <f>AVERAGE(R21:R27)</f>
        <v>28.583333333333332</v>
      </c>
      <c r="X21">
        <f>_xlfn.STDEV.S(R21:R27)</f>
        <v>3.292668623877387</v>
      </c>
      <c r="Y21">
        <f>AVERAGE(S21:S27)</f>
        <v>8.5</v>
      </c>
      <c r="Z21">
        <f>_xlfn.STDEV.S(S21:S27)</f>
        <v>1.8973665961010275</v>
      </c>
      <c r="AA21">
        <f>AVERAGE(T21:T27)</f>
        <v>21.500000000000004</v>
      </c>
      <c r="AB21">
        <f>_xlfn.STDEV.S(T21:T27)</f>
        <v>1.2560962454277844</v>
      </c>
      <c r="AC21">
        <f t="shared" ref="AC21:AC26" si="16">MIN(Q21:S21)</f>
        <v>10</v>
      </c>
      <c r="AD21">
        <f t="shared" ref="AD21:AD26" si="17">(T21-AC21)</f>
        <v>12.666666666666668</v>
      </c>
      <c r="AE21">
        <f>AVERAGE(AD21:AD27)</f>
        <v>13</v>
      </c>
      <c r="AF21">
        <f>_xlfn.STDEV.S(AD21:AD27)</f>
        <v>2.0357908646136602</v>
      </c>
    </row>
    <row r="22" spans="1:32" x14ac:dyDescent="0.3">
      <c r="B22">
        <v>67</v>
      </c>
      <c r="C22">
        <v>33</v>
      </c>
      <c r="D22">
        <v>28</v>
      </c>
      <c r="E22">
        <v>72</v>
      </c>
      <c r="G22">
        <v>82</v>
      </c>
      <c r="H22">
        <v>18</v>
      </c>
      <c r="I22">
        <v>43</v>
      </c>
      <c r="J22">
        <v>57</v>
      </c>
      <c r="L22">
        <v>93</v>
      </c>
      <c r="M22">
        <v>7</v>
      </c>
      <c r="N22">
        <v>3</v>
      </c>
      <c r="O22">
        <v>97</v>
      </c>
      <c r="Q22">
        <f t="shared" si="12"/>
        <v>30.5</v>
      </c>
      <c r="R22">
        <f t="shared" si="13"/>
        <v>30.5</v>
      </c>
      <c r="S22">
        <f t="shared" si="14"/>
        <v>5</v>
      </c>
      <c r="T22">
        <f t="shared" si="15"/>
        <v>22</v>
      </c>
      <c r="AC22">
        <f t="shared" si="16"/>
        <v>5</v>
      </c>
      <c r="AD22">
        <f t="shared" si="17"/>
        <v>17</v>
      </c>
    </row>
    <row r="23" spans="1:32" x14ac:dyDescent="0.3">
      <c r="B23">
        <v>84</v>
      </c>
      <c r="C23">
        <v>16</v>
      </c>
      <c r="D23">
        <v>36</v>
      </c>
      <c r="E23">
        <v>64</v>
      </c>
      <c r="G23">
        <v>88</v>
      </c>
      <c r="H23">
        <v>12</v>
      </c>
      <c r="I23">
        <v>47</v>
      </c>
      <c r="J23">
        <v>53</v>
      </c>
      <c r="L23">
        <v>96</v>
      </c>
      <c r="M23">
        <v>4</v>
      </c>
      <c r="N23">
        <v>15</v>
      </c>
      <c r="O23">
        <v>85</v>
      </c>
      <c r="Q23">
        <f t="shared" si="12"/>
        <v>26</v>
      </c>
      <c r="R23">
        <f t="shared" si="13"/>
        <v>29.5</v>
      </c>
      <c r="S23">
        <f t="shared" si="14"/>
        <v>9.5</v>
      </c>
      <c r="T23">
        <f t="shared" si="15"/>
        <v>21.666666666666668</v>
      </c>
      <c r="AC23">
        <f t="shared" si="16"/>
        <v>9.5</v>
      </c>
      <c r="AD23">
        <f t="shared" si="17"/>
        <v>12.166666666666668</v>
      </c>
    </row>
    <row r="24" spans="1:32" x14ac:dyDescent="0.3">
      <c r="B24">
        <v>71</v>
      </c>
      <c r="C24">
        <v>29</v>
      </c>
      <c r="D24">
        <v>30</v>
      </c>
      <c r="E24">
        <v>70</v>
      </c>
      <c r="G24">
        <v>86</v>
      </c>
      <c r="H24">
        <v>14</v>
      </c>
      <c r="I24">
        <v>37</v>
      </c>
      <c r="J24">
        <v>63</v>
      </c>
      <c r="L24">
        <v>95</v>
      </c>
      <c r="M24">
        <v>5</v>
      </c>
      <c r="N24">
        <v>12</v>
      </c>
      <c r="O24">
        <v>88</v>
      </c>
      <c r="Q24">
        <f t="shared" si="12"/>
        <v>29.5</v>
      </c>
      <c r="R24">
        <f t="shared" si="13"/>
        <v>25.5</v>
      </c>
      <c r="S24">
        <f t="shared" si="14"/>
        <v>8.5</v>
      </c>
      <c r="T24">
        <f t="shared" si="15"/>
        <v>21.166666666666668</v>
      </c>
      <c r="AC24">
        <f t="shared" si="16"/>
        <v>8.5</v>
      </c>
      <c r="AD24">
        <f t="shared" si="17"/>
        <v>12.666666666666668</v>
      </c>
    </row>
    <row r="25" spans="1:32" x14ac:dyDescent="0.3">
      <c r="B25">
        <v>75</v>
      </c>
      <c r="C25">
        <v>25</v>
      </c>
      <c r="D25">
        <v>27</v>
      </c>
      <c r="E25">
        <v>73</v>
      </c>
      <c r="G25">
        <v>85</v>
      </c>
      <c r="H25">
        <v>15</v>
      </c>
      <c r="I25">
        <v>32</v>
      </c>
      <c r="J25">
        <v>68</v>
      </c>
      <c r="L25">
        <v>92</v>
      </c>
      <c r="M25">
        <v>8</v>
      </c>
      <c r="N25">
        <v>8</v>
      </c>
      <c r="O25">
        <v>92</v>
      </c>
      <c r="Q25">
        <f t="shared" si="12"/>
        <v>26</v>
      </c>
      <c r="R25">
        <f t="shared" si="13"/>
        <v>23.5</v>
      </c>
      <c r="S25">
        <f t="shared" si="14"/>
        <v>8</v>
      </c>
      <c r="T25">
        <f t="shared" si="15"/>
        <v>19.166666666666668</v>
      </c>
      <c r="AC25">
        <f t="shared" si="16"/>
        <v>8</v>
      </c>
      <c r="AD25">
        <f t="shared" si="17"/>
        <v>11.166666666666668</v>
      </c>
    </row>
    <row r="26" spans="1:32" x14ac:dyDescent="0.3">
      <c r="B26">
        <v>72</v>
      </c>
      <c r="C26">
        <v>28</v>
      </c>
      <c r="D26">
        <v>23</v>
      </c>
      <c r="E26">
        <v>77</v>
      </c>
      <c r="G26">
        <v>80</v>
      </c>
      <c r="H26">
        <v>20</v>
      </c>
      <c r="I26">
        <v>43</v>
      </c>
      <c r="J26">
        <v>57</v>
      </c>
      <c r="L26">
        <v>92</v>
      </c>
      <c r="M26">
        <v>8</v>
      </c>
      <c r="N26">
        <v>12</v>
      </c>
      <c r="O26">
        <v>88</v>
      </c>
      <c r="Q26">
        <f t="shared" si="12"/>
        <v>25.5</v>
      </c>
      <c r="R26">
        <f t="shared" si="13"/>
        <v>31.5</v>
      </c>
      <c r="S26">
        <f t="shared" si="14"/>
        <v>10</v>
      </c>
      <c r="T26">
        <f t="shared" si="15"/>
        <v>22.333333333333332</v>
      </c>
      <c r="AC26">
        <f t="shared" si="16"/>
        <v>10</v>
      </c>
      <c r="AD26">
        <f t="shared" si="17"/>
        <v>12.333333333333332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137-6F6F-47C7-80DB-2FF2B4BCD957}">
  <dimension ref="A2:AF5"/>
  <sheetViews>
    <sheetView workbookViewId="0">
      <selection activeCell="B4" sqref="B4:O5"/>
    </sheetView>
  </sheetViews>
  <sheetFormatPr defaultRowHeight="14.4" x14ac:dyDescent="0.3"/>
  <sheetData>
    <row r="2" spans="1:32" x14ac:dyDescent="0.3"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Q4" t="e">
        <f>AVERAGE(D4,C4)</f>
        <v>#DIV/0!</v>
      </c>
      <c r="R4" t="e">
        <f>AVERAGE(H4,I4)</f>
        <v>#DIV/0!</v>
      </c>
      <c r="S4" t="e">
        <f>AVERAGE(M4,N4)</f>
        <v>#DIV/0!</v>
      </c>
      <c r="T4" t="e">
        <f>AVERAGE(Q4:S4)</f>
        <v>#DIV/0!</v>
      </c>
      <c r="U4" t="e">
        <f>AVERAGE(Q4,Q5)</f>
        <v>#DIV/0!</v>
      </c>
      <c r="V4" t="e">
        <f>_xlfn.STDEV.S(Q4,Q5)</f>
        <v>#DIV/0!</v>
      </c>
      <c r="W4" t="e">
        <f>AVERAGE(R4,R5)</f>
        <v>#DIV/0!</v>
      </c>
      <c r="X4" t="e">
        <f>_xlfn.STDEV.S(R4,R5)</f>
        <v>#DIV/0!</v>
      </c>
      <c r="Y4" t="e">
        <f>AVERAGE(S4,S5)</f>
        <v>#DIV/0!</v>
      </c>
      <c r="Z4" t="e">
        <f>_xlfn.STDEV.S(S4,S5)</f>
        <v>#DIV/0!</v>
      </c>
      <c r="AA4" t="e">
        <f>AVERAGE(T4,T5)</f>
        <v>#DIV/0!</v>
      </c>
      <c r="AB4" t="e">
        <f>_xlfn.STDEV.S(T4,T5)</f>
        <v>#DIV/0!</v>
      </c>
      <c r="AC4" t="e">
        <f>MIN(Q4:S4)</f>
        <v>#DIV/0!</v>
      </c>
      <c r="AD4" t="e">
        <f>(1/3)*(T4-AC4)</f>
        <v>#DIV/0!</v>
      </c>
      <c r="AE4" t="e">
        <f>AVERAGE(AD4,AD5)</f>
        <v>#DIV/0!</v>
      </c>
      <c r="AF4" t="e">
        <f>_xlfn.STDEV.S(AD5,AD4)</f>
        <v>#DIV/0!</v>
      </c>
    </row>
    <row r="5" spans="1:32" x14ac:dyDescent="0.3">
      <c r="Q5" t="e">
        <f t="shared" ref="Q5" si="0">AVERAGE(D5,C5)</f>
        <v>#DIV/0!</v>
      </c>
      <c r="R5" t="e">
        <f t="shared" ref="R5" si="1">AVERAGE(H5,I5)</f>
        <v>#DIV/0!</v>
      </c>
      <c r="S5" t="e">
        <f t="shared" ref="S5" si="2">AVERAGE(M5,N5)</f>
        <v>#DIV/0!</v>
      </c>
      <c r="T5" t="e">
        <f t="shared" ref="T5" si="3">AVERAGE(Q5:S5)</f>
        <v>#DIV/0!</v>
      </c>
      <c r="AC5" t="e">
        <f t="shared" ref="AC5" si="4">MIN(Q5:S5)</f>
        <v>#DIV/0!</v>
      </c>
      <c r="AD5" t="e">
        <f t="shared" ref="AD5" si="5">(1/3)*(T5-AC5)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6"/>
  <sheetViews>
    <sheetView tabSelected="1" topLeftCell="L1" workbookViewId="0">
      <selection activeCell="AF4" activeCellId="2" sqref="U4:AB4 AE4 AF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83</v>
      </c>
      <c r="C4">
        <v>17</v>
      </c>
      <c r="D4">
        <v>12</v>
      </c>
      <c r="E4">
        <v>88</v>
      </c>
      <c r="G4">
        <v>92</v>
      </c>
      <c r="H4">
        <v>8</v>
      </c>
      <c r="I4">
        <v>25</v>
      </c>
      <c r="J4">
        <v>75</v>
      </c>
      <c r="L4">
        <v>92</v>
      </c>
      <c r="M4">
        <v>8</v>
      </c>
      <c r="N4">
        <v>12</v>
      </c>
      <c r="O4">
        <v>88</v>
      </c>
      <c r="Q4">
        <f>AVERAGE(C4:D4)</f>
        <v>14.5</v>
      </c>
      <c r="R4">
        <f>AVERAGE(H4:I4)</f>
        <v>16.5</v>
      </c>
      <c r="S4">
        <f>AVERAGE(M4:N4)</f>
        <v>10</v>
      </c>
      <c r="T4">
        <f>AVERAGE(Q4:S4)</f>
        <v>13.666666666666666</v>
      </c>
      <c r="U4">
        <f>AVERAGE(Q4:Q8)</f>
        <v>18.666666666666668</v>
      </c>
      <c r="V4">
        <f>_xlfn.STDEV.S(Q4:Q8)</f>
        <v>5.9651767227244301</v>
      </c>
      <c r="W4">
        <f>AVERAGE(R4:R8)</f>
        <v>19.333333333333332</v>
      </c>
      <c r="X4">
        <f>_xlfn.STDEV.S(R4:R8)</f>
        <v>3.6855573979160021</v>
      </c>
      <c r="Y4">
        <f>AVERAGE(S4:S8)</f>
        <v>10.5</v>
      </c>
      <c r="Z4">
        <f>_xlfn.STDEV.S(S4:S8)</f>
        <v>0.5</v>
      </c>
      <c r="AA4">
        <f>AVERAGE(T4:T8)</f>
        <v>16.166666666666668</v>
      </c>
      <c r="AB4">
        <f>_xlfn.STDEV.S(T4:T8)</f>
        <v>3.3706247360261101</v>
      </c>
      <c r="AC4">
        <f>MIN(Q4:S4)</f>
        <v>10</v>
      </c>
      <c r="AD4">
        <f>T4-AC4</f>
        <v>3.6666666666666661</v>
      </c>
      <c r="AE4">
        <f>AVERAGE(AD4:AD8)</f>
        <v>5.666666666666667</v>
      </c>
      <c r="AF4">
        <f>_xlfn.STDEV.S(AD4:AD8)</f>
        <v>2.9059326290271166</v>
      </c>
    </row>
    <row r="5" spans="1:32" x14ac:dyDescent="0.3">
      <c r="B5">
        <v>86</v>
      </c>
      <c r="C5">
        <v>14</v>
      </c>
      <c r="D5">
        <v>18</v>
      </c>
      <c r="E5">
        <v>82</v>
      </c>
      <c r="G5">
        <v>87</v>
      </c>
      <c r="H5">
        <v>13</v>
      </c>
      <c r="I5">
        <v>23</v>
      </c>
      <c r="J5">
        <v>77</v>
      </c>
      <c r="L5">
        <v>91</v>
      </c>
      <c r="M5">
        <v>9</v>
      </c>
      <c r="N5">
        <v>12</v>
      </c>
      <c r="O5">
        <v>88</v>
      </c>
      <c r="Q5">
        <f t="shared" ref="Q5:Q6" si="0">AVERAGE(C5:D5)</f>
        <v>16</v>
      </c>
      <c r="R5">
        <f t="shared" ref="R5:R6" si="1">AVERAGE(H5:I5)</f>
        <v>18</v>
      </c>
      <c r="S5">
        <f t="shared" ref="S5:S6" si="2">AVERAGE(M5:N5)</f>
        <v>10.5</v>
      </c>
      <c r="T5">
        <f t="shared" ref="T5:T6" si="3">AVERAGE(Q5:S5)</f>
        <v>14.833333333333334</v>
      </c>
      <c r="AC5">
        <f t="shared" ref="AC5:AC6" si="4">MIN(Q5:S5)</f>
        <v>10.5</v>
      </c>
      <c r="AD5">
        <f t="shared" ref="AD5:AD6" si="5">T5-AC5</f>
        <v>4.3333333333333339</v>
      </c>
    </row>
    <row r="6" spans="1:32" x14ac:dyDescent="0.3">
      <c r="A6" t="s">
        <v>20</v>
      </c>
      <c r="B6">
        <v>75</v>
      </c>
      <c r="C6">
        <v>25</v>
      </c>
      <c r="D6">
        <v>26</v>
      </c>
      <c r="E6">
        <v>74</v>
      </c>
      <c r="G6">
        <v>73</v>
      </c>
      <c r="H6">
        <v>27</v>
      </c>
      <c r="I6">
        <v>20</v>
      </c>
      <c r="J6">
        <v>80</v>
      </c>
      <c r="L6">
        <v>88</v>
      </c>
      <c r="M6">
        <v>12</v>
      </c>
      <c r="N6">
        <v>10</v>
      </c>
      <c r="O6">
        <v>90</v>
      </c>
      <c r="Q6">
        <f t="shared" si="0"/>
        <v>25.5</v>
      </c>
      <c r="R6">
        <f t="shared" si="1"/>
        <v>23.5</v>
      </c>
      <c r="S6">
        <f t="shared" si="2"/>
        <v>11</v>
      </c>
      <c r="T6">
        <f t="shared" si="3"/>
        <v>20</v>
      </c>
      <c r="AC6">
        <f t="shared" si="4"/>
        <v>11</v>
      </c>
      <c r="AD6">
        <f t="shared" si="5"/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14"/>
  <sheetViews>
    <sheetView topLeftCell="L1" workbookViewId="0">
      <selection activeCell="AF12" activeCellId="2" sqref="U12:AB12 AE12 AF12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75</v>
      </c>
      <c r="C4">
        <v>25</v>
      </c>
      <c r="D4">
        <v>9</v>
      </c>
      <c r="E4">
        <v>91</v>
      </c>
      <c r="G4">
        <v>82</v>
      </c>
      <c r="H4">
        <v>18</v>
      </c>
      <c r="I4">
        <v>18</v>
      </c>
      <c r="J4">
        <v>82</v>
      </c>
      <c r="L4">
        <v>88</v>
      </c>
      <c r="M4">
        <v>12</v>
      </c>
      <c r="N4">
        <v>4</v>
      </c>
      <c r="O4">
        <v>96</v>
      </c>
      <c r="Q4">
        <f>AVERAGE(C4,D4)</f>
        <v>17</v>
      </c>
      <c r="R4">
        <f>AVERAGE(H4,I4)</f>
        <v>18</v>
      </c>
      <c r="S4">
        <f>AVERAGE(M4,N4)</f>
        <v>8</v>
      </c>
      <c r="T4">
        <f>AVERAGE(Q4:S4)</f>
        <v>14.333333333333334</v>
      </c>
      <c r="U4">
        <f>AVERAGE(Q4:Q9)</f>
        <v>23.833333333333332</v>
      </c>
      <c r="V4">
        <f>_xlfn.STDEV.S(Q4:Q9)</f>
        <v>3.6968455021364766</v>
      </c>
      <c r="W4">
        <f>AVERAGE(R4:R9)</f>
        <v>22</v>
      </c>
      <c r="X4">
        <f>_xlfn.STDEV.S(R4:R9)</f>
        <v>3.03315017762062</v>
      </c>
      <c r="Y4">
        <f>AVERAGE(S4:S10)</f>
        <v>8.5833333333333339</v>
      </c>
      <c r="Z4">
        <f>_xlfn.STDEV.S(S4:S9)</f>
        <v>1.9853631070075477</v>
      </c>
      <c r="AA4">
        <f>AVERAGE(T4:T9)</f>
        <v>18.138888888888889</v>
      </c>
      <c r="AB4">
        <f>_xlfn.STDEV.S(T4:T9)</f>
        <v>2.2959303770576787</v>
      </c>
      <c r="AC4">
        <f>MIN(Q4:S4)</f>
        <v>8</v>
      </c>
      <c r="AD4">
        <f>T4-AC4</f>
        <v>6.3333333333333339</v>
      </c>
      <c r="AE4">
        <f>AVERAGE(AD4:AD9)</f>
        <v>9.5555555555555554</v>
      </c>
      <c r="AF4">
        <f>_xlfn.STDEV.S(AD4:AD9)</f>
        <v>1.9254629073050034</v>
      </c>
    </row>
    <row r="5" spans="1:32" x14ac:dyDescent="0.3">
      <c r="B5">
        <v>69</v>
      </c>
      <c r="C5">
        <v>31</v>
      </c>
      <c r="D5">
        <v>19</v>
      </c>
      <c r="E5">
        <v>81</v>
      </c>
      <c r="G5">
        <v>81</v>
      </c>
      <c r="H5">
        <v>19</v>
      </c>
      <c r="I5">
        <v>31</v>
      </c>
      <c r="J5">
        <v>69</v>
      </c>
      <c r="L5">
        <v>94</v>
      </c>
      <c r="M5">
        <v>6</v>
      </c>
      <c r="N5">
        <v>11</v>
      </c>
      <c r="O5">
        <v>89</v>
      </c>
      <c r="Q5">
        <f t="shared" ref="Q5:Q9" si="0">AVERAGE(C5,D5)</f>
        <v>25</v>
      </c>
      <c r="R5">
        <f t="shared" ref="R5:R9" si="1">AVERAGE(H5,I5)</f>
        <v>25</v>
      </c>
      <c r="S5">
        <f t="shared" ref="S5:S9" si="2">AVERAGE(M5,N5)</f>
        <v>8.5</v>
      </c>
      <c r="T5">
        <f t="shared" ref="T5:T9" si="3">AVERAGE(Q5:S5)</f>
        <v>19.5</v>
      </c>
      <c r="AC5">
        <f t="shared" ref="AC5:AC9" si="4">MIN(Q5:S5)</f>
        <v>8.5</v>
      </c>
      <c r="AD5">
        <f t="shared" ref="AD5:AD9" si="5">T5-AC5</f>
        <v>11</v>
      </c>
    </row>
    <row r="6" spans="1:32" x14ac:dyDescent="0.3">
      <c r="A6" t="s">
        <v>20</v>
      </c>
      <c r="B6">
        <v>70</v>
      </c>
      <c r="C6">
        <v>30</v>
      </c>
      <c r="D6">
        <v>18</v>
      </c>
      <c r="E6">
        <v>82</v>
      </c>
      <c r="G6">
        <v>76</v>
      </c>
      <c r="H6">
        <v>24</v>
      </c>
      <c r="I6">
        <v>25</v>
      </c>
      <c r="J6">
        <v>75</v>
      </c>
      <c r="L6">
        <v>89</v>
      </c>
      <c r="M6">
        <v>11</v>
      </c>
      <c r="N6">
        <v>8</v>
      </c>
      <c r="O6">
        <v>92</v>
      </c>
      <c r="Q6">
        <f t="shared" si="0"/>
        <v>24</v>
      </c>
      <c r="R6">
        <f t="shared" si="1"/>
        <v>24.5</v>
      </c>
      <c r="S6">
        <f t="shared" si="2"/>
        <v>9.5</v>
      </c>
      <c r="T6">
        <f t="shared" si="3"/>
        <v>19.333333333333332</v>
      </c>
      <c r="AC6">
        <f t="shared" si="4"/>
        <v>9.5</v>
      </c>
      <c r="AD6">
        <f t="shared" si="5"/>
        <v>9.8333333333333321</v>
      </c>
    </row>
    <row r="7" spans="1:32" x14ac:dyDescent="0.3">
      <c r="B7">
        <v>67</v>
      </c>
      <c r="C7">
        <v>33</v>
      </c>
      <c r="D7">
        <v>14</v>
      </c>
      <c r="E7">
        <v>86</v>
      </c>
      <c r="G7">
        <v>82</v>
      </c>
      <c r="H7">
        <v>18</v>
      </c>
      <c r="I7">
        <v>21</v>
      </c>
      <c r="J7">
        <v>79</v>
      </c>
      <c r="L7">
        <v>93</v>
      </c>
      <c r="M7">
        <v>7</v>
      </c>
      <c r="N7">
        <v>7</v>
      </c>
      <c r="O7">
        <v>93</v>
      </c>
      <c r="Q7">
        <f t="shared" si="0"/>
        <v>23.5</v>
      </c>
      <c r="R7">
        <f t="shared" si="1"/>
        <v>19.5</v>
      </c>
      <c r="S7">
        <f t="shared" si="2"/>
        <v>7</v>
      </c>
      <c r="T7">
        <f t="shared" si="3"/>
        <v>16.666666666666668</v>
      </c>
      <c r="AC7">
        <f t="shared" si="4"/>
        <v>7</v>
      </c>
      <c r="AD7">
        <f t="shared" si="5"/>
        <v>9.6666666666666679</v>
      </c>
    </row>
    <row r="8" spans="1:32" x14ac:dyDescent="0.3">
      <c r="B8">
        <v>67</v>
      </c>
      <c r="C8">
        <v>33</v>
      </c>
      <c r="D8">
        <v>18</v>
      </c>
      <c r="E8">
        <v>82</v>
      </c>
      <c r="G8">
        <v>82</v>
      </c>
      <c r="H8">
        <v>18</v>
      </c>
      <c r="I8">
        <v>31</v>
      </c>
      <c r="J8">
        <v>69</v>
      </c>
      <c r="L8">
        <v>88</v>
      </c>
      <c r="M8">
        <v>12</v>
      </c>
      <c r="N8">
        <v>12</v>
      </c>
      <c r="O8">
        <v>88</v>
      </c>
      <c r="Q8">
        <f t="shared" si="0"/>
        <v>25.5</v>
      </c>
      <c r="R8">
        <f t="shared" si="1"/>
        <v>24.5</v>
      </c>
      <c r="S8">
        <f t="shared" si="2"/>
        <v>12</v>
      </c>
      <c r="T8">
        <f t="shared" si="3"/>
        <v>20.666666666666668</v>
      </c>
      <c r="AC8">
        <f t="shared" si="4"/>
        <v>12</v>
      </c>
      <c r="AD8">
        <f t="shared" si="5"/>
        <v>8.6666666666666679</v>
      </c>
    </row>
    <row r="9" spans="1:32" x14ac:dyDescent="0.3">
      <c r="B9">
        <v>77</v>
      </c>
      <c r="C9">
        <v>23</v>
      </c>
      <c r="D9">
        <v>33</v>
      </c>
      <c r="E9">
        <v>67</v>
      </c>
      <c r="G9">
        <v>79</v>
      </c>
      <c r="H9">
        <v>21</v>
      </c>
      <c r="I9">
        <v>20</v>
      </c>
      <c r="J9">
        <v>80</v>
      </c>
      <c r="L9">
        <v>94</v>
      </c>
      <c r="M9">
        <v>6</v>
      </c>
      <c r="N9">
        <v>7</v>
      </c>
      <c r="O9">
        <v>93</v>
      </c>
      <c r="Q9">
        <f t="shared" si="0"/>
        <v>28</v>
      </c>
      <c r="R9">
        <f t="shared" si="1"/>
        <v>20.5</v>
      </c>
      <c r="S9">
        <f t="shared" si="2"/>
        <v>6.5</v>
      </c>
      <c r="T9">
        <f t="shared" si="3"/>
        <v>18.333333333333332</v>
      </c>
      <c r="AC9">
        <f t="shared" si="4"/>
        <v>6.5</v>
      </c>
      <c r="AD9">
        <f t="shared" si="5"/>
        <v>11.833333333333332</v>
      </c>
    </row>
    <row r="12" spans="1:32" x14ac:dyDescent="0.3">
      <c r="B12">
        <v>69</v>
      </c>
      <c r="C12">
        <v>31</v>
      </c>
      <c r="D12">
        <v>11</v>
      </c>
      <c r="E12">
        <v>89</v>
      </c>
      <c r="G12">
        <v>80</v>
      </c>
      <c r="H12">
        <v>20</v>
      </c>
      <c r="I12">
        <v>22</v>
      </c>
      <c r="J12">
        <v>78</v>
      </c>
      <c r="L12">
        <v>89</v>
      </c>
      <c r="M12">
        <v>11</v>
      </c>
      <c r="N12">
        <v>16</v>
      </c>
      <c r="O12">
        <v>84</v>
      </c>
      <c r="Q12">
        <f t="shared" ref="Q12:Q14" si="6">AVERAGE(C12,D12)</f>
        <v>21</v>
      </c>
      <c r="R12">
        <f t="shared" ref="R12:R14" si="7">AVERAGE(H12,I12)</f>
        <v>21</v>
      </c>
      <c r="S12">
        <f t="shared" ref="S12:S14" si="8">AVERAGE(M12,N12)</f>
        <v>13.5</v>
      </c>
      <c r="T12">
        <f t="shared" ref="T12:T14" si="9">AVERAGE(Q12:S12)</f>
        <v>18.5</v>
      </c>
      <c r="U12">
        <f>AVERAGE(Q12:Q17)</f>
        <v>22.333333333333332</v>
      </c>
      <c r="V12">
        <f>_xlfn.STDEV.S(Q12:Q17)</f>
        <v>3.2145502536643242</v>
      </c>
      <c r="W12">
        <f>AVERAGE(R12:R17)</f>
        <v>21</v>
      </c>
      <c r="X12">
        <f>_xlfn.STDEV.S(R12:R17)</f>
        <v>4</v>
      </c>
      <c r="Y12">
        <f>AVERAGE(S12:S18)</f>
        <v>10.333333333333334</v>
      </c>
      <c r="Z12">
        <f>_xlfn.STDEV.S(S12:S17)</f>
        <v>3.2532035493238571</v>
      </c>
      <c r="AA12">
        <f>AVERAGE(T12:T17)</f>
        <v>17.888888888888889</v>
      </c>
      <c r="AB12">
        <f>_xlfn.STDEV.S(T12:T17)</f>
        <v>1.0584754935143132</v>
      </c>
      <c r="AC12">
        <f t="shared" ref="AC12:AC14" si="10">MIN(Q12:S12)</f>
        <v>13.5</v>
      </c>
      <c r="AD12">
        <f t="shared" ref="AD12:AD14" si="11">T12-AC12</f>
        <v>5</v>
      </c>
      <c r="AE12">
        <f>AVERAGE(AD12:AD17)</f>
        <v>7.5555555555555562</v>
      </c>
      <c r="AF12">
        <f>_xlfn.STDEV.S(AD12:AD17)</f>
        <v>2.364866294865863</v>
      </c>
    </row>
    <row r="13" spans="1:32" x14ac:dyDescent="0.3">
      <c r="B13">
        <v>75</v>
      </c>
      <c r="C13">
        <v>25</v>
      </c>
      <c r="D13">
        <v>15</v>
      </c>
      <c r="E13">
        <v>85</v>
      </c>
      <c r="G13">
        <v>86</v>
      </c>
      <c r="H13">
        <v>14</v>
      </c>
      <c r="I13">
        <v>36</v>
      </c>
      <c r="J13">
        <v>64</v>
      </c>
      <c r="L13">
        <v>92</v>
      </c>
      <c r="M13">
        <v>8</v>
      </c>
      <c r="N13">
        <v>13</v>
      </c>
      <c r="O13">
        <v>87</v>
      </c>
      <c r="Q13">
        <f t="shared" si="6"/>
        <v>20</v>
      </c>
      <c r="R13">
        <f t="shared" si="7"/>
        <v>25</v>
      </c>
      <c r="S13">
        <f t="shared" si="8"/>
        <v>10.5</v>
      </c>
      <c r="T13">
        <f t="shared" si="9"/>
        <v>18.5</v>
      </c>
      <c r="AC13">
        <f t="shared" si="10"/>
        <v>10.5</v>
      </c>
      <c r="AD13">
        <f t="shared" si="11"/>
        <v>8</v>
      </c>
    </row>
    <row r="14" spans="1:32" x14ac:dyDescent="0.3">
      <c r="B14">
        <v>62</v>
      </c>
      <c r="C14">
        <v>38</v>
      </c>
      <c r="D14">
        <v>14</v>
      </c>
      <c r="E14">
        <v>86</v>
      </c>
      <c r="G14">
        <v>84</v>
      </c>
      <c r="H14">
        <v>16</v>
      </c>
      <c r="I14">
        <v>18</v>
      </c>
      <c r="J14">
        <v>82</v>
      </c>
      <c r="L14">
        <v>94</v>
      </c>
      <c r="M14">
        <v>6</v>
      </c>
      <c r="N14">
        <v>8</v>
      </c>
      <c r="O14">
        <v>92</v>
      </c>
      <c r="Q14">
        <f t="shared" si="6"/>
        <v>26</v>
      </c>
      <c r="R14">
        <f t="shared" si="7"/>
        <v>17</v>
      </c>
      <c r="S14">
        <f t="shared" si="8"/>
        <v>7</v>
      </c>
      <c r="T14">
        <f t="shared" si="9"/>
        <v>16.666666666666668</v>
      </c>
      <c r="AC14">
        <f t="shared" si="10"/>
        <v>7</v>
      </c>
      <c r="AD14">
        <f t="shared" si="11"/>
        <v>9.6666666666666679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6"/>
  <sheetViews>
    <sheetView topLeftCell="L1" workbookViewId="0">
      <selection activeCell="AF13" activeCellId="2" sqref="U13:AB13 AE13 AF13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73</v>
      </c>
      <c r="C4">
        <v>27</v>
      </c>
      <c r="D4">
        <v>28</v>
      </c>
      <c r="E4">
        <v>72</v>
      </c>
      <c r="G4">
        <v>84</v>
      </c>
      <c r="H4">
        <v>16</v>
      </c>
      <c r="I4">
        <v>41</v>
      </c>
      <c r="J4">
        <v>59</v>
      </c>
      <c r="L4">
        <v>87</v>
      </c>
      <c r="M4">
        <v>13</v>
      </c>
      <c r="N4">
        <v>12</v>
      </c>
      <c r="O4">
        <v>88</v>
      </c>
      <c r="Q4">
        <f>AVERAGE(C4,D4)</f>
        <v>27.5</v>
      </c>
      <c r="R4">
        <f>AVERAGE(H4,I4)</f>
        <v>28.5</v>
      </c>
      <c r="S4">
        <f>AVERAGE(M4,N4)</f>
        <v>12.5</v>
      </c>
      <c r="T4">
        <f>AVERAGE(Q4:S4)</f>
        <v>22.833333333333332</v>
      </c>
      <c r="U4">
        <f>AVERAGE(Q4:Q9)</f>
        <v>27.25</v>
      </c>
      <c r="V4">
        <f>_xlfn.STDEV.S(Q4:Q9)</f>
        <v>4.6124830622995248</v>
      </c>
      <c r="W4">
        <f>AVERAGE(R4:R9)</f>
        <v>27.833333333333332</v>
      </c>
      <c r="X4">
        <f>_xlfn.STDEV.S(R4:R9)</f>
        <v>2.9944392908634274</v>
      </c>
      <c r="Y4">
        <f>AVERAGE(S4:S9)</f>
        <v>10.416666666666666</v>
      </c>
      <c r="Z4">
        <f>_xlfn.STDEV.S(S4:S9)</f>
        <v>2.8533605917701106</v>
      </c>
      <c r="AA4">
        <f>AVERAGE(T4:T9)</f>
        <v>21.833333333333332</v>
      </c>
      <c r="AB4">
        <f>_xlfn.STDEV.S(T4:T9)</f>
        <v>2.3452078799117149</v>
      </c>
      <c r="AC4">
        <f>MIN(Q4:S4)</f>
        <v>12.5</v>
      </c>
      <c r="AD4">
        <f>T4-AC4</f>
        <v>10.333333333333332</v>
      </c>
      <c r="AE4">
        <f>AVERAGE(AD4:AD9)</f>
        <v>11.416666666666664</v>
      </c>
      <c r="AF4">
        <f>_xlfn.STDEV.S(AD4:AD9)</f>
        <v>3.2158461820595017</v>
      </c>
    </row>
    <row r="5" spans="1:32" x14ac:dyDescent="0.3">
      <c r="B5">
        <v>67</v>
      </c>
      <c r="C5">
        <v>33</v>
      </c>
      <c r="D5">
        <v>17</v>
      </c>
      <c r="E5">
        <v>83</v>
      </c>
      <c r="G5">
        <v>84</v>
      </c>
      <c r="H5">
        <v>16</v>
      </c>
      <c r="I5">
        <v>35</v>
      </c>
      <c r="J5">
        <v>65</v>
      </c>
      <c r="L5">
        <v>95</v>
      </c>
      <c r="M5">
        <v>5</v>
      </c>
      <c r="N5">
        <v>13</v>
      </c>
      <c r="O5">
        <v>87</v>
      </c>
      <c r="Q5">
        <f t="shared" ref="Q5:Q9" si="0">AVERAGE(C5,D5)</f>
        <v>25</v>
      </c>
      <c r="R5">
        <f t="shared" ref="R5:R9" si="1">AVERAGE(H5,I5)</f>
        <v>25.5</v>
      </c>
      <c r="S5">
        <f t="shared" ref="S5:S9" si="2">AVERAGE(M5,N5)</f>
        <v>9</v>
      </c>
      <c r="T5">
        <f t="shared" ref="T5:T9" si="3">AVERAGE(Q5:S5)</f>
        <v>19.833333333333332</v>
      </c>
      <c r="AC5">
        <f t="shared" ref="AC5:AC9" si="4">MIN(Q5:S5)</f>
        <v>9</v>
      </c>
      <c r="AD5">
        <f t="shared" ref="AD5:AD9" si="5">T5-AC5</f>
        <v>10.833333333333332</v>
      </c>
    </row>
    <row r="6" spans="1:32" x14ac:dyDescent="0.3">
      <c r="A6" t="s">
        <v>20</v>
      </c>
      <c r="B6">
        <v>79</v>
      </c>
      <c r="C6">
        <v>21</v>
      </c>
      <c r="D6">
        <v>18</v>
      </c>
      <c r="E6">
        <v>82</v>
      </c>
      <c r="G6">
        <v>83</v>
      </c>
      <c r="H6">
        <v>17</v>
      </c>
      <c r="I6">
        <v>35</v>
      </c>
      <c r="J6">
        <v>65</v>
      </c>
      <c r="L6">
        <v>90</v>
      </c>
      <c r="M6">
        <v>10</v>
      </c>
      <c r="N6">
        <v>9</v>
      </c>
      <c r="O6">
        <v>91</v>
      </c>
      <c r="Q6">
        <f t="shared" si="0"/>
        <v>19.5</v>
      </c>
      <c r="R6">
        <f t="shared" si="1"/>
        <v>26</v>
      </c>
      <c r="S6">
        <f t="shared" si="2"/>
        <v>9.5</v>
      </c>
      <c r="T6">
        <f t="shared" si="3"/>
        <v>18.333333333333332</v>
      </c>
      <c r="AC6">
        <f t="shared" si="4"/>
        <v>9.5</v>
      </c>
      <c r="AD6">
        <f t="shared" si="5"/>
        <v>8.8333333333333321</v>
      </c>
    </row>
    <row r="7" spans="1:32" x14ac:dyDescent="0.3">
      <c r="B7">
        <v>64</v>
      </c>
      <c r="C7">
        <v>36</v>
      </c>
      <c r="D7">
        <v>28</v>
      </c>
      <c r="E7">
        <v>72</v>
      </c>
      <c r="G7">
        <v>76</v>
      </c>
      <c r="H7">
        <v>24</v>
      </c>
      <c r="I7">
        <v>43</v>
      </c>
      <c r="J7">
        <v>57</v>
      </c>
      <c r="L7">
        <v>97</v>
      </c>
      <c r="M7">
        <v>3</v>
      </c>
      <c r="N7">
        <v>9</v>
      </c>
      <c r="O7">
        <v>91</v>
      </c>
      <c r="Q7">
        <f t="shared" si="0"/>
        <v>32</v>
      </c>
      <c r="R7">
        <f t="shared" si="1"/>
        <v>33.5</v>
      </c>
      <c r="S7">
        <f t="shared" si="2"/>
        <v>6</v>
      </c>
      <c r="T7">
        <f t="shared" si="3"/>
        <v>23.833333333333332</v>
      </c>
      <c r="AC7">
        <f t="shared" si="4"/>
        <v>6</v>
      </c>
      <c r="AD7">
        <f t="shared" si="5"/>
        <v>17.833333333333332</v>
      </c>
    </row>
    <row r="8" spans="1:32" x14ac:dyDescent="0.3">
      <c r="B8">
        <v>67</v>
      </c>
      <c r="C8">
        <v>33</v>
      </c>
      <c r="D8">
        <v>23</v>
      </c>
      <c r="E8">
        <v>77</v>
      </c>
      <c r="G8">
        <v>79</v>
      </c>
      <c r="H8">
        <v>21</v>
      </c>
      <c r="I8">
        <v>31</v>
      </c>
      <c r="J8">
        <v>69</v>
      </c>
      <c r="L8">
        <v>87</v>
      </c>
      <c r="M8">
        <v>13</v>
      </c>
      <c r="N8">
        <v>10</v>
      </c>
      <c r="O8">
        <v>90</v>
      </c>
      <c r="Q8">
        <f t="shared" si="0"/>
        <v>28</v>
      </c>
      <c r="R8">
        <f t="shared" si="1"/>
        <v>26</v>
      </c>
      <c r="S8">
        <f t="shared" si="2"/>
        <v>11.5</v>
      </c>
      <c r="T8">
        <f t="shared" si="3"/>
        <v>21.833333333333332</v>
      </c>
      <c r="AC8">
        <f t="shared" si="4"/>
        <v>11.5</v>
      </c>
      <c r="AD8">
        <f t="shared" si="5"/>
        <v>10.333333333333332</v>
      </c>
    </row>
    <row r="9" spans="1:32" x14ac:dyDescent="0.3">
      <c r="B9">
        <v>66</v>
      </c>
      <c r="C9">
        <v>34</v>
      </c>
      <c r="D9">
        <v>29</v>
      </c>
      <c r="E9">
        <v>71</v>
      </c>
      <c r="G9">
        <v>79</v>
      </c>
      <c r="H9">
        <v>21</v>
      </c>
      <c r="I9">
        <v>34</v>
      </c>
      <c r="J9">
        <v>66</v>
      </c>
      <c r="L9">
        <v>85</v>
      </c>
      <c r="M9">
        <v>15</v>
      </c>
      <c r="N9">
        <v>13</v>
      </c>
      <c r="O9">
        <v>87</v>
      </c>
      <c r="Q9">
        <f t="shared" si="0"/>
        <v>31.5</v>
      </c>
      <c r="R9">
        <f t="shared" si="1"/>
        <v>27.5</v>
      </c>
      <c r="S9">
        <f t="shared" si="2"/>
        <v>14</v>
      </c>
      <c r="T9">
        <f t="shared" si="3"/>
        <v>24.333333333333332</v>
      </c>
      <c r="AC9">
        <f t="shared" si="4"/>
        <v>14</v>
      </c>
      <c r="AD9">
        <f t="shared" si="5"/>
        <v>10.333333333333332</v>
      </c>
    </row>
    <row r="12" spans="1:32" x14ac:dyDescent="0.3">
      <c r="A12" t="s">
        <v>35</v>
      </c>
    </row>
    <row r="13" spans="1:32" x14ac:dyDescent="0.3">
      <c r="B13">
        <v>74</v>
      </c>
      <c r="C13">
        <v>26</v>
      </c>
      <c r="D13">
        <v>25</v>
      </c>
      <c r="E13">
        <v>75</v>
      </c>
      <c r="G13">
        <v>87</v>
      </c>
      <c r="H13">
        <v>13</v>
      </c>
      <c r="I13">
        <v>38</v>
      </c>
      <c r="J13">
        <v>62</v>
      </c>
      <c r="L13">
        <v>91</v>
      </c>
      <c r="M13">
        <v>9</v>
      </c>
      <c r="N13">
        <v>10</v>
      </c>
      <c r="O13">
        <v>90</v>
      </c>
      <c r="Q13">
        <f t="shared" ref="Q13:Q14" si="6">AVERAGE(C13,D13)</f>
        <v>25.5</v>
      </c>
      <c r="R13">
        <f t="shared" ref="R13:R14" si="7">AVERAGE(H13,I13)</f>
        <v>25.5</v>
      </c>
      <c r="S13">
        <f t="shared" ref="S13:S14" si="8">AVERAGE(M13,N13)</f>
        <v>9.5</v>
      </c>
      <c r="T13">
        <f t="shared" ref="T13:T14" si="9">AVERAGE(Q13:S13)</f>
        <v>20.166666666666668</v>
      </c>
      <c r="U13">
        <f>AVERAGE(Q13:Q18)</f>
        <v>26.625</v>
      </c>
      <c r="V13">
        <f>_xlfn.STDEV.S(Q13:Q18)</f>
        <v>3.6371921404658658</v>
      </c>
      <c r="W13">
        <f>AVERAGE(R13:R18)</f>
        <v>27.625</v>
      </c>
      <c r="X13">
        <f>_xlfn.STDEV.S(R13:R18)</f>
        <v>2.2126530078919591</v>
      </c>
      <c r="Y13">
        <f>AVERAGE(S13:S18)</f>
        <v>8.5</v>
      </c>
      <c r="Z13">
        <f>_xlfn.STDEV.S(S13:S18)</f>
        <v>2.1602468994692869</v>
      </c>
      <c r="AA13">
        <f>AVERAGE(T13:T18)</f>
        <v>20.916666666666668</v>
      </c>
      <c r="AB13">
        <f>_xlfn.STDEV.S(T13:T18)</f>
        <v>1.707825127659933</v>
      </c>
      <c r="AC13">
        <f t="shared" ref="AC13:AC14" si="10">MIN(Q13:S13)</f>
        <v>9.5</v>
      </c>
      <c r="AD13">
        <f t="shared" ref="AD13:AD14" si="11">T13-AC13</f>
        <v>10.666666666666668</v>
      </c>
      <c r="AE13">
        <f>AVERAGE(AD13:AD18)</f>
        <v>12.416666666666668</v>
      </c>
      <c r="AF13">
        <f>_xlfn.STDEV.S(AD13:AD18)</f>
        <v>1.2583057392117916</v>
      </c>
    </row>
    <row r="14" spans="1:32" x14ac:dyDescent="0.3">
      <c r="B14">
        <v>67</v>
      </c>
      <c r="C14">
        <v>33</v>
      </c>
      <c r="D14">
        <v>25</v>
      </c>
      <c r="E14">
        <v>75</v>
      </c>
      <c r="G14">
        <v>79</v>
      </c>
      <c r="H14">
        <v>21</v>
      </c>
      <c r="I14">
        <v>31</v>
      </c>
      <c r="J14">
        <v>69</v>
      </c>
      <c r="L14">
        <v>94</v>
      </c>
      <c r="M14">
        <v>6</v>
      </c>
      <c r="N14">
        <v>11</v>
      </c>
      <c r="O14">
        <v>89</v>
      </c>
      <c r="Q14">
        <f t="shared" si="6"/>
        <v>29</v>
      </c>
      <c r="R14">
        <f t="shared" si="7"/>
        <v>26</v>
      </c>
      <c r="S14">
        <f t="shared" si="8"/>
        <v>8.5</v>
      </c>
      <c r="T14">
        <f t="shared" si="9"/>
        <v>21.166666666666668</v>
      </c>
      <c r="AC14">
        <f t="shared" si="10"/>
        <v>8.5</v>
      </c>
      <c r="AD14">
        <f t="shared" si="11"/>
        <v>12.666666666666668</v>
      </c>
    </row>
    <row r="15" spans="1:32" x14ac:dyDescent="0.3">
      <c r="B15">
        <v>84</v>
      </c>
      <c r="C15">
        <v>16</v>
      </c>
      <c r="D15">
        <v>28</v>
      </c>
      <c r="E15">
        <v>72</v>
      </c>
      <c r="G15">
        <v>84</v>
      </c>
      <c r="H15">
        <v>16</v>
      </c>
      <c r="I15">
        <v>44</v>
      </c>
      <c r="J15">
        <v>56</v>
      </c>
      <c r="L15">
        <v>96</v>
      </c>
      <c r="M15">
        <v>4</v>
      </c>
      <c r="N15">
        <v>7</v>
      </c>
      <c r="O15">
        <v>93</v>
      </c>
      <c r="Q15">
        <f t="shared" ref="Q15:Q16" si="12">AVERAGE(C15,D15)</f>
        <v>22</v>
      </c>
      <c r="R15">
        <f t="shared" ref="R15:R16" si="13">AVERAGE(H15,I15)</f>
        <v>30</v>
      </c>
      <c r="S15">
        <f t="shared" ref="S15:S16" si="14">AVERAGE(M15,N15)</f>
        <v>5.5</v>
      </c>
      <c r="T15">
        <f t="shared" ref="T15:T16" si="15">AVERAGE(Q15:S15)</f>
        <v>19.166666666666668</v>
      </c>
      <c r="AC15">
        <f t="shared" ref="AC15:AC16" si="16">MIN(Q15:S15)</f>
        <v>5.5</v>
      </c>
      <c r="AD15">
        <f t="shared" ref="AD15:AD16" si="17">T15-AC15</f>
        <v>13.666666666666668</v>
      </c>
    </row>
    <row r="16" spans="1:32" x14ac:dyDescent="0.3">
      <c r="B16">
        <v>63</v>
      </c>
      <c r="C16">
        <v>37</v>
      </c>
      <c r="D16">
        <v>23</v>
      </c>
      <c r="E16">
        <v>77</v>
      </c>
      <c r="G16">
        <v>81</v>
      </c>
      <c r="H16">
        <v>19</v>
      </c>
      <c r="I16">
        <v>39</v>
      </c>
      <c r="J16">
        <v>61</v>
      </c>
      <c r="L16">
        <v>93</v>
      </c>
      <c r="M16">
        <v>7</v>
      </c>
      <c r="N16">
        <v>14</v>
      </c>
      <c r="O16">
        <v>86</v>
      </c>
      <c r="Q16">
        <f t="shared" si="12"/>
        <v>30</v>
      </c>
      <c r="R16">
        <f t="shared" si="13"/>
        <v>29</v>
      </c>
      <c r="S16">
        <f t="shared" si="14"/>
        <v>10.5</v>
      </c>
      <c r="T16">
        <f t="shared" si="15"/>
        <v>23.166666666666668</v>
      </c>
      <c r="AC16">
        <f t="shared" si="16"/>
        <v>10.5</v>
      </c>
      <c r="AD16">
        <f t="shared" si="17"/>
        <v>12.666666666666668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6"/>
  <sheetViews>
    <sheetView workbookViewId="0">
      <selection activeCell="AF14" activeCellId="2" sqref="U14:AB14 AE14 AF14"/>
    </sheetView>
  </sheetViews>
  <sheetFormatPr defaultRowHeight="14.4" x14ac:dyDescent="0.3"/>
  <sheetData>
    <row r="2" spans="1:32" x14ac:dyDescent="0.3">
      <c r="A2" t="s">
        <v>26</v>
      </c>
      <c r="Q2" t="s">
        <v>9</v>
      </c>
      <c r="R2" t="s">
        <v>10</v>
      </c>
      <c r="S2" t="s">
        <v>11</v>
      </c>
      <c r="T2" t="s">
        <v>13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14</v>
      </c>
      <c r="AC2" t="s">
        <v>15</v>
      </c>
      <c r="AD2" t="s">
        <v>12</v>
      </c>
      <c r="AE2" t="s">
        <v>16</v>
      </c>
      <c r="AF2" t="s">
        <v>17</v>
      </c>
    </row>
    <row r="3" spans="1:32" x14ac:dyDescent="0.3">
      <c r="A3" t="s">
        <v>20</v>
      </c>
      <c r="F3" t="s">
        <v>31</v>
      </c>
      <c r="K3" t="s">
        <v>21</v>
      </c>
    </row>
    <row r="4" spans="1:32" x14ac:dyDescent="0.3">
      <c r="B4">
        <v>63</v>
      </c>
      <c r="C4">
        <v>37</v>
      </c>
      <c r="D4">
        <v>31</v>
      </c>
      <c r="E4">
        <v>69</v>
      </c>
      <c r="G4">
        <v>76</v>
      </c>
      <c r="H4">
        <v>24</v>
      </c>
      <c r="I4">
        <v>39</v>
      </c>
      <c r="J4">
        <v>61</v>
      </c>
      <c r="L4">
        <v>85</v>
      </c>
      <c r="M4">
        <v>15</v>
      </c>
      <c r="N4">
        <v>12</v>
      </c>
      <c r="O4">
        <v>88</v>
      </c>
      <c r="Q4">
        <f>AVERAGE(C4,D4)</f>
        <v>34</v>
      </c>
      <c r="R4">
        <f>AVERAGE(H4,I4)</f>
        <v>31.5</v>
      </c>
      <c r="S4">
        <f>AVERAGE(M4,N4)</f>
        <v>13.5</v>
      </c>
      <c r="T4">
        <f>AVERAGE(Q4:S4)</f>
        <v>26.333333333333332</v>
      </c>
      <c r="U4">
        <f>AVERAGE(Q4:Q10)</f>
        <v>36.642857142857146</v>
      </c>
      <c r="V4">
        <f>_xlfn.STDEV.S(Q4:Q10)</f>
        <v>4.9135381491199581</v>
      </c>
      <c r="W4">
        <f>AVERAGE(R4:R10)</f>
        <v>32.5</v>
      </c>
      <c r="X4">
        <f>_xlfn.STDEV.S(R4:R10)</f>
        <v>4.9413223601245315</v>
      </c>
      <c r="Y4">
        <f>AVERAGE(S4:S10)</f>
        <v>11</v>
      </c>
      <c r="Z4">
        <f>_xlfn.STDEV.S(S4:S10)</f>
        <v>1.9148542155126762</v>
      </c>
      <c r="AA4">
        <f>AVERAGE(T4:T10)</f>
        <v>26.714285714285712</v>
      </c>
      <c r="AB4">
        <f>_xlfn.STDEV.S(T4:T10)</f>
        <v>3.0470299529856346</v>
      </c>
      <c r="AC4">
        <f>MIN(Q4:S4)</f>
        <v>13.5</v>
      </c>
      <c r="AD4">
        <f>T4-AC4</f>
        <v>12.833333333333332</v>
      </c>
      <c r="AE4">
        <f>AVERAGE(AD4:AD10)</f>
        <v>15.714285714285714</v>
      </c>
      <c r="AF4">
        <f>_xlfn.STDEV.S(AD4:AD10)</f>
        <v>3.5207247329921398</v>
      </c>
    </row>
    <row r="5" spans="1:32" x14ac:dyDescent="0.3">
      <c r="B5">
        <v>52</v>
      </c>
      <c r="C5">
        <v>48</v>
      </c>
      <c r="D5">
        <v>29</v>
      </c>
      <c r="E5">
        <v>71</v>
      </c>
      <c r="G5">
        <v>58</v>
      </c>
      <c r="H5">
        <v>42</v>
      </c>
      <c r="I5">
        <v>25</v>
      </c>
      <c r="J5">
        <v>75</v>
      </c>
      <c r="L5">
        <v>93</v>
      </c>
      <c r="M5">
        <v>7</v>
      </c>
      <c r="N5">
        <v>8</v>
      </c>
      <c r="O5">
        <v>92</v>
      </c>
      <c r="Q5">
        <f t="shared" ref="Q5:Q10" si="0">AVERAGE(C5,D5)</f>
        <v>38.5</v>
      </c>
      <c r="R5">
        <f t="shared" ref="R5:R10" si="1">AVERAGE(H5,I5)</f>
        <v>33.5</v>
      </c>
      <c r="S5">
        <f t="shared" ref="S5:S10" si="2">AVERAGE(M5,N5)</f>
        <v>7.5</v>
      </c>
      <c r="T5">
        <f t="shared" ref="T5:T10" si="3">AVERAGE(Q5:S5)</f>
        <v>26.5</v>
      </c>
      <c r="AC5">
        <f t="shared" ref="AC5:AC10" si="4">MIN(Q5:S5)</f>
        <v>7.5</v>
      </c>
      <c r="AD5">
        <f t="shared" ref="AD5:AD10" si="5">T5-AC5</f>
        <v>19</v>
      </c>
    </row>
    <row r="6" spans="1:32" x14ac:dyDescent="0.3">
      <c r="B6">
        <v>69</v>
      </c>
      <c r="C6">
        <v>31</v>
      </c>
      <c r="D6">
        <v>24</v>
      </c>
      <c r="E6">
        <v>76</v>
      </c>
      <c r="G6">
        <v>78</v>
      </c>
      <c r="H6">
        <v>22</v>
      </c>
      <c r="I6">
        <v>33</v>
      </c>
      <c r="J6">
        <v>67</v>
      </c>
      <c r="L6">
        <v>84</v>
      </c>
      <c r="M6">
        <v>16</v>
      </c>
      <c r="N6">
        <v>8</v>
      </c>
      <c r="O6">
        <v>92</v>
      </c>
      <c r="Q6">
        <f t="shared" si="0"/>
        <v>27.5</v>
      </c>
      <c r="R6">
        <f t="shared" si="1"/>
        <v>27.5</v>
      </c>
      <c r="S6">
        <f t="shared" si="2"/>
        <v>12</v>
      </c>
      <c r="T6">
        <f t="shared" si="3"/>
        <v>22.333333333333332</v>
      </c>
      <c r="AC6">
        <f t="shared" si="4"/>
        <v>12</v>
      </c>
      <c r="AD6">
        <f t="shared" si="5"/>
        <v>10.333333333333332</v>
      </c>
    </row>
    <row r="7" spans="1:32" x14ac:dyDescent="0.3">
      <c r="B7">
        <v>58</v>
      </c>
      <c r="C7">
        <v>42</v>
      </c>
      <c r="D7">
        <v>32</v>
      </c>
      <c r="E7">
        <v>68</v>
      </c>
      <c r="G7">
        <v>57</v>
      </c>
      <c r="H7">
        <v>43</v>
      </c>
      <c r="I7">
        <v>24</v>
      </c>
      <c r="J7">
        <v>76</v>
      </c>
      <c r="L7">
        <v>91</v>
      </c>
      <c r="M7">
        <v>9</v>
      </c>
      <c r="N7">
        <v>12</v>
      </c>
      <c r="O7">
        <v>88</v>
      </c>
      <c r="Q7">
        <f t="shared" si="0"/>
        <v>37</v>
      </c>
      <c r="R7">
        <f t="shared" si="1"/>
        <v>33.5</v>
      </c>
      <c r="S7">
        <f t="shared" si="2"/>
        <v>10.5</v>
      </c>
      <c r="T7">
        <f t="shared" si="3"/>
        <v>27</v>
      </c>
      <c r="AC7">
        <f t="shared" si="4"/>
        <v>10.5</v>
      </c>
      <c r="AD7">
        <f t="shared" si="5"/>
        <v>16.5</v>
      </c>
    </row>
    <row r="8" spans="1:32" x14ac:dyDescent="0.3">
      <c r="B8">
        <v>50</v>
      </c>
      <c r="C8">
        <v>50</v>
      </c>
      <c r="D8">
        <v>37</v>
      </c>
      <c r="E8">
        <v>63</v>
      </c>
      <c r="G8">
        <v>51</v>
      </c>
      <c r="H8">
        <v>49</v>
      </c>
      <c r="I8">
        <v>36</v>
      </c>
      <c r="J8">
        <v>64</v>
      </c>
      <c r="L8">
        <v>84</v>
      </c>
      <c r="M8">
        <v>16</v>
      </c>
      <c r="N8">
        <v>8</v>
      </c>
      <c r="O8">
        <v>92</v>
      </c>
      <c r="Q8">
        <f t="shared" si="0"/>
        <v>43.5</v>
      </c>
      <c r="R8">
        <f t="shared" si="1"/>
        <v>42.5</v>
      </c>
      <c r="S8">
        <f t="shared" si="2"/>
        <v>12</v>
      </c>
      <c r="T8">
        <f t="shared" si="3"/>
        <v>32.666666666666664</v>
      </c>
      <c r="AC8">
        <f t="shared" si="4"/>
        <v>12</v>
      </c>
      <c r="AD8">
        <f t="shared" si="5"/>
        <v>20.666666666666664</v>
      </c>
    </row>
    <row r="9" spans="1:32" x14ac:dyDescent="0.3">
      <c r="B9">
        <v>45</v>
      </c>
      <c r="C9">
        <v>55</v>
      </c>
      <c r="D9">
        <v>21</v>
      </c>
      <c r="E9">
        <v>79</v>
      </c>
      <c r="G9">
        <v>61</v>
      </c>
      <c r="H9">
        <v>39</v>
      </c>
      <c r="I9">
        <v>21</v>
      </c>
      <c r="J9">
        <v>79</v>
      </c>
      <c r="L9">
        <v>89</v>
      </c>
      <c r="M9">
        <v>11</v>
      </c>
      <c r="N9">
        <v>9</v>
      </c>
      <c r="O9">
        <v>91</v>
      </c>
      <c r="Q9">
        <f t="shared" si="0"/>
        <v>38</v>
      </c>
      <c r="R9">
        <f t="shared" si="1"/>
        <v>30</v>
      </c>
      <c r="S9">
        <f t="shared" si="2"/>
        <v>10</v>
      </c>
      <c r="T9">
        <f t="shared" si="3"/>
        <v>26</v>
      </c>
      <c r="AC9">
        <f t="shared" si="4"/>
        <v>10</v>
      </c>
      <c r="AD9">
        <f t="shared" si="5"/>
        <v>16</v>
      </c>
    </row>
    <row r="10" spans="1:32" x14ac:dyDescent="0.3">
      <c r="B10">
        <v>43</v>
      </c>
      <c r="C10">
        <v>57</v>
      </c>
      <c r="D10">
        <v>19</v>
      </c>
      <c r="E10">
        <v>81</v>
      </c>
      <c r="G10">
        <v>53</v>
      </c>
      <c r="H10">
        <v>47</v>
      </c>
      <c r="I10">
        <v>11</v>
      </c>
      <c r="J10">
        <v>89</v>
      </c>
      <c r="L10">
        <v>86</v>
      </c>
      <c r="M10">
        <v>14</v>
      </c>
      <c r="N10">
        <v>9</v>
      </c>
      <c r="O10">
        <v>91</v>
      </c>
      <c r="Q10">
        <f t="shared" si="0"/>
        <v>38</v>
      </c>
      <c r="R10">
        <f t="shared" si="1"/>
        <v>29</v>
      </c>
      <c r="S10">
        <f t="shared" si="2"/>
        <v>11.5</v>
      </c>
      <c r="T10">
        <f t="shared" si="3"/>
        <v>26.166666666666668</v>
      </c>
      <c r="AC10">
        <f t="shared" si="4"/>
        <v>11.5</v>
      </c>
      <c r="AD10">
        <f t="shared" si="5"/>
        <v>14.666666666666668</v>
      </c>
    </row>
    <row r="14" spans="1:32" x14ac:dyDescent="0.3">
      <c r="B14">
        <v>55</v>
      </c>
      <c r="C14">
        <v>45</v>
      </c>
      <c r="D14">
        <v>32</v>
      </c>
      <c r="E14">
        <v>68</v>
      </c>
      <c r="G14">
        <v>54</v>
      </c>
      <c r="H14">
        <v>46</v>
      </c>
      <c r="I14">
        <v>20</v>
      </c>
      <c r="J14">
        <v>80</v>
      </c>
      <c r="L14">
        <v>91</v>
      </c>
      <c r="M14">
        <v>9</v>
      </c>
      <c r="N14">
        <v>7</v>
      </c>
      <c r="O14">
        <v>93</v>
      </c>
      <c r="Q14">
        <f t="shared" ref="Q14:Q16" si="6">AVERAGE(C14,D14)</f>
        <v>38.5</v>
      </c>
      <c r="R14">
        <f t="shared" ref="R14:R16" si="7">AVERAGE(H14,I14)</f>
        <v>33</v>
      </c>
      <c r="S14">
        <f t="shared" ref="S14:S16" si="8">AVERAGE(M14,N14)</f>
        <v>8</v>
      </c>
      <c r="T14">
        <f t="shared" ref="T14:T16" si="9">AVERAGE(Q14:S14)</f>
        <v>26.5</v>
      </c>
      <c r="U14">
        <f>AVERAGE(Q14:Q20)</f>
        <v>37.666666666666664</v>
      </c>
      <c r="V14">
        <f>_xlfn.STDEV.S(Q14:Q20)</f>
        <v>1.4433756729740643</v>
      </c>
      <c r="W14">
        <f>AVERAGE(R14:R20)</f>
        <v>33.333333333333336</v>
      </c>
      <c r="X14">
        <f>_xlfn.STDEV.S(R14:R20)</f>
        <v>4.5092497528228863</v>
      </c>
      <c r="Y14">
        <f>AVERAGE(S14:S20)</f>
        <v>11.166666666666666</v>
      </c>
      <c r="Z14">
        <f>_xlfn.STDEV.S(S14:S20)</f>
        <v>2.7537852736430528</v>
      </c>
      <c r="AA14">
        <f>AVERAGE(T14:T20)</f>
        <v>27.388888888888886</v>
      </c>
      <c r="AB14">
        <f>_xlfn.STDEV.S(T14:T20)</f>
        <v>2.1430335024428788</v>
      </c>
      <c r="AC14">
        <f t="shared" ref="AC14:AC16" si="10">MIN(Q14:S14)</f>
        <v>8</v>
      </c>
      <c r="AD14">
        <f t="shared" ref="AD14:AD16" si="11">T14-AC14</f>
        <v>18.5</v>
      </c>
      <c r="AE14">
        <f>AVERAGE(AD14:AD20)</f>
        <v>16.222222222222221</v>
      </c>
      <c r="AF14">
        <f>_xlfn.STDEV.S(AD14:AD20)</f>
        <v>2.6369876191790693</v>
      </c>
    </row>
    <row r="15" spans="1:32" x14ac:dyDescent="0.3">
      <c r="B15">
        <v>54</v>
      </c>
      <c r="C15">
        <v>46</v>
      </c>
      <c r="D15">
        <v>26</v>
      </c>
      <c r="E15">
        <v>74</v>
      </c>
      <c r="G15">
        <v>71</v>
      </c>
      <c r="H15">
        <v>29</v>
      </c>
      <c r="I15">
        <v>29</v>
      </c>
      <c r="J15">
        <v>71</v>
      </c>
      <c r="L15">
        <v>88</v>
      </c>
      <c r="M15">
        <v>12</v>
      </c>
      <c r="N15">
        <v>13</v>
      </c>
      <c r="O15">
        <v>87</v>
      </c>
      <c r="Q15">
        <f t="shared" si="6"/>
        <v>36</v>
      </c>
      <c r="R15">
        <f t="shared" si="7"/>
        <v>29</v>
      </c>
      <c r="S15">
        <f t="shared" si="8"/>
        <v>12.5</v>
      </c>
      <c r="T15">
        <f t="shared" si="9"/>
        <v>25.833333333333332</v>
      </c>
      <c r="AC15">
        <f t="shared" si="10"/>
        <v>12.5</v>
      </c>
      <c r="AD15">
        <f t="shared" si="11"/>
        <v>13.333333333333332</v>
      </c>
    </row>
    <row r="16" spans="1:32" x14ac:dyDescent="0.3">
      <c r="B16">
        <v>43</v>
      </c>
      <c r="C16">
        <v>57</v>
      </c>
      <c r="D16">
        <v>20</v>
      </c>
      <c r="E16">
        <v>80</v>
      </c>
      <c r="G16">
        <v>48</v>
      </c>
      <c r="H16">
        <v>52</v>
      </c>
      <c r="I16">
        <v>24</v>
      </c>
      <c r="J16">
        <v>76</v>
      </c>
      <c r="L16">
        <v>90</v>
      </c>
      <c r="M16">
        <v>10</v>
      </c>
      <c r="N16">
        <v>16</v>
      </c>
      <c r="O16">
        <v>84</v>
      </c>
      <c r="Q16">
        <f t="shared" si="6"/>
        <v>38.5</v>
      </c>
      <c r="R16">
        <f t="shared" si="7"/>
        <v>38</v>
      </c>
      <c r="S16">
        <f t="shared" si="8"/>
        <v>13</v>
      </c>
      <c r="T16">
        <f t="shared" si="9"/>
        <v>29.833333333333332</v>
      </c>
      <c r="AC16">
        <f t="shared" si="10"/>
        <v>13</v>
      </c>
      <c r="AD16">
        <f t="shared" si="11"/>
        <v>16.833333333333332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Foglio1</vt:lpstr>
      <vt:lpstr>MIT_DIFF_ONLYMIN_STDAUG</vt:lpstr>
      <vt:lpstr>PARBS_STDAUG</vt:lpstr>
      <vt:lpstr>MIT_PARBS_DIFF_ONLYMIN_STDAUG</vt:lpstr>
      <vt:lpstr>MIT_DIFF_STDAUG</vt:lpstr>
      <vt:lpstr>MIT_DIFF_NOAUG</vt:lpstr>
      <vt:lpstr>MIT_PARBS_STDAUG</vt:lpstr>
      <vt:lpstr>MIT_PARBS_NOAUG</vt:lpstr>
      <vt:lpstr>MIT_STDAUG</vt:lpstr>
      <vt:lpstr>MIT_NOAUG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2026-03-18T18:55:58Z</dcterms:modified>
</cp:coreProperties>
</file>