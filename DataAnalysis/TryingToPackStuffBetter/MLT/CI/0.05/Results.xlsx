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CI\0.05\"/>
    </mc:Choice>
  </mc:AlternateContent>
  <xr:revisionPtr revIDLastSave="0" documentId="13_ncr:1_{88D72396-462A-4066-8E69-CA7111109A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DIFF_ONLYMIN_STDAUG" sheetId="17" r:id="rId2"/>
    <sheet name="PARBS_DIFF_STDAUG" sheetId="21" r:id="rId3"/>
    <sheet name="PARBS_STDAUG" sheetId="20" r:id="rId4"/>
    <sheet name="PARBS_NOAUG" sheetId="13" r:id="rId5"/>
    <sheet name="MIT_DIFF_ONLYMIN_STDAUG" sheetId="19" r:id="rId6"/>
    <sheet name="MIT_DIFF_STDAUG" sheetId="16" r:id="rId7"/>
    <sheet name="MIT_STDAUG" sheetId="12" r:id="rId8"/>
    <sheet name="MIT_NOAUG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16" l="1"/>
  <c r="AE13" i="16"/>
  <c r="AD13" i="16"/>
  <c r="AC13" i="16"/>
  <c r="AB13" i="16"/>
  <c r="AA13" i="16"/>
  <c r="Z13" i="16"/>
  <c r="Y13" i="16"/>
  <c r="X13" i="16"/>
  <c r="W13" i="16"/>
  <c r="AF3" i="16"/>
  <c r="AE3" i="16"/>
  <c r="AD3" i="16"/>
  <c r="AC3" i="16"/>
  <c r="AB3" i="16"/>
  <c r="AA3" i="16"/>
  <c r="Z3" i="16"/>
  <c r="Y3" i="16"/>
  <c r="X3" i="16"/>
  <c r="W3" i="16"/>
  <c r="AF12" i="13"/>
  <c r="AE12" i="13"/>
  <c r="AD12" i="13"/>
  <c r="AC12" i="13"/>
  <c r="AB12" i="13"/>
  <c r="AA12" i="13"/>
  <c r="Z12" i="13"/>
  <c r="Y12" i="13"/>
  <c r="X12" i="13"/>
  <c r="W12" i="13"/>
  <c r="AF3" i="13"/>
  <c r="AE3" i="13"/>
  <c r="AD3" i="13"/>
  <c r="AC3" i="13"/>
  <c r="AB3" i="13"/>
  <c r="AA3" i="13"/>
  <c r="Z3" i="13"/>
  <c r="Y3" i="13"/>
  <c r="X3" i="13"/>
  <c r="W3" i="13"/>
  <c r="AF14" i="21"/>
  <c r="AE14" i="21"/>
  <c r="AD14" i="21"/>
  <c r="AC14" i="21"/>
  <c r="AB14" i="21"/>
  <c r="AA14" i="21"/>
  <c r="Z14" i="21"/>
  <c r="Y14" i="21"/>
  <c r="X14" i="21"/>
  <c r="W14" i="21"/>
  <c r="AF3" i="21"/>
  <c r="AE3" i="21"/>
  <c r="AD3" i="21"/>
  <c r="AC3" i="21"/>
  <c r="AB3" i="21"/>
  <c r="AA3" i="21"/>
  <c r="Z3" i="21"/>
  <c r="Y3" i="21"/>
  <c r="X3" i="21"/>
  <c r="W3" i="21"/>
  <c r="AF10" i="17"/>
  <c r="AE10" i="17"/>
  <c r="AD10" i="17"/>
  <c r="AC10" i="17"/>
  <c r="AB10" i="17"/>
  <c r="AA10" i="17"/>
  <c r="Z10" i="17"/>
  <c r="Y10" i="17"/>
  <c r="X10" i="17"/>
  <c r="W10" i="17"/>
  <c r="Q10" i="17"/>
  <c r="R10" i="17"/>
  <c r="S10" i="17"/>
  <c r="T10" i="17"/>
  <c r="V10" i="17" s="1"/>
  <c r="U10" i="17"/>
  <c r="Q11" i="17"/>
  <c r="R11" i="17"/>
  <c r="S11" i="17"/>
  <c r="T11" i="17"/>
  <c r="U11" i="17"/>
  <c r="V11" i="17"/>
  <c r="Q12" i="17"/>
  <c r="R12" i="17"/>
  <c r="S12" i="17"/>
  <c r="T12" i="17"/>
  <c r="U12" i="17"/>
  <c r="V12" i="17"/>
  <c r="Q13" i="17"/>
  <c r="T13" i="17" s="1"/>
  <c r="R13" i="17"/>
  <c r="S13" i="17"/>
  <c r="Q14" i="17"/>
  <c r="R14" i="17"/>
  <c r="S14" i="17"/>
  <c r="T14" i="17"/>
  <c r="U14" i="17"/>
  <c r="V14" i="17"/>
  <c r="Q4" i="17"/>
  <c r="R4" i="17"/>
  <c r="S4" i="17"/>
  <c r="T4" i="17"/>
  <c r="U4" i="17"/>
  <c r="V4" i="17"/>
  <c r="Q5" i="17"/>
  <c r="R5" i="17"/>
  <c r="S5" i="17"/>
  <c r="T5" i="17" s="1"/>
  <c r="Q6" i="17"/>
  <c r="U6" i="17" s="1"/>
  <c r="R6" i="17"/>
  <c r="S6" i="17"/>
  <c r="T6" i="17"/>
  <c r="V6" i="17" s="1"/>
  <c r="Q7" i="17"/>
  <c r="R7" i="17"/>
  <c r="S7" i="17"/>
  <c r="T7" i="17"/>
  <c r="U7" i="17"/>
  <c r="V7" i="17"/>
  <c r="Q15" i="21"/>
  <c r="R15" i="21"/>
  <c r="S15" i="21"/>
  <c r="T15" i="21"/>
  <c r="U15" i="21"/>
  <c r="V15" i="21"/>
  <c r="Q16" i="21"/>
  <c r="R16" i="21"/>
  <c r="S16" i="21"/>
  <c r="T16" i="21"/>
  <c r="U16" i="21"/>
  <c r="V16" i="21"/>
  <c r="Q17" i="21"/>
  <c r="U17" i="21" s="1"/>
  <c r="R17" i="21"/>
  <c r="S17" i="21"/>
  <c r="T17" i="21"/>
  <c r="V17" i="21" s="1"/>
  <c r="Q18" i="21"/>
  <c r="R18" i="21"/>
  <c r="S18" i="21"/>
  <c r="T18" i="21"/>
  <c r="U18" i="21"/>
  <c r="V18" i="21"/>
  <c r="Q19" i="21"/>
  <c r="R19" i="21"/>
  <c r="S19" i="21"/>
  <c r="T19" i="21"/>
  <c r="U19" i="21"/>
  <c r="V19" i="21"/>
  <c r="Q20" i="21"/>
  <c r="T20" i="21" s="1"/>
  <c r="R20" i="21"/>
  <c r="S20" i="21"/>
  <c r="Q21" i="21"/>
  <c r="R21" i="21"/>
  <c r="S21" i="21"/>
  <c r="T21" i="21"/>
  <c r="U21" i="21"/>
  <c r="V21" i="21"/>
  <c r="Q22" i="21"/>
  <c r="R22" i="21"/>
  <c r="S22" i="21"/>
  <c r="T22" i="21"/>
  <c r="U22" i="21"/>
  <c r="V22" i="21"/>
  <c r="Q4" i="21"/>
  <c r="R4" i="21"/>
  <c r="S4" i="21"/>
  <c r="U4" i="21" s="1"/>
  <c r="T4" i="21"/>
  <c r="V4" i="21" s="1"/>
  <c r="Q5" i="21"/>
  <c r="R5" i="21"/>
  <c r="S5" i="21"/>
  <c r="T5" i="21"/>
  <c r="U5" i="21"/>
  <c r="V5" i="21"/>
  <c r="Q6" i="21"/>
  <c r="U6" i="21" s="1"/>
  <c r="R6" i="21"/>
  <c r="S6" i="21"/>
  <c r="T6" i="21"/>
  <c r="V6" i="21" s="1"/>
  <c r="Q7" i="21"/>
  <c r="R7" i="21"/>
  <c r="S7" i="21"/>
  <c r="T7" i="21"/>
  <c r="U7" i="21"/>
  <c r="V7" i="21"/>
  <c r="Q8" i="21"/>
  <c r="R8" i="21"/>
  <c r="S8" i="21"/>
  <c r="T8" i="21"/>
  <c r="U8" i="21"/>
  <c r="V8" i="21"/>
  <c r="Q9" i="21"/>
  <c r="T9" i="21" s="1"/>
  <c r="R9" i="21"/>
  <c r="S9" i="21"/>
  <c r="Q10" i="21"/>
  <c r="R10" i="21"/>
  <c r="S10" i="21"/>
  <c r="T10" i="21"/>
  <c r="U10" i="21"/>
  <c r="V10" i="21"/>
  <c r="Q11" i="21"/>
  <c r="R11" i="21"/>
  <c r="S11" i="21"/>
  <c r="U11" i="21" s="1"/>
  <c r="S14" i="21"/>
  <c r="R14" i="21"/>
  <c r="Q14" i="21"/>
  <c r="AF11" i="20"/>
  <c r="AE11" i="20"/>
  <c r="AD11" i="20"/>
  <c r="AC11" i="20"/>
  <c r="AB11" i="20"/>
  <c r="AA11" i="20"/>
  <c r="Z11" i="20"/>
  <c r="Y11" i="20"/>
  <c r="X11" i="20"/>
  <c r="W11" i="20"/>
  <c r="Q11" i="20"/>
  <c r="R11" i="20"/>
  <c r="S11" i="20"/>
  <c r="T11" i="20"/>
  <c r="U11" i="20"/>
  <c r="V11" i="20"/>
  <c r="Q12" i="20"/>
  <c r="R12" i="20"/>
  <c r="S12" i="20"/>
  <c r="T12" i="20"/>
  <c r="U12" i="20"/>
  <c r="V12" i="20"/>
  <c r="Q13" i="20"/>
  <c r="U13" i="20" s="1"/>
  <c r="R13" i="20"/>
  <c r="S13" i="20"/>
  <c r="T13" i="20"/>
  <c r="V13" i="20" s="1"/>
  <c r="Q14" i="20"/>
  <c r="R14" i="20"/>
  <c r="S14" i="20"/>
  <c r="T14" i="20"/>
  <c r="U14" i="20"/>
  <c r="V14" i="20"/>
  <c r="Q15" i="20"/>
  <c r="R15" i="20"/>
  <c r="S15" i="20"/>
  <c r="T15" i="20"/>
  <c r="U15" i="20"/>
  <c r="V15" i="20"/>
  <c r="Q16" i="20"/>
  <c r="T16" i="20" s="1"/>
  <c r="R16" i="20"/>
  <c r="S16" i="20"/>
  <c r="Q3" i="20"/>
  <c r="R3" i="20"/>
  <c r="S3" i="20"/>
  <c r="T3" i="20"/>
  <c r="V3" i="20" s="1"/>
  <c r="U3" i="20"/>
  <c r="Q4" i="20"/>
  <c r="R4" i="20"/>
  <c r="S4" i="20"/>
  <c r="T4" i="20"/>
  <c r="U4" i="20"/>
  <c r="V4" i="20"/>
  <c r="Q5" i="20"/>
  <c r="R5" i="20"/>
  <c r="S5" i="20"/>
  <c r="T5" i="20"/>
  <c r="U5" i="20"/>
  <c r="V5" i="20"/>
  <c r="Q6" i="20"/>
  <c r="T6" i="20" s="1"/>
  <c r="R6" i="20"/>
  <c r="S6" i="20"/>
  <c r="Q7" i="20"/>
  <c r="R7" i="20"/>
  <c r="S7" i="20"/>
  <c r="T7" i="20"/>
  <c r="U7" i="20"/>
  <c r="V7" i="20"/>
  <c r="Q4" i="13"/>
  <c r="R4" i="13"/>
  <c r="S4" i="13"/>
  <c r="T4" i="13"/>
  <c r="U4" i="13"/>
  <c r="V4" i="13"/>
  <c r="Q5" i="13"/>
  <c r="R5" i="13"/>
  <c r="S5" i="13"/>
  <c r="T5" i="13"/>
  <c r="U5" i="13"/>
  <c r="V5" i="13"/>
  <c r="Q6" i="13"/>
  <c r="U6" i="13" s="1"/>
  <c r="R6" i="13"/>
  <c r="S6" i="13"/>
  <c r="T6" i="13"/>
  <c r="V6" i="13" s="1"/>
  <c r="Q7" i="13"/>
  <c r="R7" i="13"/>
  <c r="S7" i="13"/>
  <c r="T7" i="13"/>
  <c r="U7" i="13"/>
  <c r="V7" i="13"/>
  <c r="Q8" i="13"/>
  <c r="R8" i="13"/>
  <c r="S8" i="13"/>
  <c r="T8" i="13"/>
  <c r="U8" i="13"/>
  <c r="V8" i="13"/>
  <c r="Q9" i="13"/>
  <c r="T9" i="13" s="1"/>
  <c r="R9" i="13"/>
  <c r="S9" i="13"/>
  <c r="Q12" i="13"/>
  <c r="R12" i="13"/>
  <c r="S12" i="13"/>
  <c r="T12" i="13"/>
  <c r="U12" i="13"/>
  <c r="V12" i="13"/>
  <c r="Q13" i="13"/>
  <c r="R13" i="13"/>
  <c r="S13" i="13"/>
  <c r="T13" i="13"/>
  <c r="U13" i="13"/>
  <c r="V13" i="13"/>
  <c r="Q14" i="13"/>
  <c r="U14" i="13" s="1"/>
  <c r="R14" i="13"/>
  <c r="S14" i="13"/>
  <c r="T14" i="13"/>
  <c r="V14" i="13" s="1"/>
  <c r="Q15" i="13"/>
  <c r="R15" i="13"/>
  <c r="S15" i="13"/>
  <c r="T15" i="13"/>
  <c r="U15" i="13"/>
  <c r="V15" i="13"/>
  <c r="Q16" i="13"/>
  <c r="R16" i="13"/>
  <c r="S16" i="13"/>
  <c r="T16" i="13"/>
  <c r="U16" i="13"/>
  <c r="V16" i="13"/>
  <c r="Q17" i="13"/>
  <c r="T17" i="13" s="1"/>
  <c r="R17" i="13"/>
  <c r="S17" i="13"/>
  <c r="Q18" i="13"/>
  <c r="R18" i="13"/>
  <c r="S18" i="13"/>
  <c r="T18" i="13"/>
  <c r="U18" i="13"/>
  <c r="V18" i="13"/>
  <c r="AF11" i="19"/>
  <c r="AE11" i="19"/>
  <c r="AD11" i="19"/>
  <c r="AC11" i="19"/>
  <c r="AB11" i="19"/>
  <c r="AA11" i="19"/>
  <c r="Z11" i="19"/>
  <c r="Y11" i="19"/>
  <c r="X11" i="19"/>
  <c r="W11" i="19"/>
  <c r="Q4" i="19"/>
  <c r="T4" i="19" s="1"/>
  <c r="R4" i="19"/>
  <c r="S4" i="19"/>
  <c r="Q5" i="19"/>
  <c r="R5" i="19"/>
  <c r="S5" i="19"/>
  <c r="T5" i="19"/>
  <c r="U5" i="19"/>
  <c r="V5" i="19"/>
  <c r="Q6" i="19"/>
  <c r="R6" i="19"/>
  <c r="S6" i="19"/>
  <c r="T6" i="19"/>
  <c r="U6" i="19"/>
  <c r="V6" i="19"/>
  <c r="Q7" i="19"/>
  <c r="T7" i="19" s="1"/>
  <c r="R7" i="19"/>
  <c r="S7" i="19"/>
  <c r="Q8" i="19"/>
  <c r="R8" i="19"/>
  <c r="S8" i="19"/>
  <c r="T8" i="19"/>
  <c r="U8" i="19"/>
  <c r="V8" i="19"/>
  <c r="Q11" i="19"/>
  <c r="R11" i="19"/>
  <c r="S11" i="19"/>
  <c r="T11" i="19"/>
  <c r="U11" i="19"/>
  <c r="V11" i="19"/>
  <c r="Q12" i="19"/>
  <c r="T12" i="19" s="1"/>
  <c r="R12" i="19"/>
  <c r="S12" i="19"/>
  <c r="Q13" i="19"/>
  <c r="R13" i="19"/>
  <c r="S13" i="19"/>
  <c r="T13" i="19"/>
  <c r="U13" i="19"/>
  <c r="V13" i="19"/>
  <c r="Q14" i="19"/>
  <c r="R14" i="19"/>
  <c r="S14" i="19"/>
  <c r="T14" i="19"/>
  <c r="U14" i="19"/>
  <c r="V14" i="19"/>
  <c r="Q15" i="19"/>
  <c r="T15" i="19" s="1"/>
  <c r="R15" i="19"/>
  <c r="S15" i="19"/>
  <c r="Q16" i="19"/>
  <c r="R16" i="19"/>
  <c r="S16" i="19"/>
  <c r="T16" i="19"/>
  <c r="U16" i="19"/>
  <c r="V16" i="19"/>
  <c r="Q13" i="16"/>
  <c r="T13" i="16" s="1"/>
  <c r="R13" i="16"/>
  <c r="S13" i="16"/>
  <c r="Q14" i="16"/>
  <c r="R14" i="16"/>
  <c r="S14" i="16"/>
  <c r="T14" i="16"/>
  <c r="U14" i="16"/>
  <c r="V14" i="16"/>
  <c r="Q15" i="16"/>
  <c r="R15" i="16"/>
  <c r="S15" i="16"/>
  <c r="T15" i="16"/>
  <c r="V15" i="16" s="1"/>
  <c r="U15" i="16"/>
  <c r="Q16" i="16"/>
  <c r="R16" i="16"/>
  <c r="S16" i="16"/>
  <c r="T16" i="16"/>
  <c r="U16" i="16"/>
  <c r="V16" i="16"/>
  <c r="Q17" i="16"/>
  <c r="R17" i="16"/>
  <c r="S17" i="16"/>
  <c r="T17" i="16"/>
  <c r="U17" i="16"/>
  <c r="V17" i="16"/>
  <c r="Q18" i="16"/>
  <c r="T18" i="16" s="1"/>
  <c r="R18" i="16"/>
  <c r="S18" i="16"/>
  <c r="Q19" i="16"/>
  <c r="R19" i="16"/>
  <c r="S19" i="16"/>
  <c r="T19" i="16"/>
  <c r="U19" i="16"/>
  <c r="V19" i="16"/>
  <c r="Q4" i="16"/>
  <c r="R4" i="16"/>
  <c r="S4" i="16"/>
  <c r="T4" i="16"/>
  <c r="U4" i="16"/>
  <c r="V4" i="16"/>
  <c r="Q5" i="16"/>
  <c r="R5" i="16"/>
  <c r="S5" i="16"/>
  <c r="T5" i="16"/>
  <c r="U5" i="16"/>
  <c r="V5" i="16"/>
  <c r="Q6" i="16"/>
  <c r="U6" i="16" s="1"/>
  <c r="R6" i="16"/>
  <c r="S6" i="16"/>
  <c r="T6" i="16"/>
  <c r="Q7" i="16"/>
  <c r="R7" i="16"/>
  <c r="S7" i="16"/>
  <c r="T7" i="16"/>
  <c r="U7" i="16"/>
  <c r="V7" i="16"/>
  <c r="Q8" i="16"/>
  <c r="R8" i="16"/>
  <c r="S8" i="16"/>
  <c r="T8" i="16"/>
  <c r="U8" i="16"/>
  <c r="V8" i="16"/>
  <c r="Q9" i="16"/>
  <c r="T9" i="16" s="1"/>
  <c r="R9" i="16"/>
  <c r="S9" i="16"/>
  <c r="S3" i="21"/>
  <c r="R3" i="21"/>
  <c r="Q3" i="21"/>
  <c r="S3" i="17"/>
  <c r="R3" i="17"/>
  <c r="Q3" i="17"/>
  <c r="S2" i="20"/>
  <c r="R2" i="20"/>
  <c r="Z2" i="20" s="1"/>
  <c r="Q2" i="20"/>
  <c r="X2" i="20" s="1"/>
  <c r="S3" i="13"/>
  <c r="R3" i="13"/>
  <c r="Q3" i="13"/>
  <c r="S3" i="19"/>
  <c r="R3" i="19"/>
  <c r="Q3" i="19"/>
  <c r="S3" i="16"/>
  <c r="R3" i="16"/>
  <c r="Q3" i="16"/>
  <c r="AF11" i="12"/>
  <c r="AE11" i="12"/>
  <c r="AD11" i="12"/>
  <c r="AC11" i="12"/>
  <c r="AB11" i="12"/>
  <c r="AA11" i="12"/>
  <c r="Z11" i="12"/>
  <c r="Y11" i="12"/>
  <c r="X11" i="12"/>
  <c r="W11" i="12"/>
  <c r="Q4" i="12"/>
  <c r="R4" i="12"/>
  <c r="S4" i="12"/>
  <c r="T4" i="12"/>
  <c r="U4" i="12"/>
  <c r="V4" i="12"/>
  <c r="Q5" i="12"/>
  <c r="R5" i="12"/>
  <c r="S5" i="12"/>
  <c r="T5" i="12"/>
  <c r="U5" i="12"/>
  <c r="V5" i="12"/>
  <c r="Q6" i="12"/>
  <c r="U6" i="12" s="1"/>
  <c r="R6" i="12"/>
  <c r="S6" i="12"/>
  <c r="T6" i="12"/>
  <c r="V6" i="12" s="1"/>
  <c r="Q7" i="12"/>
  <c r="R7" i="12"/>
  <c r="S7" i="12"/>
  <c r="T7" i="12"/>
  <c r="U7" i="12"/>
  <c r="V7" i="12"/>
  <c r="Q8" i="12"/>
  <c r="R8" i="12"/>
  <c r="S8" i="12"/>
  <c r="T8" i="12"/>
  <c r="U8" i="12"/>
  <c r="V8" i="12"/>
  <c r="Q11" i="12"/>
  <c r="R11" i="12"/>
  <c r="S11" i="12"/>
  <c r="T11" i="12"/>
  <c r="U11" i="12"/>
  <c r="V11" i="12"/>
  <c r="Q12" i="12"/>
  <c r="R12" i="12"/>
  <c r="S12" i="12"/>
  <c r="T12" i="12"/>
  <c r="U12" i="12"/>
  <c r="V12" i="12"/>
  <c r="Q13" i="12"/>
  <c r="R13" i="12"/>
  <c r="S13" i="12"/>
  <c r="T13" i="12"/>
  <c r="U13" i="12"/>
  <c r="V13" i="12"/>
  <c r="Q14" i="12"/>
  <c r="U14" i="12" s="1"/>
  <c r="R14" i="12"/>
  <c r="S14" i="12"/>
  <c r="T14" i="12"/>
  <c r="V14" i="12" s="1"/>
  <c r="Q15" i="12"/>
  <c r="R15" i="12"/>
  <c r="S15" i="12"/>
  <c r="T15" i="12"/>
  <c r="U15" i="12"/>
  <c r="V15" i="12"/>
  <c r="Q16" i="12"/>
  <c r="R16" i="12"/>
  <c r="S16" i="12"/>
  <c r="T16" i="12"/>
  <c r="U16" i="12"/>
  <c r="V16" i="12"/>
  <c r="S3" i="12"/>
  <c r="AB3" i="12" s="1"/>
  <c r="R3" i="12"/>
  <c r="Z3" i="12" s="1"/>
  <c r="Q3" i="12"/>
  <c r="AF11" i="11"/>
  <c r="AE11" i="11"/>
  <c r="AD11" i="11"/>
  <c r="AC11" i="11"/>
  <c r="AB11" i="11"/>
  <c r="AA11" i="11"/>
  <c r="Z11" i="11"/>
  <c r="Y11" i="11"/>
  <c r="X11" i="11"/>
  <c r="W11" i="11"/>
  <c r="AF3" i="11"/>
  <c r="AE3" i="11"/>
  <c r="AD3" i="11"/>
  <c r="AC3" i="11"/>
  <c r="AB3" i="11"/>
  <c r="AA3" i="11"/>
  <c r="Z3" i="11"/>
  <c r="Y3" i="11"/>
  <c r="X3" i="11"/>
  <c r="W3" i="11"/>
  <c r="Q4" i="11"/>
  <c r="T4" i="11" s="1"/>
  <c r="R4" i="11"/>
  <c r="U4" i="11" s="1"/>
  <c r="S4" i="11"/>
  <c r="Q5" i="11"/>
  <c r="R5" i="11"/>
  <c r="S5" i="11"/>
  <c r="T5" i="11"/>
  <c r="U5" i="11"/>
  <c r="V5" i="11"/>
  <c r="Q6" i="11"/>
  <c r="U6" i="11" s="1"/>
  <c r="R6" i="11"/>
  <c r="S6" i="11"/>
  <c r="T6" i="11"/>
  <c r="V6" i="11" s="1"/>
  <c r="Q7" i="11"/>
  <c r="T7" i="11" s="1"/>
  <c r="R7" i="11"/>
  <c r="S7" i="11"/>
  <c r="Q8" i="11"/>
  <c r="R8" i="11"/>
  <c r="S8" i="11"/>
  <c r="T8" i="11"/>
  <c r="U8" i="11"/>
  <c r="V8" i="11"/>
  <c r="Q11" i="11"/>
  <c r="R11" i="11"/>
  <c r="S11" i="11"/>
  <c r="T11" i="11"/>
  <c r="U11" i="11"/>
  <c r="V11" i="11"/>
  <c r="Q12" i="11"/>
  <c r="T12" i="11" s="1"/>
  <c r="R12" i="11"/>
  <c r="S12" i="11"/>
  <c r="Q13" i="11"/>
  <c r="R13" i="11"/>
  <c r="S13" i="11"/>
  <c r="T13" i="11"/>
  <c r="U13" i="11"/>
  <c r="V13" i="11"/>
  <c r="Q14" i="11"/>
  <c r="U14" i="11" s="1"/>
  <c r="R14" i="11"/>
  <c r="S14" i="11"/>
  <c r="T14" i="11"/>
  <c r="V14" i="11" s="1"/>
  <c r="Q15" i="11"/>
  <c r="T15" i="11" s="1"/>
  <c r="R15" i="11"/>
  <c r="S15" i="11"/>
  <c r="Q16" i="11"/>
  <c r="R16" i="11"/>
  <c r="S16" i="11"/>
  <c r="T16" i="11"/>
  <c r="U16" i="11"/>
  <c r="V16" i="11"/>
  <c r="U3" i="11"/>
  <c r="V3" i="11" s="1"/>
  <c r="S3" i="11"/>
  <c r="R3" i="11"/>
  <c r="Q3" i="11"/>
  <c r="T3" i="11" s="1"/>
  <c r="V13" i="17" l="1"/>
  <c r="X3" i="17"/>
  <c r="Z3" i="17"/>
  <c r="U13" i="17"/>
  <c r="AB3" i="17"/>
  <c r="U5" i="17"/>
  <c r="V5" i="17" s="1"/>
  <c r="T3" i="17"/>
  <c r="AD3" i="17" s="1"/>
  <c r="U3" i="17"/>
  <c r="W3" i="17"/>
  <c r="U20" i="21"/>
  <c r="V20" i="21" s="1"/>
  <c r="T11" i="21"/>
  <c r="V11" i="21" s="1"/>
  <c r="U9" i="21"/>
  <c r="V9" i="21" s="1"/>
  <c r="T14" i="21"/>
  <c r="U14" i="21"/>
  <c r="T3" i="21"/>
  <c r="V16" i="20"/>
  <c r="U16" i="20"/>
  <c r="AB2" i="20"/>
  <c r="U6" i="20"/>
  <c r="V6" i="20" s="1"/>
  <c r="U17" i="13"/>
  <c r="V17" i="13" s="1"/>
  <c r="U9" i="13"/>
  <c r="V9" i="13" s="1"/>
  <c r="X3" i="19"/>
  <c r="Z3" i="19"/>
  <c r="AB3" i="19"/>
  <c r="U15" i="19"/>
  <c r="V15" i="19" s="1"/>
  <c r="U7" i="19"/>
  <c r="V7" i="19" s="1"/>
  <c r="U12" i="19"/>
  <c r="V12" i="19" s="1"/>
  <c r="U4" i="19"/>
  <c r="V4" i="19" s="1"/>
  <c r="V13" i="16"/>
  <c r="V18" i="16"/>
  <c r="U13" i="16"/>
  <c r="U18" i="16"/>
  <c r="V6" i="16"/>
  <c r="U9" i="16"/>
  <c r="V9" i="16" s="1"/>
  <c r="U3" i="21"/>
  <c r="V3" i="21" s="1"/>
  <c r="V3" i="17"/>
  <c r="Y3" i="17"/>
  <c r="AA3" i="17"/>
  <c r="T2" i="20"/>
  <c r="U2" i="20"/>
  <c r="W2" i="20"/>
  <c r="Y2" i="20"/>
  <c r="AA2" i="20"/>
  <c r="T3" i="13"/>
  <c r="U3" i="13"/>
  <c r="T3" i="19"/>
  <c r="U3" i="19"/>
  <c r="W3" i="19"/>
  <c r="Y3" i="19"/>
  <c r="AA3" i="19"/>
  <c r="T3" i="16"/>
  <c r="U3" i="16"/>
  <c r="X3" i="12"/>
  <c r="T3" i="12"/>
  <c r="U3" i="12"/>
  <c r="W3" i="12"/>
  <c r="Y3" i="12"/>
  <c r="AA3" i="12"/>
  <c r="V4" i="11"/>
  <c r="V15" i="11"/>
  <c r="V7" i="11"/>
  <c r="U15" i="11"/>
  <c r="U7" i="11"/>
  <c r="U12" i="11"/>
  <c r="V12" i="11" s="1"/>
  <c r="AC3" i="17" l="1"/>
  <c r="V14" i="21"/>
  <c r="AF3" i="17"/>
  <c r="AE3" i="17"/>
  <c r="AD2" i="20"/>
  <c r="AC2" i="20"/>
  <c r="V2" i="20"/>
  <c r="V3" i="13"/>
  <c r="AD3" i="19"/>
  <c r="AC3" i="19"/>
  <c r="V3" i="19"/>
  <c r="V3" i="16"/>
  <c r="AD3" i="12"/>
  <c r="AC3" i="12"/>
  <c r="V3" i="12"/>
  <c r="AF2" i="20" l="1"/>
  <c r="AE2" i="20"/>
  <c r="AF3" i="19"/>
  <c r="AE3" i="19"/>
  <c r="AF3" i="12"/>
  <c r="AE3" i="12"/>
</calcChain>
</file>

<file path=xl/sharedStrings.xml><?xml version="1.0" encoding="utf-8"?>
<sst xmlns="http://schemas.openxmlformats.org/spreadsheetml/2006/main" count="178" uniqueCount="33">
  <si>
    <t>ERR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</si>
  <si>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</si>
  <si>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</si>
  <si>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</si>
  <si>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</si>
  <si>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</si>
  <si>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</si>
  <si>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</si>
  <si>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</si>
  <si>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</si>
  <si>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</si>
  <si>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</si>
  <si>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</si>
  <si>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</si>
  <si>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</si>
  <si>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</si>
  <si>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</si>
  <si>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</si>
  <si>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</si>
  <si>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c2</t>
  </si>
  <si>
    <t>ERR0_STD</t>
  </si>
  <si>
    <t>ERR1_STD</t>
  </si>
  <si>
    <t>ERR2_STD</t>
  </si>
  <si>
    <t>DIFF</t>
  </si>
  <si>
    <t>ERR_0</t>
  </si>
  <si>
    <t>ERR_1</t>
  </si>
  <si>
    <t>ERR_2</t>
  </si>
  <si>
    <t>MIT</t>
  </si>
  <si>
    <t xml:space="preserve">c1 </t>
  </si>
  <si>
    <t>STDAUG</t>
  </si>
  <si>
    <t>PARBS</t>
  </si>
  <si>
    <t>ONLYMIN</t>
  </si>
  <si>
    <t>Just out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</si>
</sst>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"/>
  <sheetViews>
    <sheetView tabSelected="1" workbookViewId="0">
      <selection activeCell="O17" sqref="F4:O17"/>
    </sheetView>
  </sheetViews>
  <sheetFormatPr defaultRowHeight="14.4" x14ac:dyDescent="0.3"/>
  <cols>
    <col min="1" max="1" width="9.88671875" customWidth="1"/>
  </cols>
  <sheetData>
    <row r="1" spans="1:15" x14ac:dyDescent="0.3"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0</v>
      </c>
      <c r="M1" t="s">
        <v>14</v>
      </c>
      <c r="N1" t="s">
        <v>16</v>
      </c>
      <c r="O1" t="s">
        <v>17</v>
      </c>
    </row>
    <row r="2" spans="1:15" x14ac:dyDescent="0.3">
      <c r="A2" t="s">
        <v>27</v>
      </c>
    </row>
    <row r="3" spans="1:15" x14ac:dyDescent="0.3">
      <c r="B3" t="s">
        <v>1</v>
      </c>
    </row>
    <row r="4" spans="1:15" x14ac:dyDescent="0.3">
      <c r="C4" t="s">
        <v>2</v>
      </c>
      <c r="F4" s="1">
        <v>15.666666666666666</v>
      </c>
      <c r="G4" s="1">
        <v>2.42212028327799</v>
      </c>
      <c r="H4" s="1">
        <v>20.916666666666668</v>
      </c>
      <c r="I4" s="1">
        <v>4.3979161732196186</v>
      </c>
      <c r="J4" s="1">
        <v>28.75</v>
      </c>
      <c r="K4" s="1">
        <v>2.6220221204253789</v>
      </c>
      <c r="L4" s="1">
        <v>21.777777777777775</v>
      </c>
      <c r="M4" s="1">
        <v>1.727768845993348</v>
      </c>
      <c r="N4" s="1">
        <v>6.1111111111111098</v>
      </c>
      <c r="O4" s="1">
        <v>1.9739038214402216</v>
      </c>
    </row>
    <row r="5" spans="1:15" x14ac:dyDescent="0.3">
      <c r="C5" t="s">
        <v>29</v>
      </c>
      <c r="F5" s="1">
        <v>14.25</v>
      </c>
      <c r="G5" s="1">
        <v>2.7703790354390136</v>
      </c>
      <c r="H5" s="1">
        <v>19.166666666666668</v>
      </c>
      <c r="I5" s="1">
        <v>2.2060522810365799</v>
      </c>
      <c r="J5" s="1">
        <v>27.583333333333332</v>
      </c>
      <c r="K5" s="1">
        <v>2.9396711834262463</v>
      </c>
      <c r="L5" s="1">
        <v>20.333333333333332</v>
      </c>
      <c r="M5" s="1">
        <v>1.2064640713902566</v>
      </c>
      <c r="N5" s="1">
        <v>6.166666666666667</v>
      </c>
      <c r="O5" s="1">
        <v>2.8616234708446333</v>
      </c>
    </row>
    <row r="6" spans="1:15" x14ac:dyDescent="0.3">
      <c r="C6" t="s">
        <v>23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D7" t="s">
        <v>29</v>
      </c>
      <c r="F7" s="1">
        <v>17.142857142857142</v>
      </c>
      <c r="G7" s="1">
        <v>1.625686668105863</v>
      </c>
      <c r="H7" s="1">
        <v>17.142857142857142</v>
      </c>
      <c r="I7" s="1">
        <v>2.7945525240230817</v>
      </c>
      <c r="J7" s="1">
        <v>29.571428571428573</v>
      </c>
      <c r="K7" s="1">
        <v>4.1071946166510731</v>
      </c>
      <c r="L7" s="1">
        <v>21.285714285714288</v>
      </c>
      <c r="M7" s="1">
        <v>2.4204267409829603</v>
      </c>
      <c r="N7" s="1">
        <v>5.0714285714285712</v>
      </c>
      <c r="O7" s="1">
        <v>1.5865672904720345</v>
      </c>
    </row>
    <row r="8" spans="1:15" x14ac:dyDescent="0.3">
      <c r="D8" t="s">
        <v>31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E9" t="s">
        <v>29</v>
      </c>
      <c r="F9" s="1">
        <v>15.083333333333334</v>
      </c>
      <c r="G9" s="1">
        <v>4.7054932437170338</v>
      </c>
      <c r="H9" s="1">
        <v>18.5</v>
      </c>
      <c r="I9" s="1">
        <v>3.7815340802378077</v>
      </c>
      <c r="J9" s="1">
        <v>26.833333333333332</v>
      </c>
      <c r="K9" s="1">
        <v>3.2197308376115243</v>
      </c>
      <c r="L9" s="1">
        <v>20.138888888888889</v>
      </c>
      <c r="M9" s="1">
        <v>2.9541245491434216</v>
      </c>
      <c r="N9" s="1">
        <v>5.4722222222222214</v>
      </c>
      <c r="O9" s="1">
        <v>1.8571682944940902</v>
      </c>
    </row>
    <row r="10" spans="1:15" x14ac:dyDescent="0.3"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B11" t="s">
        <v>30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C12" t="s">
        <v>2</v>
      </c>
      <c r="F12" s="1">
        <v>17.071428571428573</v>
      </c>
      <c r="G12" s="1">
        <v>2.149196970742242</v>
      </c>
      <c r="H12" s="1">
        <v>16.857142857142858</v>
      </c>
      <c r="I12" s="1">
        <v>3.1320159337914957</v>
      </c>
      <c r="J12" s="1">
        <v>30.928571428571427</v>
      </c>
      <c r="K12" s="1">
        <v>3.7906526639943623</v>
      </c>
      <c r="L12" s="1">
        <v>21.619047619047617</v>
      </c>
      <c r="M12" s="1">
        <v>1.0350983390135315</v>
      </c>
      <c r="N12" s="1">
        <v>5.7619047619047636</v>
      </c>
      <c r="O12" s="1">
        <v>1.6690459207925552</v>
      </c>
    </row>
    <row r="13" spans="1:15" x14ac:dyDescent="0.3">
      <c r="C13" t="s">
        <v>29</v>
      </c>
      <c r="F13" s="1">
        <v>17.333333333333332</v>
      </c>
      <c r="G13" s="1">
        <v>4.1912607490666396</v>
      </c>
      <c r="H13" s="1">
        <v>15.583333333333334</v>
      </c>
      <c r="I13" s="1">
        <v>2.8533605917701061</v>
      </c>
      <c r="J13" s="1">
        <v>29.083333333333332</v>
      </c>
      <c r="K13" s="1">
        <v>4.1882772910430139</v>
      </c>
      <c r="L13" s="1">
        <v>20.666666666666668</v>
      </c>
      <c r="M13" s="1">
        <v>2.7487370837451088</v>
      </c>
      <c r="N13" s="1">
        <v>5.916666666666667</v>
      </c>
      <c r="O13" s="1">
        <v>1.6012148165967275</v>
      </c>
    </row>
    <row r="14" spans="1:15" x14ac:dyDescent="0.3">
      <c r="C14" t="s">
        <v>23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D15" t="s">
        <v>29</v>
      </c>
      <c r="F15" s="1">
        <v>16.611111111111111</v>
      </c>
      <c r="G15" s="1">
        <v>1.0240171439537089</v>
      </c>
      <c r="H15" s="1">
        <v>16.833333333333332</v>
      </c>
      <c r="I15" s="1">
        <v>2.4874685927665499</v>
      </c>
      <c r="J15" s="1">
        <v>29.833333333333332</v>
      </c>
      <c r="K15" s="1">
        <v>2.1360009363293826</v>
      </c>
      <c r="L15" s="1">
        <v>21.092592592592595</v>
      </c>
      <c r="M15" s="1">
        <v>0.96144823888204367</v>
      </c>
      <c r="N15" s="1">
        <v>5.314814814814814</v>
      </c>
      <c r="O15" s="1">
        <v>1.3955396318978317</v>
      </c>
    </row>
    <row r="16" spans="1:15" x14ac:dyDescent="0.3">
      <c r="D16" t="s">
        <v>31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5:15" x14ac:dyDescent="0.3">
      <c r="E17" t="s">
        <v>29</v>
      </c>
      <c r="F17" s="1">
        <v>14.3</v>
      </c>
      <c r="G17" s="1">
        <v>2.5884358211089546</v>
      </c>
      <c r="H17" s="1">
        <v>17.100000000000001</v>
      </c>
      <c r="I17" s="1">
        <v>1.3874436925511606</v>
      </c>
      <c r="J17" s="1">
        <v>27.8</v>
      </c>
      <c r="K17" s="1">
        <v>3.9465174521342288</v>
      </c>
      <c r="L17" s="1">
        <v>19.733333333333334</v>
      </c>
      <c r="M17" s="1">
        <v>1.9811612756158952</v>
      </c>
      <c r="N17" s="1">
        <v>5.5333333333333332</v>
      </c>
      <c r="O17" s="1">
        <v>1.2213380640374176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4"/>
  <sheetViews>
    <sheetView topLeftCell="J1" workbookViewId="0">
      <selection activeCell="W3" sqref="W3:AF3"/>
    </sheetView>
  </sheetViews>
  <sheetFormatPr defaultRowHeight="14.4" x14ac:dyDescent="0.3"/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94</v>
      </c>
      <c r="C3">
        <v>6</v>
      </c>
      <c r="D3">
        <v>18</v>
      </c>
      <c r="E3">
        <v>82</v>
      </c>
      <c r="G3">
        <v>79</v>
      </c>
      <c r="H3">
        <v>21</v>
      </c>
      <c r="I3">
        <v>11</v>
      </c>
      <c r="J3">
        <v>89</v>
      </c>
      <c r="L3">
        <v>60</v>
      </c>
      <c r="M3">
        <v>40</v>
      </c>
      <c r="N3">
        <v>16</v>
      </c>
      <c r="O3">
        <v>84</v>
      </c>
      <c r="Q3">
        <f>AVERAGE(C3:D3)</f>
        <v>12</v>
      </c>
      <c r="R3">
        <f>AVERAGE(H3:I3)</f>
        <v>16</v>
      </c>
      <c r="S3">
        <f>AVERAGE(M3:N3)</f>
        <v>28</v>
      </c>
      <c r="T3">
        <f>AVERAGE(Q3:S3)</f>
        <v>18.666666666666668</v>
      </c>
      <c r="U3">
        <f>MIN(Q3:S3)</f>
        <v>12</v>
      </c>
      <c r="V3">
        <f>T3-U3</f>
        <v>6.6666666666666679</v>
      </c>
      <c r="W3">
        <f>AVERAGE(Q3:Q8)</f>
        <v>14.3</v>
      </c>
      <c r="X3">
        <f>_xlfn.STDEV.S(Q3:Q8)</f>
        <v>2.5884358211089546</v>
      </c>
      <c r="Y3">
        <f>AVERAGE(R3:R8)</f>
        <v>17.100000000000001</v>
      </c>
      <c r="Z3">
        <f>_xlfn.STDEV.S(R3:R8)</f>
        <v>1.3874436925511606</v>
      </c>
      <c r="AA3">
        <f>AVERAGE(S3:S8)</f>
        <v>27.8</v>
      </c>
      <c r="AB3">
        <f>_xlfn.STDEV.S(S3:S8)</f>
        <v>3.9465174521342288</v>
      </c>
      <c r="AC3">
        <f>AVERAGE(T3:T8)</f>
        <v>19.733333333333334</v>
      </c>
      <c r="AD3">
        <f>_xlfn.STDEV.S(T3:T8)</f>
        <v>1.9811612756158952</v>
      </c>
      <c r="AE3">
        <f>AVERAGE(V3:V8)</f>
        <v>5.5333333333333332</v>
      </c>
      <c r="AF3">
        <f>_xlfn.STDEV.S(V3:V8)</f>
        <v>1.2213380640374176</v>
      </c>
    </row>
    <row r="4" spans="1:32" x14ac:dyDescent="0.3">
      <c r="B4">
        <v>86</v>
      </c>
      <c r="C4">
        <v>14</v>
      </c>
      <c r="D4">
        <v>22</v>
      </c>
      <c r="E4">
        <v>78</v>
      </c>
      <c r="G4">
        <v>81</v>
      </c>
      <c r="H4">
        <v>19</v>
      </c>
      <c r="I4">
        <v>18</v>
      </c>
      <c r="J4">
        <v>82</v>
      </c>
      <c r="L4">
        <v>78</v>
      </c>
      <c r="M4">
        <v>22</v>
      </c>
      <c r="N4">
        <v>38</v>
      </c>
      <c r="O4">
        <v>62</v>
      </c>
      <c r="Q4">
        <f t="shared" ref="Q4:Q8" si="0">AVERAGE(C4:D4)</f>
        <v>18</v>
      </c>
      <c r="R4">
        <f t="shared" ref="R4:R8" si="1">AVERAGE(H4:I4)</f>
        <v>18.5</v>
      </c>
      <c r="S4">
        <f t="shared" ref="S4:S8" si="2">AVERAGE(M4:N4)</f>
        <v>30</v>
      </c>
      <c r="T4">
        <f t="shared" ref="T4:T8" si="3">AVERAGE(Q4:S4)</f>
        <v>22.166666666666668</v>
      </c>
      <c r="U4">
        <f t="shared" ref="U4:U8" si="4">MIN(Q4:S4)</f>
        <v>18</v>
      </c>
      <c r="V4">
        <f t="shared" ref="V4:V8" si="5">T4-U4</f>
        <v>4.1666666666666679</v>
      </c>
    </row>
    <row r="5" spans="1:32" x14ac:dyDescent="0.3">
      <c r="B5">
        <v>91</v>
      </c>
      <c r="C5">
        <v>9</v>
      </c>
      <c r="D5">
        <v>17</v>
      </c>
      <c r="E5">
        <v>83</v>
      </c>
      <c r="G5">
        <v>79</v>
      </c>
      <c r="H5">
        <v>21</v>
      </c>
      <c r="I5">
        <v>13</v>
      </c>
      <c r="J5">
        <v>87</v>
      </c>
      <c r="L5">
        <v>74</v>
      </c>
      <c r="M5">
        <v>26</v>
      </c>
      <c r="N5">
        <v>18</v>
      </c>
      <c r="O5">
        <v>82</v>
      </c>
      <c r="Q5">
        <f t="shared" si="0"/>
        <v>13</v>
      </c>
      <c r="R5">
        <f t="shared" si="1"/>
        <v>17</v>
      </c>
      <c r="S5">
        <f t="shared" si="2"/>
        <v>22</v>
      </c>
      <c r="T5">
        <f t="shared" si="3"/>
        <v>17.333333333333332</v>
      </c>
      <c r="U5">
        <f t="shared" si="4"/>
        <v>13</v>
      </c>
      <c r="V5">
        <f t="shared" si="5"/>
        <v>4.3333333333333321</v>
      </c>
    </row>
    <row r="6" spans="1:32" x14ac:dyDescent="0.3">
      <c r="B6">
        <v>95</v>
      </c>
      <c r="C6">
        <v>5</v>
      </c>
      <c r="D6">
        <v>20</v>
      </c>
      <c r="E6">
        <v>80</v>
      </c>
      <c r="G6">
        <v>76</v>
      </c>
      <c r="H6">
        <v>24</v>
      </c>
      <c r="I6">
        <v>13</v>
      </c>
      <c r="J6">
        <v>87</v>
      </c>
      <c r="L6">
        <v>73</v>
      </c>
      <c r="M6">
        <v>27</v>
      </c>
      <c r="N6">
        <v>26</v>
      </c>
      <c r="O6">
        <v>74</v>
      </c>
      <c r="Q6">
        <f t="shared" si="0"/>
        <v>12.5</v>
      </c>
      <c r="R6">
        <f t="shared" si="1"/>
        <v>18.5</v>
      </c>
      <c r="S6">
        <f t="shared" si="2"/>
        <v>26.5</v>
      </c>
      <c r="T6">
        <f t="shared" si="3"/>
        <v>19.166666666666668</v>
      </c>
      <c r="U6">
        <f t="shared" si="4"/>
        <v>12.5</v>
      </c>
      <c r="V6">
        <f t="shared" si="5"/>
        <v>6.6666666666666679</v>
      </c>
    </row>
    <row r="7" spans="1:32" x14ac:dyDescent="0.3">
      <c r="B7">
        <v>91</v>
      </c>
      <c r="C7">
        <v>9</v>
      </c>
      <c r="D7">
        <v>23</v>
      </c>
      <c r="E7">
        <v>77</v>
      </c>
      <c r="G7">
        <v>76</v>
      </c>
      <c r="H7">
        <v>24</v>
      </c>
      <c r="I7">
        <v>7</v>
      </c>
      <c r="J7">
        <v>93</v>
      </c>
      <c r="L7">
        <v>71</v>
      </c>
      <c r="M7">
        <v>29</v>
      </c>
      <c r="N7">
        <v>36</v>
      </c>
      <c r="O7">
        <v>64</v>
      </c>
      <c r="Q7">
        <f t="shared" si="0"/>
        <v>16</v>
      </c>
      <c r="R7">
        <f t="shared" si="1"/>
        <v>15.5</v>
      </c>
      <c r="S7">
        <f t="shared" si="2"/>
        <v>32.5</v>
      </c>
      <c r="T7">
        <f t="shared" si="3"/>
        <v>21.333333333333332</v>
      </c>
      <c r="U7">
        <f t="shared" si="4"/>
        <v>15.5</v>
      </c>
      <c r="V7">
        <f t="shared" si="5"/>
        <v>5.8333333333333321</v>
      </c>
    </row>
    <row r="10" spans="1:32" x14ac:dyDescent="0.3">
      <c r="B10">
        <v>94</v>
      </c>
      <c r="C10">
        <v>6</v>
      </c>
      <c r="D10">
        <v>18</v>
      </c>
      <c r="E10">
        <v>82</v>
      </c>
      <c r="G10">
        <v>79</v>
      </c>
      <c r="H10">
        <v>21</v>
      </c>
      <c r="I10">
        <v>11</v>
      </c>
      <c r="J10">
        <v>89</v>
      </c>
      <c r="L10">
        <v>60</v>
      </c>
      <c r="M10">
        <v>40</v>
      </c>
      <c r="N10">
        <v>16</v>
      </c>
      <c r="O10">
        <v>84</v>
      </c>
      <c r="Q10">
        <f t="shared" ref="Q9:Q14" si="6">AVERAGE(C10:D10)</f>
        <v>12</v>
      </c>
      <c r="R10">
        <f t="shared" ref="R9:R14" si="7">AVERAGE(H10:I10)</f>
        <v>16</v>
      </c>
      <c r="S10">
        <f t="shared" ref="S9:S14" si="8">AVERAGE(M10:N10)</f>
        <v>28</v>
      </c>
      <c r="T10">
        <f t="shared" ref="T9:T14" si="9">AVERAGE(Q10:S10)</f>
        <v>18.666666666666668</v>
      </c>
      <c r="U10">
        <f t="shared" ref="U9:U14" si="10">MIN(Q10:S10)</f>
        <v>12</v>
      </c>
      <c r="V10">
        <f t="shared" ref="V9:V14" si="11">T10-U10</f>
        <v>6.6666666666666679</v>
      </c>
      <c r="W10">
        <f>AVERAGE(Q10:Q15)</f>
        <v>14.3</v>
      </c>
      <c r="X10">
        <f>_xlfn.STDEV.S(Q10:Q15)</f>
        <v>2.5884358211089546</v>
      </c>
      <c r="Y10">
        <f>AVERAGE(R10:R15)</f>
        <v>17.100000000000001</v>
      </c>
      <c r="Z10">
        <f>_xlfn.STDEV.S(R10:R15)</f>
        <v>1.3874436925511606</v>
      </c>
      <c r="AA10">
        <f>AVERAGE(S10:S15)</f>
        <v>27.8</v>
      </c>
      <c r="AB10">
        <f>_xlfn.STDEV.S(S10:S15)</f>
        <v>3.9465174521342288</v>
      </c>
      <c r="AC10">
        <f>AVERAGE(T10:T15)</f>
        <v>19.733333333333334</v>
      </c>
      <c r="AD10">
        <f>_xlfn.STDEV.S(T10:T15)</f>
        <v>1.9811612756158952</v>
      </c>
      <c r="AE10">
        <f>AVERAGE(V10:V15)</f>
        <v>5.5333333333333332</v>
      </c>
      <c r="AF10">
        <f>_xlfn.STDEV.S(V10:V15)</f>
        <v>1.2213380640374176</v>
      </c>
    </row>
    <row r="11" spans="1:32" x14ac:dyDescent="0.3">
      <c r="B11">
        <v>86</v>
      </c>
      <c r="C11">
        <v>14</v>
      </c>
      <c r="D11">
        <v>22</v>
      </c>
      <c r="E11">
        <v>78</v>
      </c>
      <c r="G11">
        <v>81</v>
      </c>
      <c r="H11">
        <v>19</v>
      </c>
      <c r="I11">
        <v>18</v>
      </c>
      <c r="J11">
        <v>82</v>
      </c>
      <c r="L11">
        <v>78</v>
      </c>
      <c r="M11">
        <v>22</v>
      </c>
      <c r="N11">
        <v>38</v>
      </c>
      <c r="O11">
        <v>62</v>
      </c>
      <c r="Q11">
        <f t="shared" si="6"/>
        <v>18</v>
      </c>
      <c r="R11">
        <f t="shared" si="7"/>
        <v>18.5</v>
      </c>
      <c r="S11">
        <f t="shared" si="8"/>
        <v>30</v>
      </c>
      <c r="T11">
        <f t="shared" si="9"/>
        <v>22.166666666666668</v>
      </c>
      <c r="U11">
        <f t="shared" si="10"/>
        <v>18</v>
      </c>
      <c r="V11">
        <f t="shared" si="11"/>
        <v>4.1666666666666679</v>
      </c>
    </row>
    <row r="12" spans="1:32" x14ac:dyDescent="0.3">
      <c r="B12">
        <v>91</v>
      </c>
      <c r="C12">
        <v>9</v>
      </c>
      <c r="D12">
        <v>17</v>
      </c>
      <c r="E12">
        <v>83</v>
      </c>
      <c r="G12">
        <v>79</v>
      </c>
      <c r="H12">
        <v>21</v>
      </c>
      <c r="I12">
        <v>13</v>
      </c>
      <c r="J12">
        <v>87</v>
      </c>
      <c r="L12">
        <v>74</v>
      </c>
      <c r="M12">
        <v>26</v>
      </c>
      <c r="N12">
        <v>18</v>
      </c>
      <c r="O12">
        <v>82</v>
      </c>
      <c r="Q12">
        <f t="shared" si="6"/>
        <v>13</v>
      </c>
      <c r="R12">
        <f t="shared" si="7"/>
        <v>17</v>
      </c>
      <c r="S12">
        <f t="shared" si="8"/>
        <v>22</v>
      </c>
      <c r="T12">
        <f t="shared" si="9"/>
        <v>17.333333333333332</v>
      </c>
      <c r="U12">
        <f t="shared" si="10"/>
        <v>13</v>
      </c>
      <c r="V12">
        <f t="shared" si="11"/>
        <v>4.3333333333333321</v>
      </c>
    </row>
    <row r="13" spans="1:32" x14ac:dyDescent="0.3">
      <c r="B13">
        <v>95</v>
      </c>
      <c r="C13">
        <v>5</v>
      </c>
      <c r="D13">
        <v>20</v>
      </c>
      <c r="E13">
        <v>80</v>
      </c>
      <c r="G13">
        <v>76</v>
      </c>
      <c r="H13">
        <v>24</v>
      </c>
      <c r="I13">
        <v>13</v>
      </c>
      <c r="J13">
        <v>87</v>
      </c>
      <c r="L13">
        <v>73</v>
      </c>
      <c r="M13">
        <v>27</v>
      </c>
      <c r="N13">
        <v>26</v>
      </c>
      <c r="O13">
        <v>74</v>
      </c>
      <c r="Q13">
        <f t="shared" si="6"/>
        <v>12.5</v>
      </c>
      <c r="R13">
        <f t="shared" si="7"/>
        <v>18.5</v>
      </c>
      <c r="S13">
        <f t="shared" si="8"/>
        <v>26.5</v>
      </c>
      <c r="T13">
        <f t="shared" si="9"/>
        <v>19.166666666666668</v>
      </c>
      <c r="U13">
        <f t="shared" si="10"/>
        <v>12.5</v>
      </c>
      <c r="V13">
        <f t="shared" si="11"/>
        <v>6.6666666666666679</v>
      </c>
    </row>
    <row r="14" spans="1:32" x14ac:dyDescent="0.3">
      <c r="B14">
        <v>91</v>
      </c>
      <c r="C14">
        <v>9</v>
      </c>
      <c r="D14">
        <v>23</v>
      </c>
      <c r="E14">
        <v>77</v>
      </c>
      <c r="G14">
        <v>76</v>
      </c>
      <c r="H14">
        <v>24</v>
      </c>
      <c r="I14">
        <v>7</v>
      </c>
      <c r="J14">
        <v>93</v>
      </c>
      <c r="L14">
        <v>71</v>
      </c>
      <c r="M14">
        <v>29</v>
      </c>
      <c r="N14">
        <v>36</v>
      </c>
      <c r="O14">
        <v>64</v>
      </c>
      <c r="Q14">
        <f t="shared" si="6"/>
        <v>16</v>
      </c>
      <c r="R14">
        <f t="shared" si="7"/>
        <v>15.5</v>
      </c>
      <c r="S14">
        <f t="shared" si="8"/>
        <v>32.5</v>
      </c>
      <c r="T14">
        <f t="shared" si="9"/>
        <v>21.333333333333332</v>
      </c>
      <c r="U14">
        <f t="shared" si="10"/>
        <v>15.5</v>
      </c>
      <c r="V14">
        <f t="shared" si="11"/>
        <v>5.8333333333333321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94201-0F1E-4EFB-96A1-05886F39E142}">
  <dimension ref="A2:AF22"/>
  <sheetViews>
    <sheetView topLeftCell="M1" workbookViewId="0">
      <selection activeCell="W3" sqref="W3:AF3"/>
    </sheetView>
  </sheetViews>
  <sheetFormatPr defaultRowHeight="14.4" x14ac:dyDescent="0.3"/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81</v>
      </c>
      <c r="C3">
        <v>19</v>
      </c>
      <c r="D3">
        <v>13</v>
      </c>
      <c r="E3">
        <v>87</v>
      </c>
      <c r="G3">
        <v>78</v>
      </c>
      <c r="H3">
        <v>22</v>
      </c>
      <c r="I3">
        <v>3</v>
      </c>
      <c r="J3">
        <v>97</v>
      </c>
      <c r="L3">
        <v>65</v>
      </c>
      <c r="M3">
        <v>35</v>
      </c>
      <c r="N3">
        <v>30</v>
      </c>
      <c r="O3">
        <v>70</v>
      </c>
      <c r="Q3">
        <f>AVERAGE(C3:D3)</f>
        <v>16</v>
      </c>
      <c r="R3">
        <f>AVERAGE(H3:I3)</f>
        <v>12.5</v>
      </c>
      <c r="S3">
        <f>AVERAGE(M3:N3)</f>
        <v>32.5</v>
      </c>
      <c r="T3">
        <f>AVERAGE(Q3:S3)</f>
        <v>20.333333333333332</v>
      </c>
      <c r="U3">
        <f>MIN(Q3:S3)</f>
        <v>12.5</v>
      </c>
      <c r="V3">
        <f>T3-U3</f>
        <v>7.8333333333333321</v>
      </c>
      <c r="W3">
        <f>AVERAGE(Q3:Q11)</f>
        <v>16.611111111111111</v>
      </c>
      <c r="X3">
        <f>_xlfn.STDEV.S(Q3:Q11)</f>
        <v>1.0240171439537089</v>
      </c>
      <c r="Y3">
        <f>AVERAGE(R3:R11)</f>
        <v>16.833333333333332</v>
      </c>
      <c r="Z3">
        <f>_xlfn.STDEV.S(R3:R11)</f>
        <v>2.4874685927665499</v>
      </c>
      <c r="AA3">
        <f>AVERAGE(S3:S11)</f>
        <v>29.833333333333332</v>
      </c>
      <c r="AB3">
        <f>_xlfn.STDEV.S(S3:S11)</f>
        <v>2.1360009363293826</v>
      </c>
      <c r="AC3">
        <f>AVERAGE(T3:T11)</f>
        <v>21.092592592592595</v>
      </c>
      <c r="AD3">
        <f>_xlfn.STDEV.S(T3:T11)</f>
        <v>0.96144823888204367</v>
      </c>
      <c r="AE3">
        <f>AVERAGE(V3:V11)</f>
        <v>5.314814814814814</v>
      </c>
      <c r="AF3">
        <f>_xlfn.STDEV.S(V3:V11)</f>
        <v>1.3955396318978317</v>
      </c>
    </row>
    <row r="4" spans="1:32" x14ac:dyDescent="0.3">
      <c r="B4">
        <v>88</v>
      </c>
      <c r="C4">
        <v>12</v>
      </c>
      <c r="D4">
        <v>20</v>
      </c>
      <c r="E4">
        <v>80</v>
      </c>
      <c r="G4">
        <v>80</v>
      </c>
      <c r="H4">
        <v>20</v>
      </c>
      <c r="I4">
        <v>18</v>
      </c>
      <c r="J4">
        <v>82</v>
      </c>
      <c r="L4">
        <v>72</v>
      </c>
      <c r="M4">
        <v>28</v>
      </c>
      <c r="N4">
        <v>27</v>
      </c>
      <c r="O4">
        <v>73</v>
      </c>
      <c r="Q4">
        <f t="shared" ref="Q4:Q11" si="0">AVERAGE(C4:D4)</f>
        <v>16</v>
      </c>
      <c r="R4">
        <f t="shared" ref="R4:R11" si="1">AVERAGE(H4:I4)</f>
        <v>19</v>
      </c>
      <c r="S4">
        <f t="shared" ref="S4:S11" si="2">AVERAGE(M4:N4)</f>
        <v>27.5</v>
      </c>
      <c r="T4">
        <f t="shared" ref="T4:T11" si="3">AVERAGE(Q4:S4)</f>
        <v>20.833333333333332</v>
      </c>
      <c r="U4">
        <f t="shared" ref="U4:U11" si="4">MIN(Q4:S4)</f>
        <v>16</v>
      </c>
      <c r="V4">
        <f t="shared" ref="V4:V11" si="5">T4-U4</f>
        <v>4.8333333333333321</v>
      </c>
    </row>
    <row r="5" spans="1:32" x14ac:dyDescent="0.3">
      <c r="B5">
        <v>87</v>
      </c>
      <c r="C5">
        <v>13</v>
      </c>
      <c r="D5">
        <v>22</v>
      </c>
      <c r="E5">
        <v>78</v>
      </c>
      <c r="G5">
        <v>66</v>
      </c>
      <c r="H5">
        <v>34</v>
      </c>
      <c r="I5">
        <v>4</v>
      </c>
      <c r="J5">
        <v>96</v>
      </c>
      <c r="L5">
        <v>66</v>
      </c>
      <c r="M5">
        <v>34</v>
      </c>
      <c r="N5">
        <v>23</v>
      </c>
      <c r="O5">
        <v>77</v>
      </c>
      <c r="Q5">
        <f t="shared" si="0"/>
        <v>17.5</v>
      </c>
      <c r="R5">
        <f t="shared" si="1"/>
        <v>19</v>
      </c>
      <c r="S5">
        <f t="shared" si="2"/>
        <v>28.5</v>
      </c>
      <c r="T5">
        <f t="shared" si="3"/>
        <v>21.666666666666668</v>
      </c>
      <c r="U5">
        <f t="shared" si="4"/>
        <v>17.5</v>
      </c>
      <c r="V5">
        <f t="shared" si="5"/>
        <v>4.1666666666666679</v>
      </c>
    </row>
    <row r="6" spans="1:32" x14ac:dyDescent="0.3">
      <c r="B6">
        <v>80</v>
      </c>
      <c r="C6">
        <v>20</v>
      </c>
      <c r="D6">
        <v>16</v>
      </c>
      <c r="E6">
        <v>84</v>
      </c>
      <c r="G6">
        <v>70</v>
      </c>
      <c r="H6">
        <v>30</v>
      </c>
      <c r="I6">
        <v>10</v>
      </c>
      <c r="J6">
        <v>90</v>
      </c>
      <c r="L6">
        <v>67</v>
      </c>
      <c r="M6">
        <v>33</v>
      </c>
      <c r="N6">
        <v>29</v>
      </c>
      <c r="O6">
        <v>71</v>
      </c>
      <c r="Q6">
        <f t="shared" si="0"/>
        <v>18</v>
      </c>
      <c r="R6">
        <f t="shared" si="1"/>
        <v>20</v>
      </c>
      <c r="S6">
        <f t="shared" si="2"/>
        <v>31</v>
      </c>
      <c r="T6">
        <f t="shared" si="3"/>
        <v>23</v>
      </c>
      <c r="U6">
        <f t="shared" si="4"/>
        <v>18</v>
      </c>
      <c r="V6">
        <f t="shared" si="5"/>
        <v>5</v>
      </c>
    </row>
    <row r="7" spans="1:32" x14ac:dyDescent="0.3">
      <c r="B7">
        <v>87</v>
      </c>
      <c r="C7">
        <v>13</v>
      </c>
      <c r="D7">
        <v>21</v>
      </c>
      <c r="E7">
        <v>79</v>
      </c>
      <c r="G7">
        <v>71</v>
      </c>
      <c r="H7">
        <v>29</v>
      </c>
      <c r="I7">
        <v>5</v>
      </c>
      <c r="J7">
        <v>95</v>
      </c>
      <c r="L7">
        <v>72</v>
      </c>
      <c r="M7">
        <v>28</v>
      </c>
      <c r="N7">
        <v>36</v>
      </c>
      <c r="O7">
        <v>64</v>
      </c>
      <c r="Q7">
        <f t="shared" si="0"/>
        <v>17</v>
      </c>
      <c r="R7">
        <f t="shared" si="1"/>
        <v>17</v>
      </c>
      <c r="S7">
        <f t="shared" si="2"/>
        <v>32</v>
      </c>
      <c r="T7">
        <f t="shared" si="3"/>
        <v>22</v>
      </c>
      <c r="U7">
        <f t="shared" si="4"/>
        <v>17</v>
      </c>
      <c r="V7">
        <f t="shared" si="5"/>
        <v>5</v>
      </c>
    </row>
    <row r="8" spans="1:32" x14ac:dyDescent="0.3">
      <c r="B8">
        <v>83</v>
      </c>
      <c r="C8">
        <v>17</v>
      </c>
      <c r="D8">
        <v>17</v>
      </c>
      <c r="E8">
        <v>83</v>
      </c>
      <c r="G8">
        <v>79</v>
      </c>
      <c r="H8">
        <v>21</v>
      </c>
      <c r="I8">
        <v>6</v>
      </c>
      <c r="J8">
        <v>94</v>
      </c>
      <c r="L8">
        <v>65</v>
      </c>
      <c r="M8">
        <v>35</v>
      </c>
      <c r="N8">
        <v>28</v>
      </c>
      <c r="O8">
        <v>72</v>
      </c>
      <c r="Q8">
        <f t="shared" si="0"/>
        <v>17</v>
      </c>
      <c r="R8">
        <f t="shared" si="1"/>
        <v>13.5</v>
      </c>
      <c r="S8">
        <f t="shared" si="2"/>
        <v>31.5</v>
      </c>
      <c r="T8">
        <f t="shared" si="3"/>
        <v>20.666666666666668</v>
      </c>
      <c r="U8">
        <f t="shared" si="4"/>
        <v>13.5</v>
      </c>
      <c r="V8">
        <f t="shared" si="5"/>
        <v>7.1666666666666679</v>
      </c>
    </row>
    <row r="9" spans="1:32" x14ac:dyDescent="0.3">
      <c r="B9">
        <v>91</v>
      </c>
      <c r="C9">
        <v>9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80</v>
      </c>
      <c r="M9">
        <v>20</v>
      </c>
      <c r="N9">
        <v>37</v>
      </c>
      <c r="O9">
        <v>63</v>
      </c>
      <c r="Q9">
        <f t="shared" si="0"/>
        <v>15</v>
      </c>
      <c r="R9">
        <f t="shared" si="1"/>
        <v>16.5</v>
      </c>
      <c r="S9">
        <f t="shared" si="2"/>
        <v>28.5</v>
      </c>
      <c r="T9">
        <f t="shared" si="3"/>
        <v>20</v>
      </c>
      <c r="U9">
        <f t="shared" si="4"/>
        <v>15</v>
      </c>
      <c r="V9">
        <f t="shared" si="5"/>
        <v>5</v>
      </c>
    </row>
    <row r="10" spans="1:32" x14ac:dyDescent="0.3">
      <c r="B10">
        <v>90</v>
      </c>
      <c r="C10">
        <v>10</v>
      </c>
      <c r="D10">
        <v>21</v>
      </c>
      <c r="E10">
        <v>79</v>
      </c>
      <c r="G10">
        <v>77</v>
      </c>
      <c r="H10">
        <v>23</v>
      </c>
      <c r="I10">
        <v>11</v>
      </c>
      <c r="J10">
        <v>89</v>
      </c>
      <c r="L10">
        <v>74</v>
      </c>
      <c r="M10">
        <v>26</v>
      </c>
      <c r="N10">
        <v>35</v>
      </c>
      <c r="O10">
        <v>65</v>
      </c>
      <c r="Q10">
        <f t="shared" si="0"/>
        <v>15.5</v>
      </c>
      <c r="R10">
        <f t="shared" si="1"/>
        <v>17</v>
      </c>
      <c r="S10">
        <f t="shared" si="2"/>
        <v>30.5</v>
      </c>
      <c r="T10">
        <f t="shared" si="3"/>
        <v>21</v>
      </c>
      <c r="U10">
        <f t="shared" si="4"/>
        <v>15.5</v>
      </c>
      <c r="V10">
        <f t="shared" si="5"/>
        <v>5.5</v>
      </c>
    </row>
    <row r="11" spans="1:32" x14ac:dyDescent="0.3">
      <c r="B11">
        <v>78</v>
      </c>
      <c r="C11">
        <v>22</v>
      </c>
      <c r="D11">
        <v>13</v>
      </c>
      <c r="E11">
        <v>87</v>
      </c>
      <c r="G11">
        <v>69</v>
      </c>
      <c r="H11">
        <v>31</v>
      </c>
      <c r="I11">
        <v>3</v>
      </c>
      <c r="J11">
        <v>97</v>
      </c>
      <c r="L11">
        <v>71</v>
      </c>
      <c r="M11">
        <v>29</v>
      </c>
      <c r="N11">
        <v>24</v>
      </c>
      <c r="O11">
        <v>76</v>
      </c>
      <c r="Q11">
        <f t="shared" si="0"/>
        <v>17.5</v>
      </c>
      <c r="R11">
        <f t="shared" si="1"/>
        <v>17</v>
      </c>
      <c r="S11">
        <f t="shared" si="2"/>
        <v>26.5</v>
      </c>
      <c r="T11">
        <f t="shared" si="3"/>
        <v>20.333333333333332</v>
      </c>
      <c r="U11">
        <f t="shared" si="4"/>
        <v>17</v>
      </c>
      <c r="V11">
        <f t="shared" si="5"/>
        <v>3.3333333333333321</v>
      </c>
    </row>
    <row r="14" spans="1:32" x14ac:dyDescent="0.3">
      <c r="B14">
        <v>81</v>
      </c>
      <c r="C14">
        <v>19</v>
      </c>
      <c r="D14">
        <v>13</v>
      </c>
      <c r="E14">
        <v>87</v>
      </c>
      <c r="G14">
        <v>78</v>
      </c>
      <c r="H14">
        <v>22</v>
      </c>
      <c r="I14">
        <v>3</v>
      </c>
      <c r="J14">
        <v>97</v>
      </c>
      <c r="L14">
        <v>65</v>
      </c>
      <c r="M14">
        <v>35</v>
      </c>
      <c r="N14">
        <v>29</v>
      </c>
      <c r="O14">
        <v>71</v>
      </c>
      <c r="Q14">
        <f>AVERAGE(C14:D14)</f>
        <v>16</v>
      </c>
      <c r="R14">
        <f>AVERAGE(H14:I14)</f>
        <v>12.5</v>
      </c>
      <c r="S14">
        <f>AVERAGE(M14:N14)</f>
        <v>32</v>
      </c>
      <c r="T14">
        <f>AVERAGE(Q14:S14)</f>
        <v>20.166666666666668</v>
      </c>
      <c r="U14">
        <f>MIN(Q14:S14)</f>
        <v>12.5</v>
      </c>
      <c r="V14">
        <f>T14-U14</f>
        <v>7.6666666666666679</v>
      </c>
      <c r="W14">
        <f>AVERAGE(Q14:Q22)</f>
        <v>16.611111111111111</v>
      </c>
      <c r="X14">
        <f>_xlfn.STDEV.S(Q14:Q22)</f>
        <v>1.0240171439537089</v>
      </c>
      <c r="Y14">
        <f>AVERAGE(R14:R22)</f>
        <v>16.888888888888889</v>
      </c>
      <c r="Z14">
        <f>_xlfn.STDEV.S(R14:R22)</f>
        <v>2.5467844649893494</v>
      </c>
      <c r="AA14">
        <f>AVERAGE(S14:S22)</f>
        <v>29.888888888888889</v>
      </c>
      <c r="AB14">
        <f>_xlfn.STDEV.S(S14:S22)</f>
        <v>2.1762608095334324</v>
      </c>
      <c r="AC14">
        <f>AVERAGE(T14:T22)</f>
        <v>21.12962962962963</v>
      </c>
      <c r="AD14">
        <f>_xlfn.STDEV.S(T14:T22)</f>
        <v>0.99574712938527321</v>
      </c>
      <c r="AE14">
        <f>AVERAGE(V14:V22)</f>
        <v>5.3518518518518521</v>
      </c>
      <c r="AF14">
        <f>_xlfn.STDEV.S(V14:V22)</f>
        <v>1.3905545567537574</v>
      </c>
    </row>
    <row r="15" spans="1:32" x14ac:dyDescent="0.3">
      <c r="B15">
        <v>88</v>
      </c>
      <c r="C15">
        <v>12</v>
      </c>
      <c r="D15">
        <v>20</v>
      </c>
      <c r="E15">
        <v>80</v>
      </c>
      <c r="G15">
        <v>80</v>
      </c>
      <c r="H15">
        <v>20</v>
      </c>
      <c r="I15">
        <v>19</v>
      </c>
      <c r="J15">
        <v>81</v>
      </c>
      <c r="L15">
        <v>73</v>
      </c>
      <c r="M15">
        <v>27</v>
      </c>
      <c r="N15">
        <v>29</v>
      </c>
      <c r="O15">
        <v>71</v>
      </c>
      <c r="Q15">
        <f t="shared" ref="Q15:Q22" si="6">AVERAGE(C15:D15)</f>
        <v>16</v>
      </c>
      <c r="R15">
        <f t="shared" ref="R15:R22" si="7">AVERAGE(H15:I15)</f>
        <v>19.5</v>
      </c>
      <c r="S15">
        <f t="shared" ref="S15:S22" si="8">AVERAGE(M15:N15)</f>
        <v>28</v>
      </c>
      <c r="T15">
        <f t="shared" ref="T15:T22" si="9">AVERAGE(Q15:S15)</f>
        <v>21.166666666666668</v>
      </c>
      <c r="U15">
        <f t="shared" ref="U15:U22" si="10">MIN(Q15:S15)</f>
        <v>16</v>
      </c>
      <c r="V15">
        <f t="shared" ref="V15:V22" si="11">T15-U15</f>
        <v>5.1666666666666679</v>
      </c>
    </row>
    <row r="16" spans="1:32" x14ac:dyDescent="0.3">
      <c r="B16">
        <v>87</v>
      </c>
      <c r="C16">
        <v>13</v>
      </c>
      <c r="D16">
        <v>22</v>
      </c>
      <c r="E16">
        <v>78</v>
      </c>
      <c r="G16">
        <v>66</v>
      </c>
      <c r="H16">
        <v>34</v>
      </c>
      <c r="I16">
        <v>4</v>
      </c>
      <c r="J16">
        <v>96</v>
      </c>
      <c r="L16">
        <v>66</v>
      </c>
      <c r="M16">
        <v>34</v>
      </c>
      <c r="N16">
        <v>23</v>
      </c>
      <c r="O16">
        <v>77</v>
      </c>
      <c r="Q16">
        <f t="shared" si="6"/>
        <v>17.5</v>
      </c>
      <c r="R16">
        <f t="shared" si="7"/>
        <v>19</v>
      </c>
      <c r="S16">
        <f t="shared" si="8"/>
        <v>28.5</v>
      </c>
      <c r="T16">
        <f t="shared" si="9"/>
        <v>21.666666666666668</v>
      </c>
      <c r="U16">
        <f t="shared" si="10"/>
        <v>17.5</v>
      </c>
      <c r="V16">
        <f t="shared" si="11"/>
        <v>4.1666666666666679</v>
      </c>
    </row>
    <row r="17" spans="2:22" x14ac:dyDescent="0.3">
      <c r="B17">
        <v>80</v>
      </c>
      <c r="C17">
        <v>20</v>
      </c>
      <c r="D17">
        <v>16</v>
      </c>
      <c r="E17">
        <v>84</v>
      </c>
      <c r="G17">
        <v>70</v>
      </c>
      <c r="H17">
        <v>30</v>
      </c>
      <c r="I17">
        <v>10</v>
      </c>
      <c r="J17">
        <v>90</v>
      </c>
      <c r="L17">
        <v>67</v>
      </c>
      <c r="M17">
        <v>33</v>
      </c>
      <c r="N17">
        <v>29</v>
      </c>
      <c r="O17">
        <v>71</v>
      </c>
      <c r="Q17">
        <f t="shared" si="6"/>
        <v>18</v>
      </c>
      <c r="R17">
        <f t="shared" si="7"/>
        <v>20</v>
      </c>
      <c r="S17">
        <f t="shared" si="8"/>
        <v>31</v>
      </c>
      <c r="T17">
        <f t="shared" si="9"/>
        <v>23</v>
      </c>
      <c r="U17">
        <f t="shared" si="10"/>
        <v>18</v>
      </c>
      <c r="V17">
        <f t="shared" si="11"/>
        <v>5</v>
      </c>
    </row>
    <row r="18" spans="2:22" x14ac:dyDescent="0.3">
      <c r="B18">
        <v>87</v>
      </c>
      <c r="C18">
        <v>13</v>
      </c>
      <c r="D18">
        <v>21</v>
      </c>
      <c r="E18">
        <v>79</v>
      </c>
      <c r="G18">
        <v>71</v>
      </c>
      <c r="H18">
        <v>29</v>
      </c>
      <c r="I18">
        <v>5</v>
      </c>
      <c r="J18">
        <v>95</v>
      </c>
      <c r="L18">
        <v>72</v>
      </c>
      <c r="M18">
        <v>28</v>
      </c>
      <c r="N18">
        <v>36</v>
      </c>
      <c r="O18">
        <v>64</v>
      </c>
      <c r="Q18">
        <f t="shared" si="6"/>
        <v>17</v>
      </c>
      <c r="R18">
        <f t="shared" si="7"/>
        <v>17</v>
      </c>
      <c r="S18">
        <f t="shared" si="8"/>
        <v>32</v>
      </c>
      <c r="T18">
        <f t="shared" si="9"/>
        <v>22</v>
      </c>
      <c r="U18">
        <f t="shared" si="10"/>
        <v>17</v>
      </c>
      <c r="V18">
        <f t="shared" si="11"/>
        <v>5</v>
      </c>
    </row>
    <row r="19" spans="2:22" x14ac:dyDescent="0.3">
      <c r="B19">
        <v>83</v>
      </c>
      <c r="C19">
        <v>17</v>
      </c>
      <c r="D19">
        <v>17</v>
      </c>
      <c r="E19">
        <v>83</v>
      </c>
      <c r="G19">
        <v>79</v>
      </c>
      <c r="H19">
        <v>21</v>
      </c>
      <c r="I19">
        <v>6</v>
      </c>
      <c r="J19">
        <v>94</v>
      </c>
      <c r="L19">
        <v>65</v>
      </c>
      <c r="M19">
        <v>35</v>
      </c>
      <c r="N19">
        <v>28</v>
      </c>
      <c r="O19">
        <v>72</v>
      </c>
      <c r="Q19">
        <f t="shared" si="6"/>
        <v>17</v>
      </c>
      <c r="R19">
        <f t="shared" si="7"/>
        <v>13.5</v>
      </c>
      <c r="S19">
        <f t="shared" si="8"/>
        <v>31.5</v>
      </c>
      <c r="T19">
        <f t="shared" si="9"/>
        <v>20.666666666666668</v>
      </c>
      <c r="U19">
        <f t="shared" si="10"/>
        <v>13.5</v>
      </c>
      <c r="V19">
        <f t="shared" si="11"/>
        <v>7.1666666666666679</v>
      </c>
    </row>
    <row r="20" spans="2:22" x14ac:dyDescent="0.3">
      <c r="B20">
        <v>91</v>
      </c>
      <c r="C20">
        <v>9</v>
      </c>
      <c r="D20">
        <v>21</v>
      </c>
      <c r="E20">
        <v>79</v>
      </c>
      <c r="G20">
        <v>75</v>
      </c>
      <c r="H20">
        <v>25</v>
      </c>
      <c r="I20">
        <v>8</v>
      </c>
      <c r="J20">
        <v>92</v>
      </c>
      <c r="L20">
        <v>80</v>
      </c>
      <c r="M20">
        <v>20</v>
      </c>
      <c r="N20">
        <v>37</v>
      </c>
      <c r="O20">
        <v>63</v>
      </c>
      <c r="Q20">
        <f t="shared" si="6"/>
        <v>15</v>
      </c>
      <c r="R20">
        <f t="shared" si="7"/>
        <v>16.5</v>
      </c>
      <c r="S20">
        <f t="shared" si="8"/>
        <v>28.5</v>
      </c>
      <c r="T20">
        <f t="shared" si="9"/>
        <v>20</v>
      </c>
      <c r="U20">
        <f t="shared" si="10"/>
        <v>15</v>
      </c>
      <c r="V20">
        <f t="shared" si="11"/>
        <v>5</v>
      </c>
    </row>
    <row r="21" spans="2:22" x14ac:dyDescent="0.3">
      <c r="B21">
        <v>90</v>
      </c>
      <c r="C21">
        <v>10</v>
      </c>
      <c r="D21">
        <v>21</v>
      </c>
      <c r="E21">
        <v>79</v>
      </c>
      <c r="G21">
        <v>77</v>
      </c>
      <c r="H21">
        <v>23</v>
      </c>
      <c r="I21">
        <v>11</v>
      </c>
      <c r="J21">
        <v>89</v>
      </c>
      <c r="L21">
        <v>72</v>
      </c>
      <c r="M21">
        <v>28</v>
      </c>
      <c r="N21">
        <v>35</v>
      </c>
      <c r="O21">
        <v>65</v>
      </c>
      <c r="Q21">
        <f t="shared" si="6"/>
        <v>15.5</v>
      </c>
      <c r="R21">
        <f t="shared" si="7"/>
        <v>17</v>
      </c>
      <c r="S21">
        <f t="shared" si="8"/>
        <v>31.5</v>
      </c>
      <c r="T21">
        <f t="shared" si="9"/>
        <v>21.333333333333332</v>
      </c>
      <c r="U21">
        <f t="shared" si="10"/>
        <v>15.5</v>
      </c>
      <c r="V21">
        <f t="shared" si="11"/>
        <v>5.8333333333333321</v>
      </c>
    </row>
    <row r="22" spans="2:22" x14ac:dyDescent="0.3">
      <c r="B22">
        <v>78</v>
      </c>
      <c r="C22">
        <v>22</v>
      </c>
      <c r="D22">
        <v>13</v>
      </c>
      <c r="E22">
        <v>87</v>
      </c>
      <c r="G22">
        <v>69</v>
      </c>
      <c r="H22">
        <v>31</v>
      </c>
      <c r="I22">
        <v>3</v>
      </c>
      <c r="J22">
        <v>97</v>
      </c>
      <c r="L22">
        <v>72</v>
      </c>
      <c r="M22">
        <v>28</v>
      </c>
      <c r="N22">
        <v>24</v>
      </c>
      <c r="O22">
        <v>76</v>
      </c>
      <c r="Q22">
        <f t="shared" si="6"/>
        <v>17.5</v>
      </c>
      <c r="R22">
        <f t="shared" si="7"/>
        <v>17</v>
      </c>
      <c r="S22">
        <f t="shared" si="8"/>
        <v>26</v>
      </c>
      <c r="T22">
        <f t="shared" si="9"/>
        <v>20.166666666666668</v>
      </c>
      <c r="U22">
        <f t="shared" si="10"/>
        <v>17</v>
      </c>
      <c r="V22">
        <f t="shared" si="11"/>
        <v>3.1666666666666679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1680-B8DF-484F-AD8E-90C5FE6FD057}">
  <dimension ref="B1:AF16"/>
  <sheetViews>
    <sheetView topLeftCell="K1" workbookViewId="0">
      <selection activeCell="AF2" sqref="W2:AF2"/>
    </sheetView>
  </sheetViews>
  <sheetFormatPr defaultRowHeight="14.4" x14ac:dyDescent="0.3"/>
  <sheetData>
    <row r="1" spans="2:32" x14ac:dyDescent="0.3">
      <c r="Q1" t="s">
        <v>9</v>
      </c>
      <c r="R1" t="s">
        <v>10</v>
      </c>
      <c r="S1" t="s">
        <v>11</v>
      </c>
      <c r="T1" t="s">
        <v>13</v>
      </c>
      <c r="U1" t="s">
        <v>15</v>
      </c>
      <c r="V1" t="s">
        <v>12</v>
      </c>
      <c r="W1" t="s">
        <v>24</v>
      </c>
      <c r="X1" t="s">
        <v>20</v>
      </c>
      <c r="Y1" t="s">
        <v>25</v>
      </c>
      <c r="Z1" t="s">
        <v>21</v>
      </c>
      <c r="AA1" t="s">
        <v>26</v>
      </c>
      <c r="AB1" t="s">
        <v>22</v>
      </c>
      <c r="AC1" t="s">
        <v>0</v>
      </c>
      <c r="AD1" t="s">
        <v>14</v>
      </c>
      <c r="AE1" t="s">
        <v>16</v>
      </c>
      <c r="AF1" t="s">
        <v>17</v>
      </c>
    </row>
    <row r="2" spans="2:32" x14ac:dyDescent="0.3">
      <c r="B2">
        <v>82</v>
      </c>
      <c r="C2">
        <v>18</v>
      </c>
      <c r="D2">
        <v>26</v>
      </c>
      <c r="E2">
        <v>74</v>
      </c>
      <c r="G2">
        <v>77</v>
      </c>
      <c r="H2">
        <v>23</v>
      </c>
      <c r="I2">
        <v>17</v>
      </c>
      <c r="J2">
        <v>83</v>
      </c>
      <c r="L2">
        <v>74</v>
      </c>
      <c r="M2">
        <v>26</v>
      </c>
      <c r="N2">
        <v>35</v>
      </c>
      <c r="O2">
        <v>65</v>
      </c>
      <c r="Q2">
        <f>AVERAGE(C2:D2)</f>
        <v>22</v>
      </c>
      <c r="R2">
        <f>AVERAGE(H2:I2)</f>
        <v>20</v>
      </c>
      <c r="S2">
        <f>AVERAGE(M2:N2)</f>
        <v>30.5</v>
      </c>
      <c r="T2">
        <f>AVERAGE(Q2:S2)</f>
        <v>24.166666666666668</v>
      </c>
      <c r="U2">
        <f>MIN(Q2:S2)</f>
        <v>20</v>
      </c>
      <c r="V2">
        <f>T2-U2</f>
        <v>4.1666666666666679</v>
      </c>
      <c r="W2">
        <f>AVERAGE(Q2:Q7)</f>
        <v>17.333333333333332</v>
      </c>
      <c r="X2">
        <f>_xlfn.STDEV.S(Q2:Q7)</f>
        <v>4.1912607490666396</v>
      </c>
      <c r="Y2">
        <f>AVERAGE(R2:R7)</f>
        <v>15.583333333333334</v>
      </c>
      <c r="Z2">
        <f>_xlfn.STDEV.S(R2:R7)</f>
        <v>2.8533605917701061</v>
      </c>
      <c r="AA2">
        <f>AVERAGE(S2:S7)</f>
        <v>29.083333333333332</v>
      </c>
      <c r="AB2">
        <f>_xlfn.STDEV.S(S2:S7)</f>
        <v>4.1882772910430139</v>
      </c>
      <c r="AC2">
        <f>AVERAGE(T2:T7)</f>
        <v>20.666666666666668</v>
      </c>
      <c r="AD2">
        <f>_xlfn.STDEV.S(T2:T7)</f>
        <v>2.7487370837451088</v>
      </c>
      <c r="AE2">
        <f>AVERAGE(V2:V7)</f>
        <v>5.916666666666667</v>
      </c>
      <c r="AF2">
        <f>_xlfn.STDEV.S(V2:V7)</f>
        <v>1.6012148165967275</v>
      </c>
    </row>
    <row r="3" spans="2:32" x14ac:dyDescent="0.3">
      <c r="B3">
        <v>81</v>
      </c>
      <c r="C3">
        <v>19</v>
      </c>
      <c r="D3">
        <v>19</v>
      </c>
      <c r="E3">
        <v>81</v>
      </c>
      <c r="G3">
        <v>72</v>
      </c>
      <c r="H3">
        <v>28</v>
      </c>
      <c r="I3">
        <v>5</v>
      </c>
      <c r="J3">
        <v>95</v>
      </c>
      <c r="L3">
        <v>62</v>
      </c>
      <c r="M3">
        <v>38</v>
      </c>
      <c r="N3">
        <v>16</v>
      </c>
      <c r="O3">
        <v>84</v>
      </c>
      <c r="Q3">
        <f t="shared" ref="Q3:Q7" si="0">AVERAGE(C3:D3)</f>
        <v>19</v>
      </c>
      <c r="R3">
        <f t="shared" ref="R3:R7" si="1">AVERAGE(H3:I3)</f>
        <v>16.5</v>
      </c>
      <c r="S3">
        <f t="shared" ref="S3:S7" si="2">AVERAGE(M3:N3)</f>
        <v>27</v>
      </c>
      <c r="T3">
        <f t="shared" ref="T3:T7" si="3">AVERAGE(Q3:S3)</f>
        <v>20.833333333333332</v>
      </c>
      <c r="U3">
        <f t="shared" ref="U3:U7" si="4">MIN(Q3:S3)</f>
        <v>16.5</v>
      </c>
      <c r="V3">
        <f t="shared" ref="V3:V7" si="5">T3-U3</f>
        <v>4.3333333333333321</v>
      </c>
    </row>
    <row r="4" spans="2:32" x14ac:dyDescent="0.3">
      <c r="B4">
        <v>91</v>
      </c>
      <c r="C4">
        <v>9</v>
      </c>
      <c r="D4">
        <v>17</v>
      </c>
      <c r="E4">
        <v>83</v>
      </c>
      <c r="G4">
        <v>87</v>
      </c>
      <c r="H4">
        <v>13</v>
      </c>
      <c r="I4">
        <v>10</v>
      </c>
      <c r="J4">
        <v>90</v>
      </c>
      <c r="L4">
        <v>77</v>
      </c>
      <c r="M4">
        <v>23</v>
      </c>
      <c r="N4">
        <v>30</v>
      </c>
      <c r="O4">
        <v>70</v>
      </c>
      <c r="Q4">
        <f t="shared" si="0"/>
        <v>13</v>
      </c>
      <c r="R4">
        <f t="shared" si="1"/>
        <v>11.5</v>
      </c>
      <c r="S4">
        <f t="shared" si="2"/>
        <v>26.5</v>
      </c>
      <c r="T4">
        <f t="shared" si="3"/>
        <v>17</v>
      </c>
      <c r="U4">
        <f t="shared" si="4"/>
        <v>11.5</v>
      </c>
      <c r="V4">
        <f t="shared" si="5"/>
        <v>5.5</v>
      </c>
    </row>
    <row r="5" spans="2:32" x14ac:dyDescent="0.3">
      <c r="B5">
        <v>84</v>
      </c>
      <c r="C5">
        <v>16</v>
      </c>
      <c r="D5">
        <v>25</v>
      </c>
      <c r="E5">
        <v>75</v>
      </c>
      <c r="G5">
        <v>86</v>
      </c>
      <c r="H5">
        <v>14</v>
      </c>
      <c r="I5">
        <v>14</v>
      </c>
      <c r="J5">
        <v>86</v>
      </c>
      <c r="L5">
        <v>75</v>
      </c>
      <c r="M5">
        <v>25</v>
      </c>
      <c r="N5">
        <v>27</v>
      </c>
      <c r="O5">
        <v>73</v>
      </c>
      <c r="Q5">
        <f t="shared" si="0"/>
        <v>20.5</v>
      </c>
      <c r="R5">
        <f t="shared" si="1"/>
        <v>14</v>
      </c>
      <c r="S5">
        <f t="shared" si="2"/>
        <v>26</v>
      </c>
      <c r="T5">
        <f t="shared" si="3"/>
        <v>20.166666666666668</v>
      </c>
      <c r="U5">
        <f t="shared" si="4"/>
        <v>14</v>
      </c>
      <c r="V5">
        <f t="shared" si="5"/>
        <v>6.1666666666666679</v>
      </c>
    </row>
    <row r="6" spans="2:32" x14ac:dyDescent="0.3">
      <c r="B6">
        <v>92</v>
      </c>
      <c r="C6">
        <v>8</v>
      </c>
      <c r="D6">
        <v>15</v>
      </c>
      <c r="E6">
        <v>85</v>
      </c>
      <c r="G6">
        <v>76</v>
      </c>
      <c r="H6">
        <v>24</v>
      </c>
      <c r="I6">
        <v>9</v>
      </c>
      <c r="J6">
        <v>91</v>
      </c>
      <c r="L6">
        <v>68</v>
      </c>
      <c r="M6">
        <v>32</v>
      </c>
      <c r="N6">
        <v>23</v>
      </c>
      <c r="O6">
        <v>77</v>
      </c>
      <c r="Q6">
        <f t="shared" si="0"/>
        <v>11.5</v>
      </c>
      <c r="R6">
        <f t="shared" si="1"/>
        <v>16.5</v>
      </c>
      <c r="S6">
        <f t="shared" si="2"/>
        <v>27.5</v>
      </c>
      <c r="T6">
        <f t="shared" si="3"/>
        <v>18.5</v>
      </c>
      <c r="U6">
        <f t="shared" si="4"/>
        <v>11.5</v>
      </c>
      <c r="V6">
        <f t="shared" si="5"/>
        <v>7</v>
      </c>
    </row>
    <row r="7" spans="2:32" x14ac:dyDescent="0.3">
      <c r="B7">
        <v>88</v>
      </c>
      <c r="C7">
        <v>12</v>
      </c>
      <c r="D7">
        <v>24</v>
      </c>
      <c r="E7">
        <v>76</v>
      </c>
      <c r="G7">
        <v>75</v>
      </c>
      <c r="H7">
        <v>25</v>
      </c>
      <c r="I7">
        <v>5</v>
      </c>
      <c r="J7">
        <v>95</v>
      </c>
      <c r="L7">
        <v>67</v>
      </c>
      <c r="M7">
        <v>33</v>
      </c>
      <c r="N7">
        <v>41</v>
      </c>
      <c r="O7">
        <v>59</v>
      </c>
      <c r="Q7">
        <f t="shared" si="0"/>
        <v>18</v>
      </c>
      <c r="R7">
        <f t="shared" si="1"/>
        <v>15</v>
      </c>
      <c r="S7">
        <f t="shared" si="2"/>
        <v>37</v>
      </c>
      <c r="T7">
        <f t="shared" si="3"/>
        <v>23.333333333333332</v>
      </c>
      <c r="U7">
        <f t="shared" si="4"/>
        <v>15</v>
      </c>
      <c r="V7">
        <f t="shared" si="5"/>
        <v>8.3333333333333321</v>
      </c>
    </row>
    <row r="11" spans="2:32" x14ac:dyDescent="0.3">
      <c r="B11">
        <v>82</v>
      </c>
      <c r="C11">
        <v>18</v>
      </c>
      <c r="D11">
        <v>26</v>
      </c>
      <c r="E11">
        <v>74</v>
      </c>
      <c r="G11">
        <v>77</v>
      </c>
      <c r="H11">
        <v>23</v>
      </c>
      <c r="I11">
        <v>17</v>
      </c>
      <c r="J11">
        <v>83</v>
      </c>
      <c r="L11">
        <v>74</v>
      </c>
      <c r="M11">
        <v>26</v>
      </c>
      <c r="N11">
        <v>35</v>
      </c>
      <c r="O11">
        <v>65</v>
      </c>
      <c r="Q11">
        <f t="shared" ref="Q8:Q16" si="6">AVERAGE(C11:D11)</f>
        <v>22</v>
      </c>
      <c r="R11">
        <f t="shared" ref="R8:R16" si="7">AVERAGE(H11:I11)</f>
        <v>20</v>
      </c>
      <c r="S11">
        <f t="shared" ref="S8:S16" si="8">AVERAGE(M11:N11)</f>
        <v>30.5</v>
      </c>
      <c r="T11">
        <f t="shared" ref="T8:T16" si="9">AVERAGE(Q11:S11)</f>
        <v>24.166666666666668</v>
      </c>
      <c r="U11">
        <f t="shared" ref="U8:U16" si="10">MIN(Q11:S11)</f>
        <v>20</v>
      </c>
      <c r="V11">
        <f t="shared" ref="V8:V16" si="11">T11-U11</f>
        <v>4.1666666666666679</v>
      </c>
      <c r="W11">
        <f>AVERAGE(Q11:Q16)</f>
        <v>17.333333333333332</v>
      </c>
      <c r="X11">
        <f>_xlfn.STDEV.S(Q11:Q16)</f>
        <v>4.1912607490666396</v>
      </c>
      <c r="Y11">
        <f>AVERAGE(R11:R16)</f>
        <v>15.666666666666666</v>
      </c>
      <c r="Z11">
        <f>_xlfn.STDEV.S(R11:R16)</f>
        <v>2.84018778721877</v>
      </c>
      <c r="AA11">
        <f>AVERAGE(S11:S16)</f>
        <v>28.916666666666668</v>
      </c>
      <c r="AB11">
        <f>_xlfn.STDEV.S(S11:S16)</f>
        <v>4.3060035609212646</v>
      </c>
      <c r="AC11">
        <f>AVERAGE(T11:T16)</f>
        <v>20.638888888888889</v>
      </c>
      <c r="AD11">
        <f>_xlfn.STDEV.S(T11:T16)</f>
        <v>2.7817194256364095</v>
      </c>
      <c r="AE11">
        <f>AVERAGE(V11:V16)</f>
        <v>5.8055555555555562</v>
      </c>
      <c r="AF11">
        <f>_xlfn.STDEV.S(V11:V16)</f>
        <v>1.5755657420137719</v>
      </c>
    </row>
    <row r="12" spans="2:32" x14ac:dyDescent="0.3">
      <c r="B12">
        <v>81</v>
      </c>
      <c r="C12">
        <v>19</v>
      </c>
      <c r="D12">
        <v>19</v>
      </c>
      <c r="E12">
        <v>81</v>
      </c>
      <c r="G12">
        <v>72</v>
      </c>
      <c r="H12">
        <v>28</v>
      </c>
      <c r="I12">
        <v>5</v>
      </c>
      <c r="J12">
        <v>95</v>
      </c>
      <c r="L12">
        <v>64</v>
      </c>
      <c r="M12">
        <v>36</v>
      </c>
      <c r="N12">
        <v>16</v>
      </c>
      <c r="O12">
        <v>84</v>
      </c>
      <c r="Q12">
        <f t="shared" si="6"/>
        <v>19</v>
      </c>
      <c r="R12">
        <f t="shared" si="7"/>
        <v>16.5</v>
      </c>
      <c r="S12">
        <f t="shared" si="8"/>
        <v>26</v>
      </c>
      <c r="T12">
        <f t="shared" si="9"/>
        <v>20.5</v>
      </c>
      <c r="U12">
        <f t="shared" si="10"/>
        <v>16.5</v>
      </c>
      <c r="V12">
        <f t="shared" si="11"/>
        <v>4</v>
      </c>
    </row>
    <row r="13" spans="2:32" x14ac:dyDescent="0.3">
      <c r="B13">
        <v>91</v>
      </c>
      <c r="C13">
        <v>9</v>
      </c>
      <c r="D13">
        <v>17</v>
      </c>
      <c r="E13">
        <v>83</v>
      </c>
      <c r="G13">
        <v>87</v>
      </c>
      <c r="H13">
        <v>13</v>
      </c>
      <c r="I13">
        <v>10</v>
      </c>
      <c r="J13">
        <v>90</v>
      </c>
      <c r="L13">
        <v>77</v>
      </c>
      <c r="M13">
        <v>23</v>
      </c>
      <c r="N13">
        <v>30</v>
      </c>
      <c r="O13">
        <v>70</v>
      </c>
      <c r="Q13">
        <f t="shared" si="6"/>
        <v>13</v>
      </c>
      <c r="R13">
        <f t="shared" si="7"/>
        <v>11.5</v>
      </c>
      <c r="S13">
        <f t="shared" si="8"/>
        <v>26.5</v>
      </c>
      <c r="T13">
        <f t="shared" si="9"/>
        <v>17</v>
      </c>
      <c r="U13">
        <f t="shared" si="10"/>
        <v>11.5</v>
      </c>
      <c r="V13">
        <f t="shared" si="11"/>
        <v>5.5</v>
      </c>
    </row>
    <row r="14" spans="2:32" x14ac:dyDescent="0.3">
      <c r="B14">
        <v>84</v>
      </c>
      <c r="C14">
        <v>16</v>
      </c>
      <c r="D14">
        <v>25</v>
      </c>
      <c r="E14">
        <v>75</v>
      </c>
      <c r="G14">
        <v>86</v>
      </c>
      <c r="H14">
        <v>14</v>
      </c>
      <c r="I14">
        <v>14</v>
      </c>
      <c r="J14">
        <v>86</v>
      </c>
      <c r="L14">
        <v>75</v>
      </c>
      <c r="M14">
        <v>25</v>
      </c>
      <c r="N14">
        <v>27</v>
      </c>
      <c r="O14">
        <v>73</v>
      </c>
      <c r="Q14">
        <f t="shared" si="6"/>
        <v>20.5</v>
      </c>
      <c r="R14">
        <f t="shared" si="7"/>
        <v>14</v>
      </c>
      <c r="S14">
        <f t="shared" si="8"/>
        <v>26</v>
      </c>
      <c r="T14">
        <f t="shared" si="9"/>
        <v>20.166666666666668</v>
      </c>
      <c r="U14">
        <f t="shared" si="10"/>
        <v>14</v>
      </c>
      <c r="V14">
        <f t="shared" si="11"/>
        <v>6.1666666666666679</v>
      </c>
    </row>
    <row r="15" spans="2:32" x14ac:dyDescent="0.3">
      <c r="B15">
        <v>92</v>
      </c>
      <c r="C15">
        <v>8</v>
      </c>
      <c r="D15">
        <v>15</v>
      </c>
      <c r="E15">
        <v>85</v>
      </c>
      <c r="G15">
        <v>76</v>
      </c>
      <c r="H15">
        <v>24</v>
      </c>
      <c r="I15">
        <v>9</v>
      </c>
      <c r="J15">
        <v>91</v>
      </c>
      <c r="L15">
        <v>68</v>
      </c>
      <c r="M15">
        <v>32</v>
      </c>
      <c r="N15">
        <v>23</v>
      </c>
      <c r="O15">
        <v>77</v>
      </c>
      <c r="Q15">
        <f t="shared" si="6"/>
        <v>11.5</v>
      </c>
      <c r="R15">
        <f t="shared" si="7"/>
        <v>16.5</v>
      </c>
      <c r="S15">
        <f t="shared" si="8"/>
        <v>27.5</v>
      </c>
      <c r="T15">
        <f t="shared" si="9"/>
        <v>18.5</v>
      </c>
      <c r="U15">
        <f t="shared" si="10"/>
        <v>11.5</v>
      </c>
      <c r="V15">
        <f t="shared" si="11"/>
        <v>7</v>
      </c>
    </row>
    <row r="16" spans="2:32" x14ac:dyDescent="0.3">
      <c r="B16">
        <v>88</v>
      </c>
      <c r="C16">
        <v>12</v>
      </c>
      <c r="D16">
        <v>24</v>
      </c>
      <c r="E16">
        <v>76</v>
      </c>
      <c r="G16">
        <v>74</v>
      </c>
      <c r="H16">
        <v>26</v>
      </c>
      <c r="I16">
        <v>5</v>
      </c>
      <c r="J16">
        <v>95</v>
      </c>
      <c r="L16">
        <v>67</v>
      </c>
      <c r="M16">
        <v>33</v>
      </c>
      <c r="N16">
        <v>41</v>
      </c>
      <c r="O16">
        <v>59</v>
      </c>
      <c r="Q16">
        <f t="shared" si="6"/>
        <v>18</v>
      </c>
      <c r="R16">
        <f t="shared" si="7"/>
        <v>15.5</v>
      </c>
      <c r="S16">
        <f t="shared" si="8"/>
        <v>37</v>
      </c>
      <c r="T16">
        <f t="shared" si="9"/>
        <v>23.5</v>
      </c>
      <c r="U16">
        <f t="shared" si="10"/>
        <v>15.5</v>
      </c>
      <c r="V16">
        <f t="shared" si="11"/>
        <v>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8"/>
  <sheetViews>
    <sheetView topLeftCell="Q1" workbookViewId="0">
      <selection activeCell="W3" sqref="W3:AF3"/>
    </sheetView>
  </sheetViews>
  <sheetFormatPr defaultRowHeight="14.4" x14ac:dyDescent="0.3"/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82</v>
      </c>
      <c r="C3">
        <v>18</v>
      </c>
      <c r="D3">
        <v>15</v>
      </c>
      <c r="E3">
        <v>85</v>
      </c>
      <c r="G3">
        <v>70</v>
      </c>
      <c r="H3">
        <v>30</v>
      </c>
      <c r="I3">
        <v>5</v>
      </c>
      <c r="J3">
        <v>95</v>
      </c>
      <c r="L3">
        <v>64</v>
      </c>
      <c r="M3">
        <v>36</v>
      </c>
      <c r="N3">
        <v>24</v>
      </c>
      <c r="O3">
        <v>76</v>
      </c>
      <c r="Q3">
        <f>AVERAGE(C3:D3)</f>
        <v>16.5</v>
      </c>
      <c r="R3">
        <f>AVERAGE(H3:I3)</f>
        <v>17.5</v>
      </c>
      <c r="S3">
        <f>AVERAGE(M3:N3)</f>
        <v>30</v>
      </c>
      <c r="T3">
        <f>AVERAGE(Q3:S3)</f>
        <v>21.333333333333332</v>
      </c>
      <c r="U3">
        <f>MIN(Q3:S3)</f>
        <v>16.5</v>
      </c>
      <c r="V3">
        <f>T3-U3</f>
        <v>4.8333333333333321</v>
      </c>
      <c r="W3">
        <f>AVERAGE(Q3:Q9)</f>
        <v>17.071428571428573</v>
      </c>
      <c r="X3">
        <f>_xlfn.STDEV.S(Q3:Q9)</f>
        <v>2.149196970742242</v>
      </c>
      <c r="Y3">
        <f>AVERAGE(R3:R9)</f>
        <v>16.857142857142858</v>
      </c>
      <c r="Z3">
        <f>_xlfn.STDEV.S(R3:R9)</f>
        <v>3.1320159337914957</v>
      </c>
      <c r="AA3">
        <f>AVERAGE(S3:S9)</f>
        <v>30.928571428571427</v>
      </c>
      <c r="AB3">
        <f>_xlfn.STDEV.S(S3:S9)</f>
        <v>3.7906526639943623</v>
      </c>
      <c r="AC3">
        <f>AVERAGE(T3:T9)</f>
        <v>21.619047619047617</v>
      </c>
      <c r="AD3">
        <f>_xlfn.STDEV.S(T3:T9)</f>
        <v>1.0350983390135315</v>
      </c>
      <c r="AE3">
        <f>AVERAGE(V3:V9)</f>
        <v>5.7619047619047636</v>
      </c>
      <c r="AF3">
        <f>_xlfn.STDEV.S(V3:V9)</f>
        <v>1.6690459207925552</v>
      </c>
    </row>
    <row r="4" spans="1:32" x14ac:dyDescent="0.3">
      <c r="B4">
        <v>81</v>
      </c>
      <c r="C4">
        <v>19</v>
      </c>
      <c r="D4">
        <v>13</v>
      </c>
      <c r="E4">
        <v>87</v>
      </c>
      <c r="G4">
        <v>70</v>
      </c>
      <c r="H4">
        <v>30</v>
      </c>
      <c r="I4">
        <v>5</v>
      </c>
      <c r="J4">
        <v>95</v>
      </c>
      <c r="L4">
        <v>70</v>
      </c>
      <c r="M4">
        <v>30</v>
      </c>
      <c r="N4">
        <v>26</v>
      </c>
      <c r="O4">
        <v>74</v>
      </c>
      <c r="Q4">
        <f t="shared" ref="Q4:Q18" si="0">AVERAGE(C4:D4)</f>
        <v>16</v>
      </c>
      <c r="R4">
        <f t="shared" ref="R4:R18" si="1">AVERAGE(H4:I4)</f>
        <v>17.5</v>
      </c>
      <c r="S4">
        <f t="shared" ref="S4:S18" si="2">AVERAGE(M4:N4)</f>
        <v>28</v>
      </c>
      <c r="T4">
        <f t="shared" ref="T4:T18" si="3">AVERAGE(Q4:S4)</f>
        <v>20.5</v>
      </c>
      <c r="U4">
        <f t="shared" ref="U4:U18" si="4">MIN(Q4:S4)</f>
        <v>16</v>
      </c>
      <c r="V4">
        <f t="shared" ref="V4:V18" si="5">T4-U4</f>
        <v>4.5</v>
      </c>
    </row>
    <row r="5" spans="1:32" x14ac:dyDescent="0.3">
      <c r="B5">
        <v>81</v>
      </c>
      <c r="C5">
        <v>19</v>
      </c>
      <c r="D5">
        <v>16</v>
      </c>
      <c r="E5">
        <v>84</v>
      </c>
      <c r="G5">
        <v>74</v>
      </c>
      <c r="H5">
        <v>26</v>
      </c>
      <c r="I5">
        <v>3</v>
      </c>
      <c r="J5">
        <v>97</v>
      </c>
      <c r="L5">
        <v>62</v>
      </c>
      <c r="M5">
        <v>38</v>
      </c>
      <c r="N5">
        <v>34</v>
      </c>
      <c r="O5">
        <v>66</v>
      </c>
      <c r="Q5">
        <f t="shared" si="0"/>
        <v>17.5</v>
      </c>
      <c r="R5">
        <f t="shared" si="1"/>
        <v>14.5</v>
      </c>
      <c r="S5">
        <f t="shared" si="2"/>
        <v>36</v>
      </c>
      <c r="T5">
        <f t="shared" si="3"/>
        <v>22.666666666666668</v>
      </c>
      <c r="U5">
        <f t="shared" si="4"/>
        <v>14.5</v>
      </c>
      <c r="V5">
        <f t="shared" si="5"/>
        <v>8.1666666666666679</v>
      </c>
    </row>
    <row r="6" spans="1:32" x14ac:dyDescent="0.3">
      <c r="B6">
        <v>80</v>
      </c>
      <c r="C6">
        <v>20</v>
      </c>
      <c r="D6">
        <v>10</v>
      </c>
      <c r="E6">
        <v>90</v>
      </c>
      <c r="G6">
        <v>79</v>
      </c>
      <c r="H6">
        <v>21</v>
      </c>
      <c r="I6">
        <v>6</v>
      </c>
      <c r="J6">
        <v>94</v>
      </c>
      <c r="L6">
        <v>64</v>
      </c>
      <c r="M6">
        <v>36</v>
      </c>
      <c r="N6">
        <v>36</v>
      </c>
      <c r="O6">
        <v>64</v>
      </c>
      <c r="Q6">
        <f t="shared" si="0"/>
        <v>15</v>
      </c>
      <c r="R6">
        <f t="shared" si="1"/>
        <v>13.5</v>
      </c>
      <c r="S6">
        <f t="shared" si="2"/>
        <v>36</v>
      </c>
      <c r="T6">
        <f t="shared" si="3"/>
        <v>21.5</v>
      </c>
      <c r="U6">
        <f t="shared" si="4"/>
        <v>13.5</v>
      </c>
      <c r="V6">
        <f t="shared" si="5"/>
        <v>8</v>
      </c>
    </row>
    <row r="7" spans="1:32" x14ac:dyDescent="0.3">
      <c r="B7">
        <v>78</v>
      </c>
      <c r="C7">
        <v>22</v>
      </c>
      <c r="D7">
        <v>15</v>
      </c>
      <c r="E7">
        <v>85</v>
      </c>
      <c r="G7">
        <v>61</v>
      </c>
      <c r="H7">
        <v>39</v>
      </c>
      <c r="I7">
        <v>7</v>
      </c>
      <c r="J7">
        <v>93</v>
      </c>
      <c r="L7">
        <v>66</v>
      </c>
      <c r="M7">
        <v>34</v>
      </c>
      <c r="N7">
        <v>18</v>
      </c>
      <c r="O7">
        <v>82</v>
      </c>
      <c r="Q7">
        <f t="shared" si="0"/>
        <v>18.5</v>
      </c>
      <c r="R7">
        <f t="shared" si="1"/>
        <v>23</v>
      </c>
      <c r="S7">
        <f t="shared" si="2"/>
        <v>26</v>
      </c>
      <c r="T7">
        <f t="shared" si="3"/>
        <v>22.5</v>
      </c>
      <c r="U7">
        <f t="shared" si="4"/>
        <v>18.5</v>
      </c>
      <c r="V7">
        <f t="shared" si="5"/>
        <v>4</v>
      </c>
    </row>
    <row r="8" spans="1:32" x14ac:dyDescent="0.3">
      <c r="B8">
        <v>85</v>
      </c>
      <c r="C8">
        <v>15</v>
      </c>
      <c r="D8">
        <v>27</v>
      </c>
      <c r="E8">
        <v>73</v>
      </c>
      <c r="G8">
        <v>81</v>
      </c>
      <c r="H8">
        <v>19</v>
      </c>
      <c r="I8">
        <v>15</v>
      </c>
      <c r="J8">
        <v>85</v>
      </c>
      <c r="L8">
        <v>74</v>
      </c>
      <c r="M8">
        <v>26</v>
      </c>
      <c r="N8">
        <v>34</v>
      </c>
      <c r="O8">
        <v>66</v>
      </c>
      <c r="Q8">
        <f t="shared" si="0"/>
        <v>21</v>
      </c>
      <c r="R8">
        <f t="shared" si="1"/>
        <v>17</v>
      </c>
      <c r="S8">
        <f t="shared" si="2"/>
        <v>30</v>
      </c>
      <c r="T8">
        <f t="shared" si="3"/>
        <v>22.666666666666668</v>
      </c>
      <c r="U8">
        <f t="shared" si="4"/>
        <v>17</v>
      </c>
      <c r="V8">
        <f t="shared" si="5"/>
        <v>5.6666666666666679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74</v>
      </c>
      <c r="H9">
        <v>26</v>
      </c>
      <c r="I9">
        <v>4</v>
      </c>
      <c r="J9">
        <v>96</v>
      </c>
      <c r="L9">
        <v>69</v>
      </c>
      <c r="M9">
        <v>31</v>
      </c>
      <c r="N9">
        <v>30</v>
      </c>
      <c r="O9">
        <v>70</v>
      </c>
      <c r="Q9">
        <f t="shared" si="0"/>
        <v>15</v>
      </c>
      <c r="R9">
        <f t="shared" si="1"/>
        <v>15</v>
      </c>
      <c r="S9">
        <f t="shared" si="2"/>
        <v>30.5</v>
      </c>
      <c r="T9">
        <f t="shared" si="3"/>
        <v>20.166666666666668</v>
      </c>
      <c r="U9">
        <f t="shared" si="4"/>
        <v>15</v>
      </c>
      <c r="V9">
        <f t="shared" si="5"/>
        <v>5.1666666666666679</v>
      </c>
    </row>
    <row r="12" spans="1:32" x14ac:dyDescent="0.3">
      <c r="B12">
        <v>82</v>
      </c>
      <c r="C12">
        <v>18</v>
      </c>
      <c r="D12">
        <v>15</v>
      </c>
      <c r="E12">
        <v>85</v>
      </c>
      <c r="G12">
        <v>70</v>
      </c>
      <c r="H12">
        <v>30</v>
      </c>
      <c r="I12">
        <v>5</v>
      </c>
      <c r="J12">
        <v>95</v>
      </c>
      <c r="L12">
        <v>64</v>
      </c>
      <c r="M12">
        <v>36</v>
      </c>
      <c r="N12">
        <v>24</v>
      </c>
      <c r="O12">
        <v>76</v>
      </c>
      <c r="Q12">
        <f t="shared" si="0"/>
        <v>16.5</v>
      </c>
      <c r="R12">
        <f t="shared" si="1"/>
        <v>17.5</v>
      </c>
      <c r="S12">
        <f t="shared" si="2"/>
        <v>30</v>
      </c>
      <c r="T12">
        <f t="shared" si="3"/>
        <v>21.333333333333332</v>
      </c>
      <c r="U12">
        <f t="shared" si="4"/>
        <v>16.5</v>
      </c>
      <c r="V12">
        <f t="shared" si="5"/>
        <v>4.8333333333333321</v>
      </c>
      <c r="W12">
        <f>AVERAGE(Q12:Q18)</f>
        <v>17.071428571428573</v>
      </c>
      <c r="X12">
        <f>_xlfn.STDEV.S(Q12:Q18)</f>
        <v>2.149196970742242</v>
      </c>
      <c r="Y12">
        <f>AVERAGE(R12:R18)</f>
        <v>16.857142857142858</v>
      </c>
      <c r="Z12">
        <f>_xlfn.STDEV.S(R12:R18)</f>
        <v>3.1320159337914957</v>
      </c>
      <c r="AA12">
        <f>AVERAGE(S12:S18)</f>
        <v>30.857142857142858</v>
      </c>
      <c r="AB12">
        <f>_xlfn.STDEV.S(S12:S18)</f>
        <v>3.682325869545477</v>
      </c>
      <c r="AC12">
        <f>AVERAGE(T12:T18)</f>
        <v>21.595238095238095</v>
      </c>
      <c r="AD12">
        <f>_xlfn.STDEV.S(T12:T18)</f>
        <v>1.0401973764678425</v>
      </c>
      <c r="AE12">
        <f>AVERAGE(V12:V18)</f>
        <v>5.738095238095239</v>
      </c>
      <c r="AF12">
        <f>_xlfn.STDEV.S(V12:V18)</f>
        <v>1.6325881033940881</v>
      </c>
    </row>
    <row r="13" spans="1:32" x14ac:dyDescent="0.3">
      <c r="B13">
        <v>81</v>
      </c>
      <c r="C13">
        <v>19</v>
      </c>
      <c r="D13">
        <v>13</v>
      </c>
      <c r="E13">
        <v>87</v>
      </c>
      <c r="G13">
        <v>70</v>
      </c>
      <c r="H13">
        <v>30</v>
      </c>
      <c r="I13">
        <v>5</v>
      </c>
      <c r="J13">
        <v>95</v>
      </c>
      <c r="L13">
        <v>70</v>
      </c>
      <c r="M13">
        <v>30</v>
      </c>
      <c r="N13">
        <v>26</v>
      </c>
      <c r="O13">
        <v>74</v>
      </c>
      <c r="Q13">
        <f t="shared" si="0"/>
        <v>16</v>
      </c>
      <c r="R13">
        <f t="shared" si="1"/>
        <v>17.5</v>
      </c>
      <c r="S13">
        <f t="shared" si="2"/>
        <v>28</v>
      </c>
      <c r="T13">
        <f t="shared" si="3"/>
        <v>20.5</v>
      </c>
      <c r="U13">
        <f t="shared" si="4"/>
        <v>16</v>
      </c>
      <c r="V13">
        <f t="shared" si="5"/>
        <v>4.5</v>
      </c>
    </row>
    <row r="14" spans="1:32" x14ac:dyDescent="0.3">
      <c r="B14">
        <v>81</v>
      </c>
      <c r="C14">
        <v>19</v>
      </c>
      <c r="D14">
        <v>16</v>
      </c>
      <c r="E14">
        <v>84</v>
      </c>
      <c r="G14">
        <v>74</v>
      </c>
      <c r="H14">
        <v>26</v>
      </c>
      <c r="I14">
        <v>3</v>
      </c>
      <c r="J14">
        <v>97</v>
      </c>
      <c r="L14">
        <v>62</v>
      </c>
      <c r="M14">
        <v>38</v>
      </c>
      <c r="N14">
        <v>34</v>
      </c>
      <c r="O14">
        <v>66</v>
      </c>
      <c r="Q14">
        <f t="shared" si="0"/>
        <v>17.5</v>
      </c>
      <c r="R14">
        <f t="shared" si="1"/>
        <v>14.5</v>
      </c>
      <c r="S14">
        <f t="shared" si="2"/>
        <v>36</v>
      </c>
      <c r="T14">
        <f t="shared" si="3"/>
        <v>22.666666666666668</v>
      </c>
      <c r="U14">
        <f t="shared" si="4"/>
        <v>14.5</v>
      </c>
      <c r="V14">
        <f t="shared" si="5"/>
        <v>8.1666666666666679</v>
      </c>
    </row>
    <row r="15" spans="1:32" x14ac:dyDescent="0.3">
      <c r="B15">
        <v>80</v>
      </c>
      <c r="C15">
        <v>20</v>
      </c>
      <c r="D15">
        <v>10</v>
      </c>
      <c r="E15">
        <v>90</v>
      </c>
      <c r="G15">
        <v>79</v>
      </c>
      <c r="H15">
        <v>21</v>
      </c>
      <c r="I15">
        <v>6</v>
      </c>
      <c r="J15">
        <v>94</v>
      </c>
      <c r="L15">
        <v>65</v>
      </c>
      <c r="M15">
        <v>35</v>
      </c>
      <c r="N15">
        <v>36</v>
      </c>
      <c r="O15">
        <v>64</v>
      </c>
      <c r="Q15">
        <f t="shared" si="0"/>
        <v>15</v>
      </c>
      <c r="R15">
        <f t="shared" si="1"/>
        <v>13.5</v>
      </c>
      <c r="S15">
        <f t="shared" si="2"/>
        <v>35.5</v>
      </c>
      <c r="T15">
        <f t="shared" si="3"/>
        <v>21.333333333333332</v>
      </c>
      <c r="U15">
        <f t="shared" si="4"/>
        <v>13.5</v>
      </c>
      <c r="V15">
        <f t="shared" si="5"/>
        <v>7.8333333333333321</v>
      </c>
    </row>
    <row r="16" spans="1:32" x14ac:dyDescent="0.3">
      <c r="B16">
        <v>78</v>
      </c>
      <c r="C16">
        <v>22</v>
      </c>
      <c r="D16">
        <v>15</v>
      </c>
      <c r="E16">
        <v>85</v>
      </c>
      <c r="G16">
        <v>61</v>
      </c>
      <c r="H16">
        <v>39</v>
      </c>
      <c r="I16">
        <v>7</v>
      </c>
      <c r="J16">
        <v>93</v>
      </c>
      <c r="L16">
        <v>66</v>
      </c>
      <c r="M16">
        <v>34</v>
      </c>
      <c r="N16">
        <v>18</v>
      </c>
      <c r="O16">
        <v>82</v>
      </c>
      <c r="Q16">
        <f t="shared" si="0"/>
        <v>18.5</v>
      </c>
      <c r="R16">
        <f t="shared" si="1"/>
        <v>23</v>
      </c>
      <c r="S16">
        <f t="shared" si="2"/>
        <v>26</v>
      </c>
      <c r="T16">
        <f t="shared" si="3"/>
        <v>22.5</v>
      </c>
      <c r="U16">
        <f t="shared" si="4"/>
        <v>18.5</v>
      </c>
      <c r="V16">
        <f t="shared" si="5"/>
        <v>4</v>
      </c>
    </row>
    <row r="17" spans="2:22" x14ac:dyDescent="0.3">
      <c r="B17">
        <v>85</v>
      </c>
      <c r="C17">
        <v>15</v>
      </c>
      <c r="D17">
        <v>27</v>
      </c>
      <c r="E17">
        <v>73</v>
      </c>
      <c r="G17">
        <v>81</v>
      </c>
      <c r="H17">
        <v>19</v>
      </c>
      <c r="I17">
        <v>15</v>
      </c>
      <c r="J17">
        <v>85</v>
      </c>
      <c r="L17">
        <v>74</v>
      </c>
      <c r="M17">
        <v>26</v>
      </c>
      <c r="N17">
        <v>34</v>
      </c>
      <c r="O17">
        <v>66</v>
      </c>
      <c r="Q17">
        <f t="shared" si="0"/>
        <v>21</v>
      </c>
      <c r="R17">
        <f t="shared" si="1"/>
        <v>17</v>
      </c>
      <c r="S17">
        <f t="shared" si="2"/>
        <v>30</v>
      </c>
      <c r="T17">
        <f t="shared" si="3"/>
        <v>22.666666666666668</v>
      </c>
      <c r="U17">
        <f t="shared" si="4"/>
        <v>17</v>
      </c>
      <c r="V17">
        <f t="shared" si="5"/>
        <v>5.6666666666666679</v>
      </c>
    </row>
    <row r="18" spans="2:22" x14ac:dyDescent="0.3">
      <c r="B18">
        <v>89</v>
      </c>
      <c r="C18">
        <v>11</v>
      </c>
      <c r="D18">
        <v>19</v>
      </c>
      <c r="E18">
        <v>81</v>
      </c>
      <c r="G18">
        <v>74</v>
      </c>
      <c r="H18">
        <v>26</v>
      </c>
      <c r="I18">
        <v>4</v>
      </c>
      <c r="J18">
        <v>96</v>
      </c>
      <c r="L18">
        <v>69</v>
      </c>
      <c r="M18">
        <v>31</v>
      </c>
      <c r="N18">
        <v>30</v>
      </c>
      <c r="O18">
        <v>70</v>
      </c>
      <c r="Q18">
        <f t="shared" si="0"/>
        <v>15</v>
      </c>
      <c r="R18">
        <f t="shared" si="1"/>
        <v>15</v>
      </c>
      <c r="S18">
        <f t="shared" si="2"/>
        <v>30.5</v>
      </c>
      <c r="T18">
        <f t="shared" si="3"/>
        <v>20.166666666666668</v>
      </c>
      <c r="U18">
        <f t="shared" si="4"/>
        <v>15</v>
      </c>
      <c r="V18">
        <f t="shared" si="5"/>
        <v>5.1666666666666679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6"/>
  <sheetViews>
    <sheetView topLeftCell="Q1" workbookViewId="0">
      <selection activeCell="AF3" sqref="W3:AF3"/>
    </sheetView>
  </sheetViews>
  <sheetFormatPr defaultRowHeight="14.4" x14ac:dyDescent="0.3"/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84</v>
      </c>
      <c r="C3">
        <v>16</v>
      </c>
      <c r="D3">
        <v>11</v>
      </c>
      <c r="E3">
        <v>89</v>
      </c>
      <c r="G3">
        <v>76</v>
      </c>
      <c r="H3">
        <v>24</v>
      </c>
      <c r="I3">
        <v>6</v>
      </c>
      <c r="J3">
        <v>94</v>
      </c>
      <c r="L3">
        <v>67</v>
      </c>
      <c r="M3">
        <v>33</v>
      </c>
      <c r="N3">
        <v>27</v>
      </c>
      <c r="O3">
        <v>73</v>
      </c>
      <c r="Q3">
        <f>AVERAGE(C3:D3)</f>
        <v>13.5</v>
      </c>
      <c r="R3">
        <f>AVERAGE(H3:I3)</f>
        <v>15</v>
      </c>
      <c r="S3">
        <f>AVERAGE(M3:N3)</f>
        <v>30</v>
      </c>
      <c r="T3">
        <f>AVERAGE(Q3:S3)</f>
        <v>19.5</v>
      </c>
      <c r="U3">
        <f>MIN(Q3:S3)</f>
        <v>13.5</v>
      </c>
      <c r="V3">
        <f>T3-U3</f>
        <v>6</v>
      </c>
      <c r="W3">
        <f>AVERAGE(Q3:Q8)</f>
        <v>15.083333333333334</v>
      </c>
      <c r="X3">
        <f>_xlfn.STDEV.S(Q3:Q8)</f>
        <v>4.7054932437170338</v>
      </c>
      <c r="Y3">
        <f>AVERAGE(R3:R8)</f>
        <v>18.5</v>
      </c>
      <c r="Z3">
        <f>_xlfn.STDEV.S(R3:R8)</f>
        <v>3.7815340802378077</v>
      </c>
      <c r="AA3">
        <f>AVERAGE(S3:S8)</f>
        <v>26.833333333333332</v>
      </c>
      <c r="AB3">
        <f>_xlfn.STDEV.S(S3:S8)</f>
        <v>3.2197308376115243</v>
      </c>
      <c r="AC3">
        <f>AVERAGE(T3:T8)</f>
        <v>20.138888888888889</v>
      </c>
      <c r="AD3">
        <f>_xlfn.STDEV.S(T3:T8)</f>
        <v>2.9541245491434216</v>
      </c>
      <c r="AE3">
        <f>AVERAGE(V3:V8)</f>
        <v>5.4722222222222214</v>
      </c>
      <c r="AF3">
        <f>_xlfn.STDEV.S(V3:V8)</f>
        <v>1.8571682944940902</v>
      </c>
    </row>
    <row r="4" spans="1:32" x14ac:dyDescent="0.3">
      <c r="B4">
        <v>87</v>
      </c>
      <c r="C4">
        <v>13</v>
      </c>
      <c r="D4">
        <v>20</v>
      </c>
      <c r="E4">
        <v>80</v>
      </c>
      <c r="G4">
        <v>78</v>
      </c>
      <c r="H4">
        <v>22</v>
      </c>
      <c r="I4">
        <v>17</v>
      </c>
      <c r="J4">
        <v>83</v>
      </c>
      <c r="L4">
        <v>70</v>
      </c>
      <c r="M4">
        <v>30</v>
      </c>
      <c r="N4">
        <v>29</v>
      </c>
      <c r="O4">
        <v>71</v>
      </c>
      <c r="Q4">
        <f t="shared" ref="Q4:Q16" si="0">AVERAGE(C4:D4)</f>
        <v>16.5</v>
      </c>
      <c r="R4">
        <f t="shared" ref="R4:R16" si="1">AVERAGE(H4:I4)</f>
        <v>19.5</v>
      </c>
      <c r="S4">
        <f t="shared" ref="S4:S16" si="2">AVERAGE(M4:N4)</f>
        <v>29.5</v>
      </c>
      <c r="T4">
        <f t="shared" ref="T4:T16" si="3">AVERAGE(Q4:S4)</f>
        <v>21.833333333333332</v>
      </c>
      <c r="U4">
        <f t="shared" ref="U4:U16" si="4">MIN(Q4:S4)</f>
        <v>16.5</v>
      </c>
      <c r="V4">
        <f t="shared" ref="V4:V16" si="5">T4-U4</f>
        <v>5.3333333333333321</v>
      </c>
    </row>
    <row r="5" spans="1:32" x14ac:dyDescent="0.3">
      <c r="B5">
        <v>83</v>
      </c>
      <c r="C5">
        <v>17</v>
      </c>
      <c r="D5">
        <v>22</v>
      </c>
      <c r="E5">
        <v>78</v>
      </c>
      <c r="G5">
        <v>74</v>
      </c>
      <c r="H5">
        <v>26</v>
      </c>
      <c r="I5">
        <v>8</v>
      </c>
      <c r="J5">
        <v>92</v>
      </c>
      <c r="L5">
        <v>72</v>
      </c>
      <c r="M5">
        <v>28</v>
      </c>
      <c r="N5">
        <v>18</v>
      </c>
      <c r="O5">
        <v>82</v>
      </c>
      <c r="Q5">
        <f t="shared" si="0"/>
        <v>19.5</v>
      </c>
      <c r="R5">
        <f t="shared" si="1"/>
        <v>17</v>
      </c>
      <c r="S5">
        <f t="shared" si="2"/>
        <v>23</v>
      </c>
      <c r="T5">
        <f t="shared" si="3"/>
        <v>19.833333333333332</v>
      </c>
      <c r="U5">
        <f t="shared" si="4"/>
        <v>17</v>
      </c>
      <c r="V5">
        <f t="shared" si="5"/>
        <v>2.8333333333333321</v>
      </c>
    </row>
    <row r="6" spans="1:32" x14ac:dyDescent="0.3">
      <c r="B6">
        <v>92</v>
      </c>
      <c r="C6">
        <v>8</v>
      </c>
      <c r="D6">
        <v>12</v>
      </c>
      <c r="E6">
        <v>88</v>
      </c>
      <c r="G6">
        <v>79</v>
      </c>
      <c r="H6">
        <v>21</v>
      </c>
      <c r="I6">
        <v>8</v>
      </c>
      <c r="J6">
        <v>92</v>
      </c>
      <c r="L6">
        <v>72</v>
      </c>
      <c r="M6">
        <v>28</v>
      </c>
      <c r="N6">
        <v>23</v>
      </c>
      <c r="O6">
        <v>77</v>
      </c>
      <c r="Q6">
        <f t="shared" si="0"/>
        <v>10</v>
      </c>
      <c r="R6">
        <f t="shared" si="1"/>
        <v>14.5</v>
      </c>
      <c r="S6">
        <f t="shared" si="2"/>
        <v>25.5</v>
      </c>
      <c r="T6">
        <f t="shared" si="3"/>
        <v>16.666666666666668</v>
      </c>
      <c r="U6">
        <f t="shared" si="4"/>
        <v>10</v>
      </c>
      <c r="V6">
        <f t="shared" si="5"/>
        <v>6.6666666666666679</v>
      </c>
    </row>
    <row r="7" spans="1:32" x14ac:dyDescent="0.3">
      <c r="B7">
        <v>95</v>
      </c>
      <c r="C7">
        <v>5</v>
      </c>
      <c r="D7">
        <v>15</v>
      </c>
      <c r="E7">
        <v>85</v>
      </c>
      <c r="G7">
        <v>66</v>
      </c>
      <c r="H7">
        <v>34</v>
      </c>
      <c r="I7">
        <v>7</v>
      </c>
      <c r="J7">
        <v>93</v>
      </c>
      <c r="L7">
        <v>73</v>
      </c>
      <c r="M7">
        <v>27</v>
      </c>
      <c r="N7">
        <v>20</v>
      </c>
      <c r="O7">
        <v>80</v>
      </c>
      <c r="Q7">
        <f t="shared" si="0"/>
        <v>10</v>
      </c>
      <c r="R7">
        <f t="shared" si="1"/>
        <v>20.5</v>
      </c>
      <c r="S7">
        <f t="shared" si="2"/>
        <v>23.5</v>
      </c>
      <c r="T7">
        <f t="shared" si="3"/>
        <v>18</v>
      </c>
      <c r="U7">
        <f t="shared" si="4"/>
        <v>10</v>
      </c>
      <c r="V7">
        <f t="shared" si="5"/>
        <v>8</v>
      </c>
    </row>
    <row r="8" spans="1:32" x14ac:dyDescent="0.3">
      <c r="B8">
        <v>84</v>
      </c>
      <c r="C8">
        <v>16</v>
      </c>
      <c r="D8">
        <v>26</v>
      </c>
      <c r="E8">
        <v>74</v>
      </c>
      <c r="G8">
        <v>66</v>
      </c>
      <c r="H8">
        <v>34</v>
      </c>
      <c r="I8">
        <v>15</v>
      </c>
      <c r="J8">
        <v>85</v>
      </c>
      <c r="L8">
        <v>68</v>
      </c>
      <c r="M8">
        <v>32</v>
      </c>
      <c r="N8">
        <v>27</v>
      </c>
      <c r="O8">
        <v>73</v>
      </c>
      <c r="Q8">
        <f t="shared" si="0"/>
        <v>21</v>
      </c>
      <c r="R8">
        <f t="shared" si="1"/>
        <v>24.5</v>
      </c>
      <c r="S8">
        <f t="shared" si="2"/>
        <v>29.5</v>
      </c>
      <c r="T8">
        <f t="shared" si="3"/>
        <v>25</v>
      </c>
      <c r="U8">
        <f t="shared" si="4"/>
        <v>21</v>
      </c>
      <c r="V8">
        <f t="shared" si="5"/>
        <v>4</v>
      </c>
    </row>
    <row r="10" spans="1:32" x14ac:dyDescent="0.3">
      <c r="A10" t="s">
        <v>32</v>
      </c>
    </row>
    <row r="11" spans="1:32" x14ac:dyDescent="0.3">
      <c r="B11">
        <v>84</v>
      </c>
      <c r="C11">
        <v>16</v>
      </c>
      <c r="D11">
        <v>11</v>
      </c>
      <c r="E11">
        <v>89</v>
      </c>
      <c r="G11">
        <v>76</v>
      </c>
      <c r="H11">
        <v>24</v>
      </c>
      <c r="I11">
        <v>6</v>
      </c>
      <c r="J11">
        <v>94</v>
      </c>
      <c r="L11">
        <v>67</v>
      </c>
      <c r="M11">
        <v>33</v>
      </c>
      <c r="N11">
        <v>27</v>
      </c>
      <c r="O11">
        <v>73</v>
      </c>
      <c r="Q11">
        <f t="shared" si="0"/>
        <v>13.5</v>
      </c>
      <c r="R11">
        <f t="shared" si="1"/>
        <v>15</v>
      </c>
      <c r="S11">
        <f t="shared" si="2"/>
        <v>30</v>
      </c>
      <c r="T11">
        <f t="shared" si="3"/>
        <v>19.5</v>
      </c>
      <c r="U11">
        <f t="shared" si="4"/>
        <v>13.5</v>
      </c>
      <c r="V11">
        <f t="shared" si="5"/>
        <v>6</v>
      </c>
      <c r="W11">
        <f>AVERAGE(Q11:Q16)</f>
        <v>15.083333333333334</v>
      </c>
      <c r="X11">
        <f>_xlfn.STDEV.S(Q11:Q16)</f>
        <v>4.7054932437170338</v>
      </c>
      <c r="Y11">
        <f>AVERAGE(R11:R16)</f>
        <v>18.5</v>
      </c>
      <c r="Z11">
        <f>_xlfn.STDEV.S(R11:R16)</f>
        <v>3.7815340802378077</v>
      </c>
      <c r="AA11">
        <f>AVERAGE(S11:S16)</f>
        <v>26.916666666666668</v>
      </c>
      <c r="AB11">
        <f>_xlfn.STDEV.S(S11:S16)</f>
        <v>3.1051033262464238</v>
      </c>
      <c r="AC11">
        <f>AVERAGE(T11:T16)</f>
        <v>20.166666666666668</v>
      </c>
      <c r="AD11">
        <f>_xlfn.STDEV.S(T11:T16)</f>
        <v>2.9514591494904909</v>
      </c>
      <c r="AE11">
        <f>AVERAGE(V11:V16)</f>
        <v>5.5</v>
      </c>
      <c r="AF11">
        <f>_xlfn.STDEV.S(V11:V16)</f>
        <v>1.8104634152000358</v>
      </c>
    </row>
    <row r="12" spans="1:32" x14ac:dyDescent="0.3">
      <c r="B12">
        <v>87</v>
      </c>
      <c r="C12">
        <v>13</v>
      </c>
      <c r="D12">
        <v>20</v>
      </c>
      <c r="E12">
        <v>80</v>
      </c>
      <c r="G12">
        <v>78</v>
      </c>
      <c r="H12">
        <v>22</v>
      </c>
      <c r="I12">
        <v>17</v>
      </c>
      <c r="J12">
        <v>83</v>
      </c>
      <c r="L12">
        <v>70</v>
      </c>
      <c r="M12">
        <v>30</v>
      </c>
      <c r="N12">
        <v>29</v>
      </c>
      <c r="O12">
        <v>71</v>
      </c>
      <c r="Q12">
        <f t="shared" si="0"/>
        <v>16.5</v>
      </c>
      <c r="R12">
        <f t="shared" si="1"/>
        <v>19.5</v>
      </c>
      <c r="S12">
        <f t="shared" si="2"/>
        <v>29.5</v>
      </c>
      <c r="T12">
        <f t="shared" si="3"/>
        <v>21.833333333333332</v>
      </c>
      <c r="U12">
        <f t="shared" si="4"/>
        <v>16.5</v>
      </c>
      <c r="V12">
        <f t="shared" si="5"/>
        <v>5.3333333333333321</v>
      </c>
    </row>
    <row r="13" spans="1:32" x14ac:dyDescent="0.3">
      <c r="B13">
        <v>83</v>
      </c>
      <c r="C13">
        <v>17</v>
      </c>
      <c r="D13">
        <v>22</v>
      </c>
      <c r="E13">
        <v>78</v>
      </c>
      <c r="G13">
        <v>74</v>
      </c>
      <c r="H13">
        <v>26</v>
      </c>
      <c r="I13">
        <v>8</v>
      </c>
      <c r="J13">
        <v>92</v>
      </c>
      <c r="L13">
        <v>71</v>
      </c>
      <c r="M13">
        <v>29</v>
      </c>
      <c r="N13">
        <v>18</v>
      </c>
      <c r="O13">
        <v>82</v>
      </c>
      <c r="Q13">
        <f t="shared" si="0"/>
        <v>19.5</v>
      </c>
      <c r="R13">
        <f t="shared" si="1"/>
        <v>17</v>
      </c>
      <c r="S13">
        <f t="shared" si="2"/>
        <v>23.5</v>
      </c>
      <c r="T13">
        <f t="shared" si="3"/>
        <v>20</v>
      </c>
      <c r="U13">
        <f t="shared" si="4"/>
        <v>17</v>
      </c>
      <c r="V13">
        <f t="shared" si="5"/>
        <v>3</v>
      </c>
    </row>
    <row r="14" spans="1:32" x14ac:dyDescent="0.3">
      <c r="B14">
        <v>92</v>
      </c>
      <c r="C14">
        <v>8</v>
      </c>
      <c r="D14">
        <v>12</v>
      </c>
      <c r="E14">
        <v>88</v>
      </c>
      <c r="G14">
        <v>79</v>
      </c>
      <c r="H14">
        <v>21</v>
      </c>
      <c r="I14">
        <v>8</v>
      </c>
      <c r="J14">
        <v>92</v>
      </c>
      <c r="L14">
        <v>72</v>
      </c>
      <c r="M14">
        <v>28</v>
      </c>
      <c r="N14">
        <v>23</v>
      </c>
      <c r="O14">
        <v>77</v>
      </c>
      <c r="Q14">
        <f t="shared" si="0"/>
        <v>10</v>
      </c>
      <c r="R14">
        <f t="shared" si="1"/>
        <v>14.5</v>
      </c>
      <c r="S14">
        <f t="shared" si="2"/>
        <v>25.5</v>
      </c>
      <c r="T14">
        <f t="shared" si="3"/>
        <v>16.666666666666668</v>
      </c>
      <c r="U14">
        <f t="shared" si="4"/>
        <v>10</v>
      </c>
      <c r="V14">
        <f t="shared" si="5"/>
        <v>6.6666666666666679</v>
      </c>
    </row>
    <row r="15" spans="1:32" x14ac:dyDescent="0.3">
      <c r="B15">
        <v>95</v>
      </c>
      <c r="C15">
        <v>5</v>
      </c>
      <c r="D15">
        <v>15</v>
      </c>
      <c r="E15">
        <v>85</v>
      </c>
      <c r="G15">
        <v>66</v>
      </c>
      <c r="H15">
        <v>34</v>
      </c>
      <c r="I15">
        <v>7</v>
      </c>
      <c r="J15">
        <v>93</v>
      </c>
      <c r="L15">
        <v>73</v>
      </c>
      <c r="M15">
        <v>27</v>
      </c>
      <c r="N15">
        <v>20</v>
      </c>
      <c r="O15">
        <v>80</v>
      </c>
      <c r="Q15">
        <f t="shared" si="0"/>
        <v>10</v>
      </c>
      <c r="R15">
        <f t="shared" si="1"/>
        <v>20.5</v>
      </c>
      <c r="S15">
        <f t="shared" si="2"/>
        <v>23.5</v>
      </c>
      <c r="T15">
        <f t="shared" si="3"/>
        <v>18</v>
      </c>
      <c r="U15">
        <f t="shared" si="4"/>
        <v>10</v>
      </c>
      <c r="V15">
        <f t="shared" si="5"/>
        <v>8</v>
      </c>
    </row>
    <row r="16" spans="1:32" x14ac:dyDescent="0.3">
      <c r="B16">
        <v>84</v>
      </c>
      <c r="C16">
        <v>16</v>
      </c>
      <c r="D16">
        <v>26</v>
      </c>
      <c r="E16">
        <v>74</v>
      </c>
      <c r="G16">
        <v>66</v>
      </c>
      <c r="H16">
        <v>34</v>
      </c>
      <c r="I16">
        <v>15</v>
      </c>
      <c r="J16">
        <v>85</v>
      </c>
      <c r="L16">
        <v>68</v>
      </c>
      <c r="M16">
        <v>32</v>
      </c>
      <c r="N16">
        <v>27</v>
      </c>
      <c r="O16">
        <v>73</v>
      </c>
      <c r="Q16">
        <f t="shared" si="0"/>
        <v>21</v>
      </c>
      <c r="R16">
        <f t="shared" si="1"/>
        <v>24.5</v>
      </c>
      <c r="S16">
        <f t="shared" si="2"/>
        <v>29.5</v>
      </c>
      <c r="T16">
        <f t="shared" si="3"/>
        <v>25</v>
      </c>
      <c r="U16">
        <f t="shared" si="4"/>
        <v>21</v>
      </c>
      <c r="V16">
        <f t="shared" si="5"/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9"/>
  <sheetViews>
    <sheetView topLeftCell="K1" workbookViewId="0">
      <selection activeCell="W3" sqref="W3:AF3"/>
    </sheetView>
  </sheetViews>
  <sheetFormatPr defaultRowHeight="14.4" x14ac:dyDescent="0.3"/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86</v>
      </c>
      <c r="C3">
        <v>14</v>
      </c>
      <c r="D3">
        <v>20</v>
      </c>
      <c r="E3">
        <v>80</v>
      </c>
      <c r="G3">
        <v>75</v>
      </c>
      <c r="H3">
        <v>25</v>
      </c>
      <c r="I3">
        <v>8</v>
      </c>
      <c r="J3">
        <v>92</v>
      </c>
      <c r="L3">
        <v>67</v>
      </c>
      <c r="M3">
        <v>33</v>
      </c>
      <c r="N3">
        <v>27</v>
      </c>
      <c r="O3">
        <v>73</v>
      </c>
      <c r="Q3">
        <f>AVERAGE(C3:D3)</f>
        <v>17</v>
      </c>
      <c r="R3">
        <f>AVERAGE(H3:I3)</f>
        <v>16.5</v>
      </c>
      <c r="S3">
        <f>AVERAGE(M3:N3)</f>
        <v>30</v>
      </c>
      <c r="T3">
        <f>AVERAGE(Q3:S3)</f>
        <v>21.166666666666668</v>
      </c>
      <c r="U3">
        <f>MIN(Q3:S3)</f>
        <v>16.5</v>
      </c>
      <c r="V3">
        <f>T3-U3</f>
        <v>4.6666666666666679</v>
      </c>
      <c r="W3">
        <f>AVERAGE(Q3:Q9)</f>
        <v>17.142857142857142</v>
      </c>
      <c r="X3">
        <f>_xlfn.STDEV.S(Q3:Q9)</f>
        <v>1.625686668105863</v>
      </c>
      <c r="Y3">
        <f>AVERAGE(R3:R9)</f>
        <v>17.142857142857142</v>
      </c>
      <c r="Z3">
        <f>_xlfn.STDEV.S(R3:R9)</f>
        <v>2.7945525240230817</v>
      </c>
      <c r="AA3">
        <f>AVERAGE(S3:S9)</f>
        <v>29.571428571428573</v>
      </c>
      <c r="AB3">
        <f>_xlfn.STDEV.S(S3:S9)</f>
        <v>4.1071946166510731</v>
      </c>
      <c r="AC3">
        <f>AVERAGE(T3:T9)</f>
        <v>21.285714285714288</v>
      </c>
      <c r="AD3">
        <f>_xlfn.STDEV.S(T3:T9)</f>
        <v>2.4204267409829603</v>
      </c>
      <c r="AE3">
        <f>AVERAGE(V3:V9)</f>
        <v>5.0714285714285712</v>
      </c>
      <c r="AF3">
        <f>_xlfn.STDEV.S(V3:V9)</f>
        <v>1.5865672904720345</v>
      </c>
    </row>
    <row r="4" spans="1:32" x14ac:dyDescent="0.3">
      <c r="B4">
        <v>95</v>
      </c>
      <c r="C4">
        <v>5</v>
      </c>
      <c r="D4">
        <v>28</v>
      </c>
      <c r="E4">
        <v>72</v>
      </c>
      <c r="G4">
        <v>67</v>
      </c>
      <c r="H4">
        <v>33</v>
      </c>
      <c r="I4">
        <v>11</v>
      </c>
      <c r="J4">
        <v>89</v>
      </c>
      <c r="L4">
        <v>65</v>
      </c>
      <c r="M4">
        <v>35</v>
      </c>
      <c r="N4">
        <v>36</v>
      </c>
      <c r="O4">
        <v>64</v>
      </c>
      <c r="Q4">
        <f t="shared" ref="Q4:Q9" si="0">AVERAGE(C4:D4)</f>
        <v>16.5</v>
      </c>
      <c r="R4">
        <f t="shared" ref="R4:R9" si="1">AVERAGE(H4:I4)</f>
        <v>22</v>
      </c>
      <c r="S4">
        <f t="shared" ref="S4:S9" si="2">AVERAGE(M4:N4)</f>
        <v>35.5</v>
      </c>
      <c r="T4">
        <f t="shared" ref="T4:T9" si="3">AVERAGE(Q4:S4)</f>
        <v>24.666666666666668</v>
      </c>
      <c r="U4">
        <f t="shared" ref="U4:U9" si="4">MIN(Q4:S4)</f>
        <v>16.5</v>
      </c>
      <c r="V4">
        <f t="shared" ref="V4:V9" si="5">T4-U4</f>
        <v>8.1666666666666679</v>
      </c>
    </row>
    <row r="5" spans="1:32" x14ac:dyDescent="0.3">
      <c r="B5">
        <v>87</v>
      </c>
      <c r="C5">
        <v>13</v>
      </c>
      <c r="D5">
        <v>18</v>
      </c>
      <c r="E5">
        <v>82</v>
      </c>
      <c r="G5">
        <v>76</v>
      </c>
      <c r="H5">
        <v>24</v>
      </c>
      <c r="I5">
        <v>4</v>
      </c>
      <c r="J5">
        <v>96</v>
      </c>
      <c r="L5">
        <v>70</v>
      </c>
      <c r="M5">
        <v>30</v>
      </c>
      <c r="N5">
        <v>26</v>
      </c>
      <c r="O5">
        <v>74</v>
      </c>
      <c r="Q5">
        <f t="shared" si="0"/>
        <v>15.5</v>
      </c>
      <c r="R5">
        <f t="shared" si="1"/>
        <v>14</v>
      </c>
      <c r="S5">
        <f t="shared" si="2"/>
        <v>28</v>
      </c>
      <c r="T5">
        <f t="shared" si="3"/>
        <v>19.166666666666668</v>
      </c>
      <c r="U5">
        <f t="shared" si="4"/>
        <v>14</v>
      </c>
      <c r="V5">
        <f t="shared" si="5"/>
        <v>5.1666666666666679</v>
      </c>
    </row>
    <row r="6" spans="1:32" x14ac:dyDescent="0.3">
      <c r="B6">
        <v>80</v>
      </c>
      <c r="C6">
        <v>20</v>
      </c>
      <c r="D6">
        <v>14</v>
      </c>
      <c r="E6">
        <v>86</v>
      </c>
      <c r="G6">
        <v>71</v>
      </c>
      <c r="H6">
        <v>29</v>
      </c>
      <c r="I6">
        <v>4</v>
      </c>
      <c r="J6">
        <v>96</v>
      </c>
      <c r="L6">
        <v>62</v>
      </c>
      <c r="M6">
        <v>38</v>
      </c>
      <c r="N6">
        <v>25</v>
      </c>
      <c r="O6">
        <v>75</v>
      </c>
      <c r="Q6">
        <f t="shared" si="0"/>
        <v>17</v>
      </c>
      <c r="R6">
        <f t="shared" si="1"/>
        <v>16.5</v>
      </c>
      <c r="S6">
        <f t="shared" si="2"/>
        <v>31.5</v>
      </c>
      <c r="T6">
        <f t="shared" si="3"/>
        <v>21.666666666666668</v>
      </c>
      <c r="U6">
        <f t="shared" si="4"/>
        <v>16.5</v>
      </c>
      <c r="V6">
        <f t="shared" si="5"/>
        <v>5.1666666666666679</v>
      </c>
    </row>
    <row r="7" spans="1:32" x14ac:dyDescent="0.3">
      <c r="B7">
        <v>82</v>
      </c>
      <c r="C7">
        <v>18</v>
      </c>
      <c r="D7">
        <v>19</v>
      </c>
      <c r="E7">
        <v>81</v>
      </c>
      <c r="G7">
        <v>67</v>
      </c>
      <c r="H7">
        <v>33</v>
      </c>
      <c r="I7">
        <v>6</v>
      </c>
      <c r="J7">
        <v>94</v>
      </c>
      <c r="L7">
        <v>69</v>
      </c>
      <c r="M7">
        <v>31</v>
      </c>
      <c r="N7">
        <v>31</v>
      </c>
      <c r="O7">
        <v>69</v>
      </c>
      <c r="Q7">
        <f t="shared" si="0"/>
        <v>18.5</v>
      </c>
      <c r="R7">
        <f t="shared" si="1"/>
        <v>19.5</v>
      </c>
      <c r="S7">
        <f t="shared" si="2"/>
        <v>31</v>
      </c>
      <c r="T7">
        <f t="shared" si="3"/>
        <v>23</v>
      </c>
      <c r="U7">
        <f t="shared" si="4"/>
        <v>18.5</v>
      </c>
      <c r="V7">
        <f t="shared" si="5"/>
        <v>4.5</v>
      </c>
    </row>
    <row r="8" spans="1:32" x14ac:dyDescent="0.3">
      <c r="B8">
        <v>80</v>
      </c>
      <c r="C8">
        <v>20</v>
      </c>
      <c r="D8">
        <v>20</v>
      </c>
      <c r="E8">
        <v>80</v>
      </c>
      <c r="G8">
        <v>70</v>
      </c>
      <c r="H8">
        <v>30</v>
      </c>
      <c r="I8">
        <v>4</v>
      </c>
      <c r="J8">
        <v>96</v>
      </c>
      <c r="L8">
        <v>72</v>
      </c>
      <c r="M8">
        <v>28</v>
      </c>
      <c r="N8">
        <v>30</v>
      </c>
      <c r="O8">
        <v>70</v>
      </c>
      <c r="Q8">
        <f t="shared" si="0"/>
        <v>20</v>
      </c>
      <c r="R8">
        <f t="shared" si="1"/>
        <v>17</v>
      </c>
      <c r="S8">
        <f t="shared" si="2"/>
        <v>29</v>
      </c>
      <c r="T8">
        <f t="shared" si="3"/>
        <v>22</v>
      </c>
      <c r="U8">
        <f t="shared" si="4"/>
        <v>17</v>
      </c>
      <c r="V8">
        <f t="shared" si="5"/>
        <v>5</v>
      </c>
    </row>
    <row r="9" spans="1:32" x14ac:dyDescent="0.3">
      <c r="B9">
        <v>90</v>
      </c>
      <c r="C9">
        <v>10</v>
      </c>
      <c r="D9">
        <v>21</v>
      </c>
      <c r="E9">
        <v>79</v>
      </c>
      <c r="G9">
        <v>79</v>
      </c>
      <c r="H9">
        <v>21</v>
      </c>
      <c r="I9">
        <v>8</v>
      </c>
      <c r="J9">
        <v>92</v>
      </c>
      <c r="L9">
        <v>83</v>
      </c>
      <c r="M9">
        <v>17</v>
      </c>
      <c r="N9">
        <v>27</v>
      </c>
      <c r="O9">
        <v>73</v>
      </c>
      <c r="Q9">
        <f t="shared" si="0"/>
        <v>15.5</v>
      </c>
      <c r="R9">
        <f t="shared" si="1"/>
        <v>14.5</v>
      </c>
      <c r="S9">
        <f t="shared" si="2"/>
        <v>22</v>
      </c>
      <c r="T9">
        <f t="shared" si="3"/>
        <v>17.333333333333332</v>
      </c>
      <c r="U9">
        <f t="shared" si="4"/>
        <v>14.5</v>
      </c>
      <c r="V9">
        <f t="shared" si="5"/>
        <v>2.8333333333333321</v>
      </c>
    </row>
    <row r="12" spans="1:32" x14ac:dyDescent="0.3">
      <c r="A12" t="s">
        <v>32</v>
      </c>
    </row>
    <row r="13" spans="1:32" x14ac:dyDescent="0.3">
      <c r="B13">
        <v>86</v>
      </c>
      <c r="C13">
        <v>14</v>
      </c>
      <c r="D13">
        <v>20</v>
      </c>
      <c r="E13">
        <v>80</v>
      </c>
      <c r="G13">
        <v>70</v>
      </c>
      <c r="H13">
        <v>30</v>
      </c>
      <c r="I13">
        <v>7</v>
      </c>
      <c r="J13">
        <v>93</v>
      </c>
      <c r="L13">
        <v>68</v>
      </c>
      <c r="M13">
        <v>32</v>
      </c>
      <c r="N13">
        <v>23</v>
      </c>
      <c r="O13">
        <v>77</v>
      </c>
      <c r="Q13">
        <f t="shared" ref="Q13:Q19" si="6">AVERAGE(C13:D13)</f>
        <v>17</v>
      </c>
      <c r="R13">
        <f t="shared" ref="R13:R19" si="7">AVERAGE(H13:I13)</f>
        <v>18.5</v>
      </c>
      <c r="S13">
        <f t="shared" ref="S13:S19" si="8">AVERAGE(M13:N13)</f>
        <v>27.5</v>
      </c>
      <c r="T13">
        <f t="shared" ref="T13:T19" si="9">AVERAGE(Q13:S13)</f>
        <v>21</v>
      </c>
      <c r="U13">
        <f t="shared" ref="U13:U19" si="10">MIN(Q13:S13)</f>
        <v>17</v>
      </c>
      <c r="V13">
        <f t="shared" ref="V13:V19" si="11">T13-U13</f>
        <v>4</v>
      </c>
      <c r="W13">
        <f>AVERAGE(Q13:Q19)</f>
        <v>17.142857142857142</v>
      </c>
      <c r="X13">
        <f>_xlfn.STDEV.S(Q13:Q19)</f>
        <v>1.625686668105863</v>
      </c>
      <c r="Y13">
        <f>AVERAGE(R13:R19)</f>
        <v>17.428571428571427</v>
      </c>
      <c r="Z13">
        <f>_xlfn.STDEV.S(R13:R19)</f>
        <v>2.8199966227605597</v>
      </c>
      <c r="AA13">
        <f>AVERAGE(S13:S19)</f>
        <v>29.428571428571427</v>
      </c>
      <c r="AB13">
        <f>_xlfn.STDEV.S(S13:S19)</f>
        <v>4.3438517031601753</v>
      </c>
      <c r="AC13">
        <f>AVERAGE(T13:T19)</f>
        <v>21.333333333333336</v>
      </c>
      <c r="AD13">
        <f>_xlfn.STDEV.S(T13:T19)</f>
        <v>2.443813049769171</v>
      </c>
      <c r="AE13">
        <f>AVERAGE(V13:V19)</f>
        <v>5.0476190476190466</v>
      </c>
      <c r="AF13">
        <f>_xlfn.STDEV.S(V13:V19)</f>
        <v>1.6547190813232469</v>
      </c>
    </row>
    <row r="14" spans="1:32" x14ac:dyDescent="0.3">
      <c r="B14">
        <v>95</v>
      </c>
      <c r="C14">
        <v>5</v>
      </c>
      <c r="D14">
        <v>28</v>
      </c>
      <c r="E14">
        <v>72</v>
      </c>
      <c r="G14">
        <v>67</v>
      </c>
      <c r="H14">
        <v>33</v>
      </c>
      <c r="I14">
        <v>11</v>
      </c>
      <c r="J14">
        <v>89</v>
      </c>
      <c r="L14">
        <v>65</v>
      </c>
      <c r="M14">
        <v>35</v>
      </c>
      <c r="N14">
        <v>36</v>
      </c>
      <c r="O14">
        <v>64</v>
      </c>
      <c r="Q14">
        <f t="shared" si="6"/>
        <v>16.5</v>
      </c>
      <c r="R14">
        <f t="shared" si="7"/>
        <v>22</v>
      </c>
      <c r="S14">
        <f t="shared" si="8"/>
        <v>35.5</v>
      </c>
      <c r="T14">
        <f t="shared" si="9"/>
        <v>24.666666666666668</v>
      </c>
      <c r="U14">
        <f t="shared" si="10"/>
        <v>16.5</v>
      </c>
      <c r="V14">
        <f t="shared" si="11"/>
        <v>8.1666666666666679</v>
      </c>
    </row>
    <row r="15" spans="1:32" x14ac:dyDescent="0.3">
      <c r="B15">
        <v>87</v>
      </c>
      <c r="C15">
        <v>13</v>
      </c>
      <c r="D15">
        <v>18</v>
      </c>
      <c r="E15">
        <v>82</v>
      </c>
      <c r="G15">
        <v>76</v>
      </c>
      <c r="H15">
        <v>24</v>
      </c>
      <c r="I15">
        <v>4</v>
      </c>
      <c r="J15">
        <v>96</v>
      </c>
      <c r="L15">
        <v>70</v>
      </c>
      <c r="M15">
        <v>30</v>
      </c>
      <c r="N15">
        <v>26</v>
      </c>
      <c r="O15">
        <v>74</v>
      </c>
      <c r="Q15">
        <f t="shared" si="6"/>
        <v>15.5</v>
      </c>
      <c r="R15">
        <f t="shared" si="7"/>
        <v>14</v>
      </c>
      <c r="S15">
        <f t="shared" si="8"/>
        <v>28</v>
      </c>
      <c r="T15">
        <f t="shared" si="9"/>
        <v>19.166666666666668</v>
      </c>
      <c r="U15">
        <f t="shared" si="10"/>
        <v>14</v>
      </c>
      <c r="V15">
        <f t="shared" si="11"/>
        <v>5.1666666666666679</v>
      </c>
    </row>
    <row r="16" spans="1:32" x14ac:dyDescent="0.3">
      <c r="B16">
        <v>80</v>
      </c>
      <c r="C16">
        <v>20</v>
      </c>
      <c r="D16">
        <v>14</v>
      </c>
      <c r="E16">
        <v>86</v>
      </c>
      <c r="G16">
        <v>71</v>
      </c>
      <c r="H16">
        <v>29</v>
      </c>
      <c r="I16">
        <v>4</v>
      </c>
      <c r="J16">
        <v>96</v>
      </c>
      <c r="L16">
        <v>61</v>
      </c>
      <c r="M16">
        <v>39</v>
      </c>
      <c r="N16">
        <v>27</v>
      </c>
      <c r="O16">
        <v>73</v>
      </c>
      <c r="Q16">
        <f t="shared" si="6"/>
        <v>17</v>
      </c>
      <c r="R16">
        <f t="shared" si="7"/>
        <v>16.5</v>
      </c>
      <c r="S16">
        <f t="shared" si="8"/>
        <v>33</v>
      </c>
      <c r="T16">
        <f t="shared" si="9"/>
        <v>22.166666666666668</v>
      </c>
      <c r="U16">
        <f t="shared" si="10"/>
        <v>16.5</v>
      </c>
      <c r="V16">
        <f t="shared" si="11"/>
        <v>5.6666666666666679</v>
      </c>
    </row>
    <row r="17" spans="2:22" x14ac:dyDescent="0.3">
      <c r="B17">
        <v>82</v>
      </c>
      <c r="C17">
        <v>18</v>
      </c>
      <c r="D17">
        <v>19</v>
      </c>
      <c r="E17">
        <v>81</v>
      </c>
      <c r="G17">
        <v>67</v>
      </c>
      <c r="H17">
        <v>33</v>
      </c>
      <c r="I17">
        <v>6</v>
      </c>
      <c r="J17">
        <v>94</v>
      </c>
      <c r="L17">
        <v>69</v>
      </c>
      <c r="M17">
        <v>31</v>
      </c>
      <c r="N17">
        <v>31</v>
      </c>
      <c r="O17">
        <v>69</v>
      </c>
      <c r="Q17">
        <f t="shared" si="6"/>
        <v>18.5</v>
      </c>
      <c r="R17">
        <f t="shared" si="7"/>
        <v>19.5</v>
      </c>
      <c r="S17">
        <f t="shared" si="8"/>
        <v>31</v>
      </c>
      <c r="T17">
        <f t="shared" si="9"/>
        <v>23</v>
      </c>
      <c r="U17">
        <f t="shared" si="10"/>
        <v>18.5</v>
      </c>
      <c r="V17">
        <f t="shared" si="11"/>
        <v>4.5</v>
      </c>
    </row>
    <row r="18" spans="2:22" x14ac:dyDescent="0.3">
      <c r="B18">
        <v>80</v>
      </c>
      <c r="C18">
        <v>20</v>
      </c>
      <c r="D18">
        <v>20</v>
      </c>
      <c r="E18">
        <v>80</v>
      </c>
      <c r="G18">
        <v>70</v>
      </c>
      <c r="H18">
        <v>30</v>
      </c>
      <c r="I18">
        <v>4</v>
      </c>
      <c r="J18">
        <v>96</v>
      </c>
      <c r="L18">
        <v>72</v>
      </c>
      <c r="M18">
        <v>28</v>
      </c>
      <c r="N18">
        <v>30</v>
      </c>
      <c r="O18">
        <v>70</v>
      </c>
      <c r="Q18">
        <f t="shared" si="6"/>
        <v>20</v>
      </c>
      <c r="R18">
        <f t="shared" si="7"/>
        <v>17</v>
      </c>
      <c r="S18">
        <f t="shared" si="8"/>
        <v>29</v>
      </c>
      <c r="T18">
        <f t="shared" si="9"/>
        <v>22</v>
      </c>
      <c r="U18">
        <f t="shared" si="10"/>
        <v>17</v>
      </c>
      <c r="V18">
        <f t="shared" si="11"/>
        <v>5</v>
      </c>
    </row>
    <row r="19" spans="2:22" x14ac:dyDescent="0.3">
      <c r="B19">
        <v>90</v>
      </c>
      <c r="C19">
        <v>10</v>
      </c>
      <c r="D19">
        <v>21</v>
      </c>
      <c r="E19">
        <v>79</v>
      </c>
      <c r="G19">
        <v>79</v>
      </c>
      <c r="H19">
        <v>21</v>
      </c>
      <c r="I19">
        <v>8</v>
      </c>
      <c r="J19">
        <v>92</v>
      </c>
      <c r="L19">
        <v>83</v>
      </c>
      <c r="M19">
        <v>17</v>
      </c>
      <c r="N19">
        <v>27</v>
      </c>
      <c r="O19">
        <v>73</v>
      </c>
      <c r="Q19">
        <f t="shared" si="6"/>
        <v>15.5</v>
      </c>
      <c r="R19">
        <f t="shared" si="7"/>
        <v>14.5</v>
      </c>
      <c r="S19">
        <f t="shared" si="8"/>
        <v>22</v>
      </c>
      <c r="T19">
        <f t="shared" si="9"/>
        <v>17.333333333333332</v>
      </c>
      <c r="U19">
        <f t="shared" si="10"/>
        <v>14.5</v>
      </c>
      <c r="V19">
        <f t="shared" si="11"/>
        <v>2.8333333333333321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6"/>
  <sheetViews>
    <sheetView topLeftCell="R1" workbookViewId="0">
      <selection activeCell="AF3" sqref="W3:AF3"/>
    </sheetView>
  </sheetViews>
  <sheetFormatPr defaultRowHeight="14.4" x14ac:dyDescent="0.3"/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90</v>
      </c>
      <c r="C3">
        <v>10</v>
      </c>
      <c r="D3">
        <v>17</v>
      </c>
      <c r="E3">
        <v>83</v>
      </c>
      <c r="G3">
        <v>69</v>
      </c>
      <c r="H3">
        <v>31</v>
      </c>
      <c r="I3">
        <v>4</v>
      </c>
      <c r="J3">
        <v>96</v>
      </c>
      <c r="L3">
        <v>70</v>
      </c>
      <c r="M3">
        <v>30</v>
      </c>
      <c r="N3">
        <v>22</v>
      </c>
      <c r="O3">
        <v>78</v>
      </c>
      <c r="Q3">
        <f>AVERAGE(C3:D3)</f>
        <v>13.5</v>
      </c>
      <c r="R3">
        <f>AVERAGE(H3:I3)</f>
        <v>17.5</v>
      </c>
      <c r="S3">
        <f>AVERAGE(M3:N3)</f>
        <v>26</v>
      </c>
      <c r="T3">
        <f>AVERAGE(Q3:S3)</f>
        <v>19</v>
      </c>
      <c r="U3">
        <f>MIN(Q3:S3)</f>
        <v>13.5</v>
      </c>
      <c r="V3">
        <f>T3-U3</f>
        <v>5.5</v>
      </c>
      <c r="W3">
        <f>AVERAGE(Q3:Q8)</f>
        <v>14.25</v>
      </c>
      <c r="X3">
        <f>_xlfn.STDEV.S(Q3:Q8)</f>
        <v>2.7703790354390136</v>
      </c>
      <c r="Y3">
        <f>AVERAGE(R3:R8)</f>
        <v>19.166666666666668</v>
      </c>
      <c r="Z3">
        <f>_xlfn.STDEV.S(R3:R8)</f>
        <v>2.2060522810365799</v>
      </c>
      <c r="AA3">
        <f>AVERAGE(S3:S8)</f>
        <v>27.583333333333332</v>
      </c>
      <c r="AB3">
        <f>_xlfn.STDEV.S(S3:S8)</f>
        <v>2.9396711834262463</v>
      </c>
      <c r="AC3">
        <f>AVERAGE(T3:T8)</f>
        <v>20.333333333333332</v>
      </c>
      <c r="AD3">
        <f>_xlfn.STDEV.S(T3:T8)</f>
        <v>1.2064640713902566</v>
      </c>
      <c r="AE3">
        <f>AVERAGE(V3:V8)</f>
        <v>6.166666666666667</v>
      </c>
      <c r="AF3">
        <f>_xlfn.STDEV.S(V3:V8)</f>
        <v>2.8616234708446333</v>
      </c>
    </row>
    <row r="4" spans="1:32" x14ac:dyDescent="0.3">
      <c r="B4">
        <v>86</v>
      </c>
      <c r="C4">
        <v>14</v>
      </c>
      <c r="D4">
        <v>18</v>
      </c>
      <c r="E4">
        <v>82</v>
      </c>
      <c r="G4">
        <v>66</v>
      </c>
      <c r="H4">
        <v>34</v>
      </c>
      <c r="I4">
        <v>8</v>
      </c>
      <c r="J4">
        <v>92</v>
      </c>
      <c r="L4">
        <v>74</v>
      </c>
      <c r="M4">
        <v>26</v>
      </c>
      <c r="N4">
        <v>24</v>
      </c>
      <c r="O4">
        <v>76</v>
      </c>
      <c r="Q4">
        <f t="shared" ref="Q4:Q16" si="0">AVERAGE(C4:D4)</f>
        <v>16</v>
      </c>
      <c r="R4">
        <f t="shared" ref="R4:R16" si="1">AVERAGE(H4:I4)</f>
        <v>21</v>
      </c>
      <c r="S4">
        <f t="shared" ref="S4:S16" si="2">AVERAGE(M4:N4)</f>
        <v>25</v>
      </c>
      <c r="T4">
        <f t="shared" ref="T4:T16" si="3">AVERAGE(Q4:S4)</f>
        <v>20.666666666666668</v>
      </c>
      <c r="U4">
        <f t="shared" ref="U4:U16" si="4">MIN(Q4:S4)</f>
        <v>16</v>
      </c>
      <c r="V4">
        <f t="shared" ref="V4:V16" si="5">T4-U4</f>
        <v>4.6666666666666679</v>
      </c>
    </row>
    <row r="5" spans="1:32" x14ac:dyDescent="0.3">
      <c r="B5">
        <v>95</v>
      </c>
      <c r="C5">
        <v>5</v>
      </c>
      <c r="D5">
        <v>27</v>
      </c>
      <c r="E5">
        <v>73</v>
      </c>
      <c r="G5">
        <v>80</v>
      </c>
      <c r="H5">
        <v>20</v>
      </c>
      <c r="I5">
        <v>14</v>
      </c>
      <c r="J5">
        <v>86</v>
      </c>
      <c r="L5">
        <v>82</v>
      </c>
      <c r="M5">
        <v>18</v>
      </c>
      <c r="N5">
        <v>33</v>
      </c>
      <c r="O5">
        <v>67</v>
      </c>
      <c r="Q5">
        <f t="shared" si="0"/>
        <v>16</v>
      </c>
      <c r="R5">
        <f t="shared" si="1"/>
        <v>17</v>
      </c>
      <c r="S5">
        <f t="shared" si="2"/>
        <v>25.5</v>
      </c>
      <c r="T5">
        <f t="shared" si="3"/>
        <v>19.5</v>
      </c>
      <c r="U5">
        <f t="shared" si="4"/>
        <v>16</v>
      </c>
      <c r="V5">
        <f t="shared" si="5"/>
        <v>3.5</v>
      </c>
    </row>
    <row r="6" spans="1:32" x14ac:dyDescent="0.3">
      <c r="B6">
        <v>90</v>
      </c>
      <c r="C6">
        <v>10</v>
      </c>
      <c r="D6">
        <v>15</v>
      </c>
      <c r="E6">
        <v>85</v>
      </c>
      <c r="G6">
        <v>70</v>
      </c>
      <c r="H6">
        <v>30</v>
      </c>
      <c r="I6">
        <v>13</v>
      </c>
      <c r="J6">
        <v>87</v>
      </c>
      <c r="L6">
        <v>67</v>
      </c>
      <c r="M6">
        <v>33</v>
      </c>
      <c r="N6">
        <v>33</v>
      </c>
      <c r="O6">
        <v>67</v>
      </c>
      <c r="Q6">
        <f t="shared" si="0"/>
        <v>12.5</v>
      </c>
      <c r="R6">
        <f t="shared" si="1"/>
        <v>21.5</v>
      </c>
      <c r="S6">
        <f t="shared" si="2"/>
        <v>33</v>
      </c>
      <c r="T6">
        <f t="shared" si="3"/>
        <v>22.333333333333332</v>
      </c>
      <c r="U6">
        <f t="shared" si="4"/>
        <v>12.5</v>
      </c>
      <c r="V6">
        <f t="shared" si="5"/>
        <v>9.8333333333333321</v>
      </c>
    </row>
    <row r="7" spans="1:32" x14ac:dyDescent="0.3">
      <c r="B7">
        <v>82</v>
      </c>
      <c r="C7">
        <v>18</v>
      </c>
      <c r="D7">
        <v>17</v>
      </c>
      <c r="E7">
        <v>83</v>
      </c>
      <c r="G7">
        <v>81</v>
      </c>
      <c r="H7">
        <v>19</v>
      </c>
      <c r="I7">
        <v>15</v>
      </c>
      <c r="J7">
        <v>85</v>
      </c>
      <c r="L7">
        <v>71</v>
      </c>
      <c r="M7">
        <v>29</v>
      </c>
      <c r="N7">
        <v>27</v>
      </c>
      <c r="O7">
        <v>73</v>
      </c>
      <c r="Q7">
        <f t="shared" si="0"/>
        <v>17.5</v>
      </c>
      <c r="R7">
        <f t="shared" si="1"/>
        <v>17</v>
      </c>
      <c r="S7">
        <f t="shared" si="2"/>
        <v>28</v>
      </c>
      <c r="T7">
        <f t="shared" si="3"/>
        <v>20.833333333333332</v>
      </c>
      <c r="U7">
        <f t="shared" si="4"/>
        <v>17</v>
      </c>
      <c r="V7">
        <f t="shared" si="5"/>
        <v>3.8333333333333321</v>
      </c>
    </row>
    <row r="8" spans="1:32" x14ac:dyDescent="0.3">
      <c r="B8">
        <v>92</v>
      </c>
      <c r="C8">
        <v>8</v>
      </c>
      <c r="D8">
        <v>12</v>
      </c>
      <c r="E8">
        <v>88</v>
      </c>
      <c r="G8">
        <v>65</v>
      </c>
      <c r="H8">
        <v>35</v>
      </c>
      <c r="I8">
        <v>7</v>
      </c>
      <c r="J8">
        <v>93</v>
      </c>
      <c r="L8">
        <v>66</v>
      </c>
      <c r="M8">
        <v>34</v>
      </c>
      <c r="N8">
        <v>22</v>
      </c>
      <c r="O8">
        <v>78</v>
      </c>
      <c r="Q8">
        <f t="shared" si="0"/>
        <v>10</v>
      </c>
      <c r="R8">
        <f t="shared" si="1"/>
        <v>21</v>
      </c>
      <c r="S8">
        <f t="shared" si="2"/>
        <v>28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10" spans="1:32" x14ac:dyDescent="0.3">
      <c r="A10" t="s">
        <v>32</v>
      </c>
    </row>
    <row r="11" spans="1:32" x14ac:dyDescent="0.3">
      <c r="B11">
        <v>90</v>
      </c>
      <c r="C11">
        <v>10</v>
      </c>
      <c r="D11">
        <v>17</v>
      </c>
      <c r="E11">
        <v>83</v>
      </c>
      <c r="G11">
        <v>69</v>
      </c>
      <c r="H11">
        <v>31</v>
      </c>
      <c r="I11">
        <v>4</v>
      </c>
      <c r="J11">
        <v>96</v>
      </c>
      <c r="L11">
        <v>70</v>
      </c>
      <c r="M11">
        <v>30</v>
      </c>
      <c r="N11">
        <v>22</v>
      </c>
      <c r="O11">
        <v>78</v>
      </c>
      <c r="Q11">
        <f t="shared" si="0"/>
        <v>13.5</v>
      </c>
      <c r="R11">
        <f t="shared" si="1"/>
        <v>17.5</v>
      </c>
      <c r="S11">
        <f t="shared" si="2"/>
        <v>26</v>
      </c>
      <c r="T11">
        <f t="shared" si="3"/>
        <v>19</v>
      </c>
      <c r="U11">
        <f t="shared" si="4"/>
        <v>13.5</v>
      </c>
      <c r="V11">
        <f t="shared" si="5"/>
        <v>5.5</v>
      </c>
      <c r="W11">
        <f>AVERAGE(Q11:Q16)</f>
        <v>14.25</v>
      </c>
      <c r="X11">
        <f>_xlfn.STDEV.S(Q11:Q16)</f>
        <v>2.7703790354390136</v>
      </c>
      <c r="Y11">
        <f>AVERAGE(R11:R16)</f>
        <v>19.166666666666668</v>
      </c>
      <c r="Z11">
        <f>_xlfn.STDEV.S(R11:R16)</f>
        <v>2.2060522810365799</v>
      </c>
      <c r="AA11">
        <f>AVERAGE(S11:S16)</f>
        <v>27.583333333333332</v>
      </c>
      <c r="AB11">
        <f>_xlfn.STDEV.S(S11:S16)</f>
        <v>2.9396711834262463</v>
      </c>
      <c r="AC11">
        <f>AVERAGE(T11:T16)</f>
        <v>20.333333333333332</v>
      </c>
      <c r="AD11">
        <f>_xlfn.STDEV.S(T11:T16)</f>
        <v>1.2064640713902566</v>
      </c>
      <c r="AE11">
        <f>AVERAGE(V11:V16)</f>
        <v>6.166666666666667</v>
      </c>
      <c r="AF11">
        <f>_xlfn.STDEV.S(V11:V16)</f>
        <v>2.8616234708446333</v>
      </c>
    </row>
    <row r="12" spans="1:32" x14ac:dyDescent="0.3">
      <c r="B12">
        <v>86</v>
      </c>
      <c r="C12">
        <v>14</v>
      </c>
      <c r="D12">
        <v>18</v>
      </c>
      <c r="E12">
        <v>82</v>
      </c>
      <c r="G12">
        <v>66</v>
      </c>
      <c r="H12">
        <v>34</v>
      </c>
      <c r="I12">
        <v>8</v>
      </c>
      <c r="J12">
        <v>92</v>
      </c>
      <c r="L12">
        <v>74</v>
      </c>
      <c r="M12">
        <v>26</v>
      </c>
      <c r="N12">
        <v>24</v>
      </c>
      <c r="O12">
        <v>76</v>
      </c>
      <c r="Q12">
        <f t="shared" si="0"/>
        <v>16</v>
      </c>
      <c r="R12">
        <f t="shared" si="1"/>
        <v>21</v>
      </c>
      <c r="S12">
        <f t="shared" si="2"/>
        <v>25</v>
      </c>
      <c r="T12">
        <f t="shared" si="3"/>
        <v>20.666666666666668</v>
      </c>
      <c r="U12">
        <f t="shared" si="4"/>
        <v>16</v>
      </c>
      <c r="V12">
        <f t="shared" si="5"/>
        <v>4.6666666666666679</v>
      </c>
    </row>
    <row r="13" spans="1:32" x14ac:dyDescent="0.3">
      <c r="B13">
        <v>95</v>
      </c>
      <c r="C13">
        <v>5</v>
      </c>
      <c r="D13">
        <v>27</v>
      </c>
      <c r="E13">
        <v>73</v>
      </c>
      <c r="G13">
        <v>80</v>
      </c>
      <c r="H13">
        <v>20</v>
      </c>
      <c r="I13">
        <v>14</v>
      </c>
      <c r="J13">
        <v>86</v>
      </c>
      <c r="L13">
        <v>82</v>
      </c>
      <c r="M13">
        <v>18</v>
      </c>
      <c r="N13">
        <v>33</v>
      </c>
      <c r="O13">
        <v>67</v>
      </c>
      <c r="Q13">
        <f t="shared" si="0"/>
        <v>16</v>
      </c>
      <c r="R13">
        <f t="shared" si="1"/>
        <v>17</v>
      </c>
      <c r="S13">
        <f t="shared" si="2"/>
        <v>25.5</v>
      </c>
      <c r="T13">
        <f t="shared" si="3"/>
        <v>19.5</v>
      </c>
      <c r="U13">
        <f t="shared" si="4"/>
        <v>16</v>
      </c>
      <c r="V13">
        <f t="shared" si="5"/>
        <v>3.5</v>
      </c>
    </row>
    <row r="14" spans="1:32" x14ac:dyDescent="0.3">
      <c r="B14">
        <v>90</v>
      </c>
      <c r="C14">
        <v>10</v>
      </c>
      <c r="D14">
        <v>15</v>
      </c>
      <c r="E14">
        <v>85</v>
      </c>
      <c r="G14">
        <v>70</v>
      </c>
      <c r="H14">
        <v>30</v>
      </c>
      <c r="I14">
        <v>13</v>
      </c>
      <c r="J14">
        <v>87</v>
      </c>
      <c r="L14">
        <v>67</v>
      </c>
      <c r="M14">
        <v>33</v>
      </c>
      <c r="N14">
        <v>33</v>
      </c>
      <c r="O14">
        <v>67</v>
      </c>
      <c r="Q14">
        <f t="shared" si="0"/>
        <v>12.5</v>
      </c>
      <c r="R14">
        <f t="shared" si="1"/>
        <v>21.5</v>
      </c>
      <c r="S14">
        <f t="shared" si="2"/>
        <v>33</v>
      </c>
      <c r="T14">
        <f t="shared" si="3"/>
        <v>22.333333333333332</v>
      </c>
      <c r="U14">
        <f t="shared" si="4"/>
        <v>12.5</v>
      </c>
      <c r="V14">
        <f t="shared" si="5"/>
        <v>9.8333333333333321</v>
      </c>
    </row>
    <row r="15" spans="1:32" x14ac:dyDescent="0.3">
      <c r="B15">
        <v>82</v>
      </c>
      <c r="C15">
        <v>18</v>
      </c>
      <c r="D15">
        <v>17</v>
      </c>
      <c r="E15">
        <v>83</v>
      </c>
      <c r="G15">
        <v>81</v>
      </c>
      <c r="H15">
        <v>19</v>
      </c>
      <c r="I15">
        <v>15</v>
      </c>
      <c r="J15">
        <v>85</v>
      </c>
      <c r="L15">
        <v>71</v>
      </c>
      <c r="M15">
        <v>29</v>
      </c>
      <c r="N15">
        <v>27</v>
      </c>
      <c r="O15">
        <v>73</v>
      </c>
      <c r="Q15">
        <f t="shared" si="0"/>
        <v>17.5</v>
      </c>
      <c r="R15">
        <f t="shared" si="1"/>
        <v>17</v>
      </c>
      <c r="S15">
        <f t="shared" si="2"/>
        <v>28</v>
      </c>
      <c r="T15">
        <f t="shared" si="3"/>
        <v>20.833333333333332</v>
      </c>
      <c r="U15">
        <f t="shared" si="4"/>
        <v>17</v>
      </c>
      <c r="V15">
        <f t="shared" si="5"/>
        <v>3.8333333333333321</v>
      </c>
    </row>
    <row r="16" spans="1:32" x14ac:dyDescent="0.3">
      <c r="B16">
        <v>92</v>
      </c>
      <c r="C16">
        <v>8</v>
      </c>
      <c r="D16">
        <v>12</v>
      </c>
      <c r="E16">
        <v>88</v>
      </c>
      <c r="G16">
        <v>65</v>
      </c>
      <c r="H16">
        <v>35</v>
      </c>
      <c r="I16">
        <v>7</v>
      </c>
      <c r="J16">
        <v>93</v>
      </c>
      <c r="L16">
        <v>66</v>
      </c>
      <c r="M16">
        <v>34</v>
      </c>
      <c r="N16">
        <v>22</v>
      </c>
      <c r="O16">
        <v>78</v>
      </c>
      <c r="Q16">
        <f t="shared" si="0"/>
        <v>10</v>
      </c>
      <c r="R16">
        <f t="shared" si="1"/>
        <v>21</v>
      </c>
      <c r="S16">
        <f t="shared" si="2"/>
        <v>28</v>
      </c>
      <c r="T16">
        <f t="shared" si="3"/>
        <v>19.666666666666668</v>
      </c>
      <c r="U16">
        <f t="shared" si="4"/>
        <v>10</v>
      </c>
      <c r="V16">
        <f t="shared" si="5"/>
        <v>9.6666666666666679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6"/>
  <sheetViews>
    <sheetView topLeftCell="R1" workbookViewId="0">
      <selection activeCell="AF3" sqref="W3:AF3"/>
    </sheetView>
  </sheetViews>
  <sheetFormatPr defaultRowHeight="14.4" x14ac:dyDescent="0.3"/>
  <cols>
    <col min="1" max="1" width="10.6640625" customWidth="1"/>
    <col min="21" max="21" width="11.44140625" customWidth="1"/>
  </cols>
  <sheetData>
    <row r="2" spans="1:32" x14ac:dyDescent="0.3">
      <c r="A2" t="s">
        <v>18</v>
      </c>
      <c r="F2" t="s">
        <v>28</v>
      </c>
      <c r="K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24</v>
      </c>
      <c r="X2" t="s">
        <v>20</v>
      </c>
      <c r="Y2" t="s">
        <v>25</v>
      </c>
      <c r="Z2" t="s">
        <v>21</v>
      </c>
      <c r="AA2" t="s">
        <v>26</v>
      </c>
      <c r="AB2" t="s">
        <v>22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85</v>
      </c>
      <c r="C3">
        <v>15</v>
      </c>
      <c r="D3">
        <v>17</v>
      </c>
      <c r="E3">
        <v>83</v>
      </c>
      <c r="G3">
        <v>56</v>
      </c>
      <c r="H3">
        <v>44</v>
      </c>
      <c r="I3">
        <v>7</v>
      </c>
      <c r="J3">
        <v>93</v>
      </c>
      <c r="L3">
        <v>71</v>
      </c>
      <c r="M3">
        <v>29</v>
      </c>
      <c r="N3">
        <v>23</v>
      </c>
      <c r="O3">
        <v>77</v>
      </c>
      <c r="Q3">
        <f>AVERAGE(C3:D3)</f>
        <v>16</v>
      </c>
      <c r="R3">
        <f>AVERAGE(H3:I3)</f>
        <v>25.5</v>
      </c>
      <c r="S3">
        <f>AVERAGE(M3:N3)</f>
        <v>26</v>
      </c>
      <c r="T3">
        <f>AVERAGE(Q3:S3)</f>
        <v>22.5</v>
      </c>
      <c r="U3">
        <f>MIN(Q3:S3)</f>
        <v>16</v>
      </c>
      <c r="V3">
        <f>T3-U3</f>
        <v>6.5</v>
      </c>
      <c r="W3">
        <f>AVERAGE(Q3:Q8)</f>
        <v>15.666666666666666</v>
      </c>
      <c r="X3">
        <f>_xlfn.STDEV.S(Q3:Q8)</f>
        <v>2.42212028327799</v>
      </c>
      <c r="Y3">
        <f>AVERAGE(R3:R8)</f>
        <v>20.916666666666668</v>
      </c>
      <c r="Z3">
        <f>_xlfn.STDEV.S(R3:R8)</f>
        <v>4.3979161732196186</v>
      </c>
      <c r="AA3">
        <f>AVERAGE(S3:S8)</f>
        <v>28.75</v>
      </c>
      <c r="AB3">
        <f>_xlfn.STDEV.S(S3:S8)</f>
        <v>2.6220221204253789</v>
      </c>
      <c r="AC3">
        <f>AVERAGE(T3:T8)</f>
        <v>21.777777777777775</v>
      </c>
      <c r="AD3">
        <f>_xlfn.STDEV.S(T3:T8)</f>
        <v>1.727768845993348</v>
      </c>
      <c r="AE3">
        <f>AVERAGE(V3:V8)</f>
        <v>6.1111111111111098</v>
      </c>
      <c r="AF3">
        <f>_xlfn.STDEV.S(V3:V8)</f>
        <v>1.9739038214402216</v>
      </c>
    </row>
    <row r="4" spans="1:32" x14ac:dyDescent="0.3">
      <c r="B4">
        <v>86</v>
      </c>
      <c r="C4">
        <v>14</v>
      </c>
      <c r="D4">
        <v>11</v>
      </c>
      <c r="E4">
        <v>89</v>
      </c>
      <c r="G4">
        <v>62</v>
      </c>
      <c r="H4">
        <v>38</v>
      </c>
      <c r="I4">
        <v>2</v>
      </c>
      <c r="J4">
        <v>98</v>
      </c>
      <c r="L4">
        <v>56</v>
      </c>
      <c r="M4">
        <v>44</v>
      </c>
      <c r="N4">
        <v>13</v>
      </c>
      <c r="O4">
        <v>87</v>
      </c>
      <c r="Q4">
        <f t="shared" ref="Q4:Q16" si="0">AVERAGE(C4:D4)</f>
        <v>12.5</v>
      </c>
      <c r="R4">
        <f t="shared" ref="R4:R16" si="1">AVERAGE(H4:I4)</f>
        <v>20</v>
      </c>
      <c r="S4">
        <f t="shared" ref="S4:S16" si="2">AVERAGE(M4:N4)</f>
        <v>28.5</v>
      </c>
      <c r="T4">
        <f t="shared" ref="T4:T16" si="3">AVERAGE(Q4:S4)</f>
        <v>20.333333333333332</v>
      </c>
      <c r="U4">
        <f t="shared" ref="U4:U16" si="4">MIN(Q4:S4)</f>
        <v>12.5</v>
      </c>
      <c r="V4">
        <f t="shared" ref="V4:V16" si="5">T4-U4</f>
        <v>7.8333333333333321</v>
      </c>
    </row>
    <row r="5" spans="1:32" x14ac:dyDescent="0.3">
      <c r="B5">
        <v>81</v>
      </c>
      <c r="C5">
        <v>19</v>
      </c>
      <c r="D5">
        <v>16</v>
      </c>
      <c r="E5">
        <v>84</v>
      </c>
      <c r="G5">
        <v>66</v>
      </c>
      <c r="H5">
        <v>34</v>
      </c>
      <c r="I5">
        <v>1</v>
      </c>
      <c r="J5">
        <v>99</v>
      </c>
      <c r="L5">
        <v>64</v>
      </c>
      <c r="M5">
        <v>36</v>
      </c>
      <c r="N5">
        <v>16</v>
      </c>
      <c r="O5">
        <v>84</v>
      </c>
      <c r="Q5">
        <f t="shared" si="0"/>
        <v>17.5</v>
      </c>
      <c r="R5">
        <f t="shared" si="1"/>
        <v>17.5</v>
      </c>
      <c r="S5">
        <f t="shared" si="2"/>
        <v>26</v>
      </c>
      <c r="T5">
        <f t="shared" si="3"/>
        <v>20.333333333333332</v>
      </c>
      <c r="U5">
        <f t="shared" si="4"/>
        <v>17.5</v>
      </c>
      <c r="V5">
        <f t="shared" si="5"/>
        <v>2.8333333333333321</v>
      </c>
    </row>
    <row r="6" spans="1:32" x14ac:dyDescent="0.3">
      <c r="B6">
        <v>90</v>
      </c>
      <c r="C6">
        <v>10</v>
      </c>
      <c r="D6">
        <v>21</v>
      </c>
      <c r="E6">
        <v>79</v>
      </c>
      <c r="G6">
        <v>75</v>
      </c>
      <c r="H6">
        <v>25</v>
      </c>
      <c r="I6">
        <v>7</v>
      </c>
      <c r="J6">
        <v>93</v>
      </c>
      <c r="L6">
        <v>63</v>
      </c>
      <c r="M6">
        <v>37</v>
      </c>
      <c r="N6">
        <v>25</v>
      </c>
      <c r="O6">
        <v>75</v>
      </c>
      <c r="Q6">
        <f t="shared" si="0"/>
        <v>15.5</v>
      </c>
      <c r="R6">
        <f t="shared" si="1"/>
        <v>16</v>
      </c>
      <c r="S6">
        <f t="shared" si="2"/>
        <v>31</v>
      </c>
      <c r="T6">
        <f t="shared" si="3"/>
        <v>20.833333333333332</v>
      </c>
      <c r="U6">
        <f t="shared" si="4"/>
        <v>15.5</v>
      </c>
      <c r="V6">
        <f t="shared" si="5"/>
        <v>5.3333333333333321</v>
      </c>
    </row>
    <row r="7" spans="1:32" x14ac:dyDescent="0.3">
      <c r="B7">
        <v>87</v>
      </c>
      <c r="C7">
        <v>13</v>
      </c>
      <c r="D7">
        <v>25</v>
      </c>
      <c r="E7">
        <v>75</v>
      </c>
      <c r="G7">
        <v>55</v>
      </c>
      <c r="H7">
        <v>45</v>
      </c>
      <c r="I7">
        <v>9</v>
      </c>
      <c r="J7">
        <v>91</v>
      </c>
      <c r="L7">
        <v>68</v>
      </c>
      <c r="M7">
        <v>32</v>
      </c>
      <c r="N7">
        <v>25</v>
      </c>
      <c r="O7">
        <v>75</v>
      </c>
      <c r="Q7">
        <f t="shared" si="0"/>
        <v>19</v>
      </c>
      <c r="R7">
        <f t="shared" si="1"/>
        <v>27</v>
      </c>
      <c r="S7">
        <f t="shared" si="2"/>
        <v>28.5</v>
      </c>
      <c r="T7">
        <f t="shared" si="3"/>
        <v>24.833333333333332</v>
      </c>
      <c r="U7">
        <f t="shared" si="4"/>
        <v>19</v>
      </c>
      <c r="V7">
        <f t="shared" si="5"/>
        <v>5.8333333333333321</v>
      </c>
    </row>
    <row r="8" spans="1:32" x14ac:dyDescent="0.3">
      <c r="B8">
        <v>90</v>
      </c>
      <c r="C8">
        <v>10</v>
      </c>
      <c r="D8">
        <v>17</v>
      </c>
      <c r="E8">
        <v>83</v>
      </c>
      <c r="G8">
        <v>65</v>
      </c>
      <c r="H8">
        <v>35</v>
      </c>
      <c r="I8">
        <v>4</v>
      </c>
      <c r="J8">
        <v>96</v>
      </c>
      <c r="L8">
        <v>56</v>
      </c>
      <c r="M8">
        <v>44</v>
      </c>
      <c r="N8">
        <v>21</v>
      </c>
      <c r="O8">
        <v>79</v>
      </c>
      <c r="Q8">
        <f t="shared" si="0"/>
        <v>13.5</v>
      </c>
      <c r="R8">
        <f t="shared" si="1"/>
        <v>19.5</v>
      </c>
      <c r="S8">
        <f t="shared" si="2"/>
        <v>32.5</v>
      </c>
      <c r="T8">
        <f t="shared" si="3"/>
        <v>21.833333333333332</v>
      </c>
      <c r="U8">
        <f t="shared" si="4"/>
        <v>13.5</v>
      </c>
      <c r="V8">
        <f t="shared" si="5"/>
        <v>8.3333333333333321</v>
      </c>
    </row>
    <row r="10" spans="1:32" x14ac:dyDescent="0.3">
      <c r="A10" t="s">
        <v>32</v>
      </c>
    </row>
    <row r="11" spans="1:32" x14ac:dyDescent="0.3">
      <c r="B11">
        <v>85</v>
      </c>
      <c r="C11">
        <v>15</v>
      </c>
      <c r="D11">
        <v>17</v>
      </c>
      <c r="E11">
        <v>83</v>
      </c>
      <c r="G11">
        <v>56</v>
      </c>
      <c r="H11">
        <v>44</v>
      </c>
      <c r="I11">
        <v>9</v>
      </c>
      <c r="J11">
        <v>91</v>
      </c>
      <c r="L11">
        <v>70</v>
      </c>
      <c r="M11">
        <v>30</v>
      </c>
      <c r="N11">
        <v>22</v>
      </c>
      <c r="O11">
        <v>78</v>
      </c>
      <c r="Q11">
        <f t="shared" si="0"/>
        <v>16</v>
      </c>
      <c r="R11">
        <f t="shared" si="1"/>
        <v>26.5</v>
      </c>
      <c r="S11">
        <f t="shared" si="2"/>
        <v>26</v>
      </c>
      <c r="T11">
        <f t="shared" si="3"/>
        <v>22.833333333333332</v>
      </c>
      <c r="U11">
        <f t="shared" si="4"/>
        <v>16</v>
      </c>
      <c r="V11">
        <f t="shared" si="5"/>
        <v>6.8333333333333321</v>
      </c>
      <c r="W11">
        <f>AVERAGE(Q11:Q16)</f>
        <v>15.666666666666666</v>
      </c>
      <c r="X11">
        <f>_xlfn.STDEV.S(Q11:Q16)</f>
        <v>2.42212028327799</v>
      </c>
      <c r="Y11">
        <f>AVERAGE(R11:R16)</f>
        <v>21.083333333333332</v>
      </c>
      <c r="Z11">
        <f>_xlfn.STDEV.S(R11:R16)</f>
        <v>4.6197041752331609</v>
      </c>
      <c r="AA11">
        <f>AVERAGE(S11:S16)</f>
        <v>28.666666666666668</v>
      </c>
      <c r="AB11">
        <f>_xlfn.STDEV.S(S11:S16)</f>
        <v>2.6394443859772205</v>
      </c>
      <c r="AC11">
        <f>AVERAGE(T11:T16)</f>
        <v>21.805555555555554</v>
      </c>
      <c r="AD11">
        <f>_xlfn.STDEV.S(T11:T16)</f>
        <v>1.8055982900925622</v>
      </c>
      <c r="AE11">
        <f>AVERAGE(V11:V16)</f>
        <v>6.1388888888888884</v>
      </c>
      <c r="AF11">
        <f>_xlfn.STDEV.S(V11:V16)</f>
        <v>2.0613282305528338</v>
      </c>
    </row>
    <row r="12" spans="1:32" x14ac:dyDescent="0.3">
      <c r="B12">
        <v>86</v>
      </c>
      <c r="C12">
        <v>14</v>
      </c>
      <c r="D12">
        <v>11</v>
      </c>
      <c r="E12">
        <v>89</v>
      </c>
      <c r="G12">
        <v>62</v>
      </c>
      <c r="H12">
        <v>38</v>
      </c>
      <c r="I12">
        <v>2</v>
      </c>
      <c r="J12">
        <v>98</v>
      </c>
      <c r="L12">
        <v>56</v>
      </c>
      <c r="M12">
        <v>44</v>
      </c>
      <c r="N12">
        <v>13</v>
      </c>
      <c r="O12">
        <v>87</v>
      </c>
      <c r="Q12">
        <f t="shared" si="0"/>
        <v>12.5</v>
      </c>
      <c r="R12">
        <f t="shared" si="1"/>
        <v>20</v>
      </c>
      <c r="S12">
        <f t="shared" si="2"/>
        <v>28.5</v>
      </c>
      <c r="T12">
        <f t="shared" si="3"/>
        <v>20.333333333333332</v>
      </c>
      <c r="U12">
        <f t="shared" si="4"/>
        <v>12.5</v>
      </c>
      <c r="V12">
        <f t="shared" si="5"/>
        <v>7.8333333333333321</v>
      </c>
    </row>
    <row r="13" spans="1:32" x14ac:dyDescent="0.3">
      <c r="B13">
        <v>81</v>
      </c>
      <c r="C13">
        <v>19</v>
      </c>
      <c r="D13">
        <v>16</v>
      </c>
      <c r="E13">
        <v>84</v>
      </c>
      <c r="G13">
        <v>66</v>
      </c>
      <c r="H13">
        <v>34</v>
      </c>
      <c r="I13">
        <v>1</v>
      </c>
      <c r="J13">
        <v>99</v>
      </c>
      <c r="L13">
        <v>64</v>
      </c>
      <c r="M13">
        <v>36</v>
      </c>
      <c r="N13">
        <v>16</v>
      </c>
      <c r="O13">
        <v>84</v>
      </c>
      <c r="Q13">
        <f t="shared" si="0"/>
        <v>17.5</v>
      </c>
      <c r="R13">
        <f t="shared" si="1"/>
        <v>17.5</v>
      </c>
      <c r="S13">
        <f t="shared" si="2"/>
        <v>26</v>
      </c>
      <c r="T13">
        <f t="shared" si="3"/>
        <v>20.333333333333332</v>
      </c>
      <c r="U13">
        <f t="shared" si="4"/>
        <v>17.5</v>
      </c>
      <c r="V13">
        <f t="shared" si="5"/>
        <v>2.8333333333333321</v>
      </c>
    </row>
    <row r="14" spans="1:32" x14ac:dyDescent="0.3">
      <c r="B14">
        <v>90</v>
      </c>
      <c r="C14">
        <v>10</v>
      </c>
      <c r="D14">
        <v>21</v>
      </c>
      <c r="E14">
        <v>79</v>
      </c>
      <c r="G14">
        <v>75</v>
      </c>
      <c r="H14">
        <v>25</v>
      </c>
      <c r="I14">
        <v>7</v>
      </c>
      <c r="J14">
        <v>93</v>
      </c>
      <c r="L14">
        <v>63</v>
      </c>
      <c r="M14">
        <v>37</v>
      </c>
      <c r="N14">
        <v>23</v>
      </c>
      <c r="O14">
        <v>77</v>
      </c>
      <c r="Q14">
        <f t="shared" si="0"/>
        <v>15.5</v>
      </c>
      <c r="R14">
        <f t="shared" si="1"/>
        <v>16</v>
      </c>
      <c r="S14">
        <f t="shared" si="2"/>
        <v>30</v>
      </c>
      <c r="T14">
        <f t="shared" si="3"/>
        <v>20.5</v>
      </c>
      <c r="U14">
        <f t="shared" si="4"/>
        <v>15.5</v>
      </c>
      <c r="V14">
        <f t="shared" si="5"/>
        <v>5</v>
      </c>
    </row>
    <row r="15" spans="1:32" x14ac:dyDescent="0.3">
      <c r="B15">
        <v>87</v>
      </c>
      <c r="C15">
        <v>13</v>
      </c>
      <c r="D15">
        <v>25</v>
      </c>
      <c r="E15">
        <v>75</v>
      </c>
      <c r="G15">
        <v>55</v>
      </c>
      <c r="H15">
        <v>45</v>
      </c>
      <c r="I15">
        <v>9</v>
      </c>
      <c r="J15">
        <v>91</v>
      </c>
      <c r="L15">
        <v>68</v>
      </c>
      <c r="M15">
        <v>32</v>
      </c>
      <c r="N15">
        <v>25</v>
      </c>
      <c r="O15">
        <v>75</v>
      </c>
      <c r="Q15">
        <f t="shared" si="0"/>
        <v>19</v>
      </c>
      <c r="R15">
        <f t="shared" si="1"/>
        <v>27</v>
      </c>
      <c r="S15">
        <f t="shared" si="2"/>
        <v>28.5</v>
      </c>
      <c r="T15">
        <f t="shared" si="3"/>
        <v>24.833333333333332</v>
      </c>
      <c r="U15">
        <f t="shared" si="4"/>
        <v>19</v>
      </c>
      <c r="V15">
        <f t="shared" si="5"/>
        <v>5.8333333333333321</v>
      </c>
    </row>
    <row r="16" spans="1:32" x14ac:dyDescent="0.3">
      <c r="B16">
        <v>90</v>
      </c>
      <c r="C16">
        <v>10</v>
      </c>
      <c r="D16">
        <v>17</v>
      </c>
      <c r="E16">
        <v>83</v>
      </c>
      <c r="G16">
        <v>65</v>
      </c>
      <c r="H16">
        <v>35</v>
      </c>
      <c r="I16">
        <v>4</v>
      </c>
      <c r="J16">
        <v>96</v>
      </c>
      <c r="L16">
        <v>55</v>
      </c>
      <c r="M16">
        <v>45</v>
      </c>
      <c r="N16">
        <v>21</v>
      </c>
      <c r="O16">
        <v>79</v>
      </c>
      <c r="Q16">
        <f t="shared" si="0"/>
        <v>13.5</v>
      </c>
      <c r="R16">
        <f t="shared" si="1"/>
        <v>19.5</v>
      </c>
      <c r="S16">
        <f t="shared" si="2"/>
        <v>33</v>
      </c>
      <c r="T16">
        <f t="shared" si="3"/>
        <v>22</v>
      </c>
      <c r="U16">
        <f t="shared" si="4"/>
        <v>13.5</v>
      </c>
      <c r="V16">
        <f t="shared" si="5"/>
        <v>8.5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Foglio1</vt:lpstr>
      <vt:lpstr>PARBS_DIFF_ONLYMIN_STDAUG</vt:lpstr>
      <vt:lpstr>PARBS_DIFF_STDAUG</vt:lpstr>
      <vt:lpstr>PARBS_STDAUG</vt:lpstr>
      <vt:lpstr>PARBS_NOAUG</vt:lpstr>
      <vt:lpstr>MIT_DIFF_ONLYMIN_STDAUG</vt:lpstr>
      <vt:lpstr>MIT_DIFF_STDAUG</vt:lpstr>
      <vt:lpstr>MIT_STDAUG</vt:lpstr>
      <vt:lpstr>MIT_NOAUG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2026-03-28T21:25:16Z</dcterms:modified>
</cp:coreProperties>
</file>