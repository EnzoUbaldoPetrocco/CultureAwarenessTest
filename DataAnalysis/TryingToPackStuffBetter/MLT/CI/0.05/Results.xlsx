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MLT\CI\0.05\"/>
    </mc:Choice>
  </mc:AlternateContent>
  <xr:revisionPtr revIDLastSave="0" documentId="13_ncr:1_{941B6900-6C3E-4465-B6D1-2F4AB2EB79AE}" xr6:coauthVersionLast="47" xr6:coauthVersionMax="47" xr10:uidLastSave="{00000000-0000-0000-0000-000000000000}"/>
  <bookViews>
    <workbookView xWindow="-108" yWindow="-108" windowWidth="23256" windowHeight="12456" firstSheet="6" xr2:uid="{00000000-000D-0000-FFFF-FFFF00000000}"/>
  </bookViews>
  <sheets>
    <sheet name="Foglio1" sheetId="1" r:id="rId1"/>
    <sheet name="MIT_DIFF_ONLYMIN_STDAUG" sheetId="19" r:id="rId2"/>
    <sheet name="PARBS_STDAUG" sheetId="20" r:id="rId3"/>
    <sheet name="MIT_DIFF_ONLYMIN_NOAUG" sheetId="18" r:id="rId4"/>
    <sheet name="MIT_PARBS_DIFF_ONLYMIN_STDAUG" sheetId="17" r:id="rId5"/>
    <sheet name="MIT_PARBS_STDAUG" sheetId="14" r:id="rId6"/>
    <sheet name="MIT_DIFF_STDAUG" sheetId="16" r:id="rId7"/>
    <sheet name="MIT_DIFF_NOAUG" sheetId="15" r:id="rId8"/>
    <sheet name="MIT_STDAUG" sheetId="12" r:id="rId9"/>
    <sheet name="MIT_NOAUG" sheetId="11" r:id="rId10"/>
    <sheet name="MIT_PARBS_NOAUG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7" l="1"/>
  <c r="AE10" i="17"/>
  <c r="AB10" i="17"/>
  <c r="AA10" i="17"/>
  <c r="Z10" i="17"/>
  <c r="Y10" i="17"/>
  <c r="X10" i="17"/>
  <c r="W10" i="17"/>
  <c r="V10" i="17"/>
  <c r="U10" i="17"/>
  <c r="Q10" i="17"/>
  <c r="AC10" i="17" s="1"/>
  <c r="R10" i="17"/>
  <c r="S10" i="17"/>
  <c r="T10" i="17"/>
  <c r="AD10" i="17" s="1"/>
  <c r="Q11" i="17"/>
  <c r="R11" i="17"/>
  <c r="S11" i="17"/>
  <c r="T11" i="17"/>
  <c r="AC11" i="17"/>
  <c r="AD11" i="17"/>
  <c r="Q12" i="17"/>
  <c r="R12" i="17"/>
  <c r="S12" i="17"/>
  <c r="T12" i="17"/>
  <c r="AC12" i="17"/>
  <c r="AD12" i="17"/>
  <c r="AD3" i="20"/>
  <c r="AD2" i="20"/>
  <c r="AC3" i="20"/>
  <c r="Q3" i="20"/>
  <c r="R3" i="20"/>
  <c r="S3" i="20"/>
  <c r="T3" i="20"/>
  <c r="S2" i="20"/>
  <c r="Z2" i="20" s="1"/>
  <c r="R2" i="20"/>
  <c r="X2" i="20" s="1"/>
  <c r="Q2" i="20"/>
  <c r="AC2" i="20" s="1"/>
  <c r="AF10" i="19"/>
  <c r="AE10" i="19"/>
  <c r="AB10" i="19"/>
  <c r="AA10" i="19"/>
  <c r="Z10" i="19"/>
  <c r="Y10" i="19"/>
  <c r="X10" i="19"/>
  <c r="W10" i="19"/>
  <c r="V10" i="19"/>
  <c r="U10" i="19"/>
  <c r="AC10" i="19"/>
  <c r="AD10" i="19"/>
  <c r="AC11" i="19"/>
  <c r="AD11" i="19"/>
  <c r="AC12" i="19"/>
  <c r="AD12" i="19"/>
  <c r="AC13" i="19"/>
  <c r="AD13" i="19"/>
  <c r="Q10" i="19"/>
  <c r="R10" i="19"/>
  <c r="S10" i="19"/>
  <c r="T10" i="19"/>
  <c r="Q11" i="19"/>
  <c r="R11" i="19"/>
  <c r="S11" i="19"/>
  <c r="T11" i="19"/>
  <c r="Q12" i="19"/>
  <c r="R12" i="19"/>
  <c r="S12" i="19"/>
  <c r="T12" i="19"/>
  <c r="Q13" i="19"/>
  <c r="R13" i="19"/>
  <c r="S13" i="19"/>
  <c r="T13" i="19"/>
  <c r="AF11" i="12"/>
  <c r="AE11" i="12"/>
  <c r="AB11" i="12"/>
  <c r="AA11" i="12"/>
  <c r="Z11" i="12"/>
  <c r="Y11" i="12"/>
  <c r="X11" i="12"/>
  <c r="W11" i="12"/>
  <c r="V11" i="12"/>
  <c r="U11" i="12"/>
  <c r="AC11" i="12"/>
  <c r="AD11" i="12" s="1"/>
  <c r="AC12" i="12"/>
  <c r="AD12" i="12"/>
  <c r="AC13" i="12"/>
  <c r="AD13" i="12"/>
  <c r="AC14" i="12"/>
  <c r="AD14" i="12"/>
  <c r="Q11" i="12"/>
  <c r="R11" i="12"/>
  <c r="S11" i="12"/>
  <c r="T11" i="12"/>
  <c r="Q12" i="12"/>
  <c r="R12" i="12"/>
  <c r="S12" i="12"/>
  <c r="T12" i="12"/>
  <c r="Q13" i="12"/>
  <c r="R13" i="12"/>
  <c r="S13" i="12"/>
  <c r="T13" i="12"/>
  <c r="Q14" i="12"/>
  <c r="T14" i="12" s="1"/>
  <c r="R14" i="12"/>
  <c r="S14" i="12"/>
  <c r="Z4" i="19"/>
  <c r="Y4" i="19"/>
  <c r="AA4" i="19"/>
  <c r="AF27" i="16"/>
  <c r="AE27" i="16"/>
  <c r="AB27" i="16"/>
  <c r="AA27" i="16"/>
  <c r="Z27" i="16"/>
  <c r="Y27" i="16"/>
  <c r="X27" i="16"/>
  <c r="W27" i="16"/>
  <c r="V27" i="16"/>
  <c r="U27" i="16"/>
  <c r="AF16" i="16"/>
  <c r="AE16" i="16"/>
  <c r="AB16" i="16"/>
  <c r="AA16" i="16"/>
  <c r="Z16" i="16"/>
  <c r="Y16" i="16"/>
  <c r="X16" i="16"/>
  <c r="W16" i="16"/>
  <c r="V16" i="16"/>
  <c r="U16" i="16"/>
  <c r="U4" i="16"/>
  <c r="AF4" i="17"/>
  <c r="AE4" i="17"/>
  <c r="AB4" i="17"/>
  <c r="AA4" i="17"/>
  <c r="Z4" i="17"/>
  <c r="Y4" i="17"/>
  <c r="X4" i="17"/>
  <c r="W4" i="17"/>
  <c r="V4" i="17"/>
  <c r="U4" i="17"/>
  <c r="Q5" i="17"/>
  <c r="T5" i="17" s="1"/>
  <c r="AD5" i="17" s="1"/>
  <c r="R5" i="17"/>
  <c r="S5" i="17"/>
  <c r="AC5" i="17"/>
  <c r="Q6" i="17"/>
  <c r="T6" i="17" s="1"/>
  <c r="R6" i="17"/>
  <c r="S6" i="17"/>
  <c r="Q7" i="17"/>
  <c r="AC7" i="17" s="1"/>
  <c r="R7" i="17"/>
  <c r="S7" i="17"/>
  <c r="T7" i="17"/>
  <c r="AD7" i="17" s="1"/>
  <c r="AD4" i="17"/>
  <c r="AC4" i="17"/>
  <c r="T4" i="17"/>
  <c r="S4" i="17"/>
  <c r="R4" i="17"/>
  <c r="Q4" i="17"/>
  <c r="AF4" i="19"/>
  <c r="AE4" i="19"/>
  <c r="AB4" i="19"/>
  <c r="X4" i="19"/>
  <c r="W4" i="19"/>
  <c r="V4" i="19"/>
  <c r="U4" i="19"/>
  <c r="Q5" i="19"/>
  <c r="R5" i="19"/>
  <c r="S5" i="19"/>
  <c r="T5" i="19"/>
  <c r="AC5" i="19"/>
  <c r="AD5" i="19"/>
  <c r="Q6" i="19"/>
  <c r="R6" i="19"/>
  <c r="S6" i="19"/>
  <c r="T6" i="19"/>
  <c r="AC6" i="19"/>
  <c r="AD6" i="19"/>
  <c r="Q7" i="19"/>
  <c r="AC7" i="19" s="1"/>
  <c r="R7" i="19"/>
  <c r="S7" i="19"/>
  <c r="T7" i="19"/>
  <c r="AD7" i="19" s="1"/>
  <c r="AD4" i="19"/>
  <c r="AC4" i="19"/>
  <c r="T4" i="19"/>
  <c r="S4" i="19"/>
  <c r="R4" i="19"/>
  <c r="Q4" i="19"/>
  <c r="Q27" i="16"/>
  <c r="R27" i="16"/>
  <c r="S27" i="16"/>
  <c r="T27" i="16"/>
  <c r="AC27" i="16"/>
  <c r="AD27" i="16"/>
  <c r="Q28" i="16"/>
  <c r="R28" i="16"/>
  <c r="S28" i="16"/>
  <c r="T28" i="16"/>
  <c r="AC28" i="16"/>
  <c r="AD28" i="16"/>
  <c r="Q29" i="16"/>
  <c r="T29" i="16" s="1"/>
  <c r="R29" i="16"/>
  <c r="S29" i="16"/>
  <c r="Q30" i="16"/>
  <c r="AC30" i="16" s="1"/>
  <c r="R30" i="16"/>
  <c r="S30" i="16"/>
  <c r="T30" i="16"/>
  <c r="AD30" i="16" s="1"/>
  <c r="Q31" i="16"/>
  <c r="R31" i="16"/>
  <c r="S31" i="16"/>
  <c r="T31" i="16"/>
  <c r="AC31" i="16"/>
  <c r="AD31" i="16"/>
  <c r="Q16" i="16"/>
  <c r="AC16" i="16" s="1"/>
  <c r="R16" i="16"/>
  <c r="S16" i="16"/>
  <c r="T16" i="16"/>
  <c r="AD16" i="16" s="1"/>
  <c r="Q17" i="16"/>
  <c r="R17" i="16"/>
  <c r="S17" i="16"/>
  <c r="T17" i="16"/>
  <c r="AC17" i="16"/>
  <c r="AD17" i="16"/>
  <c r="Q18" i="16"/>
  <c r="R18" i="16"/>
  <c r="S18" i="16"/>
  <c r="T18" i="16"/>
  <c r="AC18" i="16"/>
  <c r="AD18" i="16"/>
  <c r="Q19" i="16"/>
  <c r="T19" i="16" s="1"/>
  <c r="R19" i="16"/>
  <c r="S19" i="16"/>
  <c r="Q20" i="16"/>
  <c r="R20" i="16"/>
  <c r="S20" i="16"/>
  <c r="T20" i="16"/>
  <c r="AC20" i="16"/>
  <c r="AD20" i="16"/>
  <c r="Q21" i="16"/>
  <c r="R21" i="16"/>
  <c r="S21" i="16"/>
  <c r="T21" i="16"/>
  <c r="AC21" i="16"/>
  <c r="AD21" i="16"/>
  <c r="Q22" i="16"/>
  <c r="R22" i="16"/>
  <c r="S22" i="16"/>
  <c r="T22" i="16"/>
  <c r="AC22" i="16"/>
  <c r="AD22" i="16"/>
  <c r="Q23" i="16"/>
  <c r="R23" i="16"/>
  <c r="S23" i="16"/>
  <c r="T23" i="16"/>
  <c r="AC23" i="16"/>
  <c r="AD23" i="16"/>
  <c r="AF4" i="16"/>
  <c r="AE4" i="16"/>
  <c r="AB4" i="16"/>
  <c r="AA4" i="16"/>
  <c r="Z4" i="16"/>
  <c r="Y4" i="16"/>
  <c r="X4" i="16"/>
  <c r="W4" i="16"/>
  <c r="V4" i="16"/>
  <c r="Q5" i="16"/>
  <c r="T5" i="16" s="1"/>
  <c r="R5" i="16"/>
  <c r="S5" i="16"/>
  <c r="Q6" i="16"/>
  <c r="R6" i="16"/>
  <c r="S6" i="16"/>
  <c r="T6" i="16"/>
  <c r="AC6" i="16"/>
  <c r="AD6" i="16"/>
  <c r="Q7" i="16"/>
  <c r="R7" i="16"/>
  <c r="S7" i="16"/>
  <c r="T7" i="16"/>
  <c r="AD7" i="16" s="1"/>
  <c r="AC7" i="16"/>
  <c r="Q8" i="16"/>
  <c r="T8" i="16" s="1"/>
  <c r="R8" i="16"/>
  <c r="AC8" i="16" s="1"/>
  <c r="S8" i="16"/>
  <c r="Q9" i="16"/>
  <c r="R9" i="16"/>
  <c r="S9" i="16"/>
  <c r="T9" i="16"/>
  <c r="AC9" i="16"/>
  <c r="AD9" i="16"/>
  <c r="Q10" i="16"/>
  <c r="T10" i="16" s="1"/>
  <c r="R10" i="16"/>
  <c r="S10" i="16"/>
  <c r="Q11" i="16"/>
  <c r="R11" i="16"/>
  <c r="S11" i="16"/>
  <c r="T11" i="16"/>
  <c r="AC11" i="16"/>
  <c r="AD11" i="16"/>
  <c r="Q12" i="16"/>
  <c r="R12" i="16"/>
  <c r="S12" i="16"/>
  <c r="T12" i="16"/>
  <c r="AC12" i="16"/>
  <c r="AD12" i="16"/>
  <c r="Q13" i="16"/>
  <c r="T13" i="16" s="1"/>
  <c r="R13" i="16"/>
  <c r="S13" i="16"/>
  <c r="AD4" i="16"/>
  <c r="AC4" i="16"/>
  <c r="T4" i="16"/>
  <c r="S4" i="16"/>
  <c r="R4" i="16"/>
  <c r="Q4" i="16"/>
  <c r="AD5" i="12"/>
  <c r="AD6" i="12"/>
  <c r="AD7" i="12"/>
  <c r="AD8" i="12"/>
  <c r="AD9" i="12"/>
  <c r="AD4" i="12"/>
  <c r="AB4" i="12"/>
  <c r="AA4" i="12"/>
  <c r="Z4" i="12"/>
  <c r="Y4" i="12"/>
  <c r="X4" i="12"/>
  <c r="W4" i="12"/>
  <c r="V4" i="12"/>
  <c r="U4" i="12"/>
  <c r="Q5" i="12"/>
  <c r="T5" i="12" s="1"/>
  <c r="R5" i="12"/>
  <c r="S5" i="12"/>
  <c r="Q6" i="12"/>
  <c r="R6" i="12"/>
  <c r="S6" i="12"/>
  <c r="T6" i="12"/>
  <c r="AC6" i="12"/>
  <c r="Q7" i="12"/>
  <c r="R7" i="12"/>
  <c r="AC7" i="12" s="1"/>
  <c r="S7" i="12"/>
  <c r="T7" i="12"/>
  <c r="Q8" i="12"/>
  <c r="R8" i="12"/>
  <c r="S8" i="12"/>
  <c r="T8" i="12"/>
  <c r="AC8" i="12"/>
  <c r="Q9" i="12"/>
  <c r="R9" i="12"/>
  <c r="S9" i="12"/>
  <c r="T9" i="12"/>
  <c r="AC9" i="12"/>
  <c r="AF4" i="14"/>
  <c r="AE4" i="14"/>
  <c r="AB4" i="14"/>
  <c r="AA4" i="14"/>
  <c r="Z4" i="14"/>
  <c r="Y4" i="14"/>
  <c r="X4" i="14"/>
  <c r="W4" i="14"/>
  <c r="V4" i="14"/>
  <c r="U4" i="14"/>
  <c r="Q5" i="14"/>
  <c r="T5" i="14" s="1"/>
  <c r="R5" i="14"/>
  <c r="S5" i="14"/>
  <c r="Q6" i="14"/>
  <c r="R6" i="14"/>
  <c r="S6" i="14"/>
  <c r="T6" i="14"/>
  <c r="AC6" i="14"/>
  <c r="AD6" i="14"/>
  <c r="Q7" i="14"/>
  <c r="R7" i="14"/>
  <c r="S7" i="14"/>
  <c r="T7" i="14"/>
  <c r="AC7" i="14"/>
  <c r="AD7" i="14"/>
  <c r="Q8" i="14"/>
  <c r="R8" i="14"/>
  <c r="S8" i="14"/>
  <c r="T8" i="14"/>
  <c r="AC8" i="14"/>
  <c r="AD8" i="14"/>
  <c r="AD4" i="14"/>
  <c r="AC4" i="14"/>
  <c r="T4" i="14"/>
  <c r="S4" i="14"/>
  <c r="R4" i="14"/>
  <c r="Q4" i="14"/>
  <c r="AF4" i="13"/>
  <c r="AE4" i="13"/>
  <c r="AB4" i="13"/>
  <c r="AA4" i="13"/>
  <c r="Z4" i="13"/>
  <c r="Y4" i="13"/>
  <c r="X4" i="13"/>
  <c r="W4" i="13"/>
  <c r="V4" i="13"/>
  <c r="U4" i="13"/>
  <c r="Q5" i="13"/>
  <c r="R5" i="13"/>
  <c r="S5" i="13"/>
  <c r="T5" i="13"/>
  <c r="AC5" i="13"/>
  <c r="AD5" i="13"/>
  <c r="Q6" i="13"/>
  <c r="R6" i="13"/>
  <c r="S6" i="13"/>
  <c r="T6" i="13"/>
  <c r="AC6" i="13"/>
  <c r="AD6" i="13"/>
  <c r="Q7" i="13"/>
  <c r="AC7" i="13" s="1"/>
  <c r="R7" i="13"/>
  <c r="S7" i="13"/>
  <c r="T7" i="13"/>
  <c r="AD7" i="13" s="1"/>
  <c r="Q8" i="13"/>
  <c r="R8" i="13"/>
  <c r="S8" i="13"/>
  <c r="T8" i="13"/>
  <c r="AC8" i="13"/>
  <c r="AD8" i="13"/>
  <c r="Q9" i="13"/>
  <c r="R9" i="13"/>
  <c r="S9" i="13"/>
  <c r="T9" i="13"/>
  <c r="AC9" i="13"/>
  <c r="AD9" i="13"/>
  <c r="AD4" i="13"/>
  <c r="AF4" i="11"/>
  <c r="AE4" i="11"/>
  <c r="AD5" i="11"/>
  <c r="AD6" i="11"/>
  <c r="AD7" i="11"/>
  <c r="AD8" i="11"/>
  <c r="AD9" i="11"/>
  <c r="AD10" i="11"/>
  <c r="AD4" i="11"/>
  <c r="AB4" i="11"/>
  <c r="AA4" i="11"/>
  <c r="Z4" i="11"/>
  <c r="Y4" i="11"/>
  <c r="X4" i="11"/>
  <c r="W4" i="11"/>
  <c r="V4" i="11"/>
  <c r="U4" i="11"/>
  <c r="Q5" i="11"/>
  <c r="T5" i="11" s="1"/>
  <c r="R5" i="11"/>
  <c r="S5" i="11"/>
  <c r="Q6" i="11"/>
  <c r="T6" i="11" s="1"/>
  <c r="R6" i="11"/>
  <c r="S6" i="11"/>
  <c r="Q7" i="11"/>
  <c r="R7" i="11"/>
  <c r="S7" i="11"/>
  <c r="T7" i="11"/>
  <c r="AC7" i="11"/>
  <c r="Q8" i="11"/>
  <c r="R8" i="11"/>
  <c r="S8" i="11"/>
  <c r="T8" i="11"/>
  <c r="AC8" i="11"/>
  <c r="Q9" i="11"/>
  <c r="R9" i="11"/>
  <c r="S9" i="11"/>
  <c r="T9" i="11"/>
  <c r="AC9" i="11"/>
  <c r="Q10" i="11"/>
  <c r="T10" i="11" s="1"/>
  <c r="R10" i="11"/>
  <c r="S10" i="11"/>
  <c r="AC4" i="11"/>
  <c r="Z4" i="18"/>
  <c r="Y4" i="18"/>
  <c r="X4" i="18"/>
  <c r="W4" i="18"/>
  <c r="V4" i="18"/>
  <c r="U4" i="18"/>
  <c r="Q5" i="18"/>
  <c r="T5" i="18" s="1"/>
  <c r="R5" i="18"/>
  <c r="S5" i="18"/>
  <c r="S4" i="18"/>
  <c r="R4" i="18"/>
  <c r="Q4" i="18"/>
  <c r="AC4" i="18" s="1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R4" i="13"/>
  <c r="Q4" i="13"/>
  <c r="T4" i="13" s="1"/>
  <c r="S4" i="12"/>
  <c r="R4" i="12"/>
  <c r="Q4" i="12"/>
  <c r="AC4" i="12" s="1"/>
  <c r="S4" i="11"/>
  <c r="R4" i="11"/>
  <c r="Q4" i="11"/>
  <c r="T2" i="20" l="1"/>
  <c r="U2" i="20"/>
  <c r="V2" i="20"/>
  <c r="W2" i="20"/>
  <c r="Y2" i="20"/>
  <c r="AC6" i="17"/>
  <c r="AD6" i="17" s="1"/>
  <c r="AC29" i="16"/>
  <c r="AD29" i="16" s="1"/>
  <c r="AC19" i="16"/>
  <c r="AD19" i="16" s="1"/>
  <c r="AD8" i="16"/>
  <c r="AC13" i="16"/>
  <c r="AD13" i="16" s="1"/>
  <c r="AC5" i="16"/>
  <c r="AD5" i="16" s="1"/>
  <c r="AC10" i="16"/>
  <c r="AD10" i="16" s="1"/>
  <c r="AF4" i="12"/>
  <c r="AE4" i="12"/>
  <c r="AC5" i="12"/>
  <c r="AC5" i="14"/>
  <c r="AD5" i="14" s="1"/>
  <c r="AC6" i="11"/>
  <c r="AC5" i="11"/>
  <c r="AC10" i="11"/>
  <c r="AC4" i="13"/>
  <c r="T4" i="12"/>
  <c r="T4" i="11"/>
  <c r="T4" i="15"/>
  <c r="AC4" i="15"/>
  <c r="T4" i="18"/>
  <c r="AC5" i="18"/>
  <c r="AD5" i="18" s="1"/>
  <c r="AB2" i="20" l="1"/>
  <c r="AA2" i="20"/>
  <c r="AD4" i="15"/>
  <c r="AE4" i="15" s="1"/>
  <c r="AB4" i="15"/>
  <c r="AA4" i="15"/>
  <c r="AD4" i="18"/>
  <c r="AB4" i="18"/>
  <c r="AA4" i="18"/>
  <c r="AF2" i="20" l="1"/>
  <c r="AE2" i="20"/>
  <c r="AF4" i="18"/>
  <c r="AE4" i="18"/>
</calcChain>
</file>

<file path=xl/sharedStrings.xml><?xml version="1.0" encoding="utf-8"?>
<sst xmlns="http://schemas.openxmlformats.org/spreadsheetml/2006/main" count="238" uniqueCount="39">
  <si>
    <t>ERR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</si>
  <si>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</si>
  <si>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</si>
  <si>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</si>
  <si>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</si>
  <si>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</si>
  <si>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</si>
  <si>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</si>
  <si>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</si>
  <si>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</si>
  <si>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</si>
  <si>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</si>
  <si>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</si>
  <si>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</si>
  <si>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</si>
  <si>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</si>
  <si>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</si>
  <si>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</si>
  <si>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</si>
  <si>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</si>
  <si>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</si>
  <si>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</si>
  <si>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</si>
  <si>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</si>
  <si>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</si>
  <si>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</si>
  <si>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</si>
  <si>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</si>
  <si>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</si>
  <si>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</si>
  <si>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>MIT</t>
  </si>
  <si>
    <t xml:space="preserve">c1 </t>
  </si>
  <si>
    <t>STDAUG</t>
  </si>
  <si>
    <t>PARBS</t>
  </si>
  <si>
    <t>ONLYMIN</t>
  </si>
  <si>
    <t>g=0.01</t>
  </si>
  <si>
    <t>88,12,19,81</t>
  </si>
  <si>
    <t>try3</t>
  </si>
  <si>
    <t>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</si>
</sst>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/>
  </sheetViews>
  <sheetFormatPr defaultRowHeight="14.4" x14ac:dyDescent="0.3"/>
  <cols>
    <col min="1" max="1" width="9.88671875" customWidth="1"/>
  </cols>
  <sheetData>
    <row r="1" spans="1:16" x14ac:dyDescent="0.3"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0</v>
      </c>
      <c r="N1" t="s">
        <v>14</v>
      </c>
      <c r="O1" t="s">
        <v>16</v>
      </c>
      <c r="P1" t="s">
        <v>17</v>
      </c>
    </row>
    <row r="2" spans="1:16" x14ac:dyDescent="0.3">
      <c r="A2" t="s">
        <v>30</v>
      </c>
    </row>
    <row r="3" spans="1:16" x14ac:dyDescent="0.3">
      <c r="B3" t="s">
        <v>1</v>
      </c>
    </row>
    <row r="4" spans="1:16" x14ac:dyDescent="0.3">
      <c r="C4" t="s">
        <v>2</v>
      </c>
      <c r="G4">
        <v>14.214285714285714</v>
      </c>
      <c r="H4">
        <v>2.0987524639084736</v>
      </c>
      <c r="I4">
        <v>23</v>
      </c>
      <c r="J4">
        <v>2.5495097567963922</v>
      </c>
      <c r="K4">
        <v>31.428571428571427</v>
      </c>
      <c r="L4">
        <v>5.2870011303555522</v>
      </c>
      <c r="M4">
        <v>22.88095238095238</v>
      </c>
      <c r="N4">
        <v>2.2601914981845255</v>
      </c>
      <c r="O4">
        <v>8.6666666666666661</v>
      </c>
      <c r="P4">
        <v>2.0971762320196583</v>
      </c>
    </row>
    <row r="5" spans="1:16" x14ac:dyDescent="0.3">
      <c r="C5" t="s">
        <v>32</v>
      </c>
      <c r="F5" t="s">
        <v>18</v>
      </c>
      <c r="G5">
        <v>14.916666666666666</v>
      </c>
      <c r="H5">
        <v>2.1775368347439388</v>
      </c>
      <c r="I5">
        <v>20.416666666666668</v>
      </c>
      <c r="J5">
        <v>2.4983327774071045</v>
      </c>
      <c r="K5">
        <v>26.416666666666668</v>
      </c>
      <c r="L5">
        <v>1.4288690166235207</v>
      </c>
      <c r="M5">
        <v>20.583333333333332</v>
      </c>
      <c r="N5">
        <v>1.0368220676663862</v>
      </c>
      <c r="O5">
        <v>5.666666666666667</v>
      </c>
      <c r="P5">
        <v>1.7224014243685055</v>
      </c>
    </row>
    <row r="6" spans="1:16" x14ac:dyDescent="0.3">
      <c r="C6" t="s">
        <v>25</v>
      </c>
    </row>
    <row r="7" spans="1:16" x14ac:dyDescent="0.3">
      <c r="D7" t="s">
        <v>32</v>
      </c>
      <c r="F7" t="s">
        <v>18</v>
      </c>
      <c r="G7">
        <v>18.7</v>
      </c>
      <c r="H7">
        <v>2.7748873851023195</v>
      </c>
      <c r="I7">
        <v>18.5</v>
      </c>
      <c r="J7">
        <v>1.541103500742244</v>
      </c>
      <c r="K7">
        <v>27.5</v>
      </c>
      <c r="L7">
        <v>1.2247448713915889</v>
      </c>
      <c r="M7">
        <v>21.566666666666666</v>
      </c>
      <c r="N7">
        <v>1.4841757907262121</v>
      </c>
      <c r="O7">
        <v>3.9666666666666663</v>
      </c>
      <c r="P7">
        <v>0.74907350180814036</v>
      </c>
    </row>
    <row r="8" spans="1:16" x14ac:dyDescent="0.3">
      <c r="F8" t="s">
        <v>37</v>
      </c>
      <c r="G8">
        <v>16.5</v>
      </c>
      <c r="H8">
        <v>0.70710678118654757</v>
      </c>
      <c r="I8">
        <v>17.25</v>
      </c>
      <c r="J8">
        <v>3.378855822118882</v>
      </c>
      <c r="K8">
        <v>31.25</v>
      </c>
      <c r="L8">
        <v>3.1754264805429417</v>
      </c>
      <c r="M8">
        <v>21.6666666666667</v>
      </c>
      <c r="N8">
        <v>2.2730302828309759</v>
      </c>
      <c r="O8">
        <v>5.7916666666666679</v>
      </c>
      <c r="P8">
        <v>1.6007810593582092</v>
      </c>
    </row>
    <row r="9" spans="1:16" x14ac:dyDescent="0.3">
      <c r="D9" t="s">
        <v>34</v>
      </c>
    </row>
    <row r="10" spans="1:16" x14ac:dyDescent="0.3">
      <c r="E10" t="s">
        <v>32</v>
      </c>
      <c r="G10">
        <v>15.625</v>
      </c>
      <c r="H10">
        <v>1.6007810593582121</v>
      </c>
      <c r="I10">
        <v>18.625</v>
      </c>
      <c r="J10">
        <v>2.75</v>
      </c>
      <c r="K10">
        <v>26.625</v>
      </c>
      <c r="L10">
        <v>4.6435439052516774</v>
      </c>
      <c r="M10">
        <v>20.291666666666668</v>
      </c>
      <c r="N10">
        <v>1.8923579255834544</v>
      </c>
      <c r="O10">
        <v>4.791666666666667</v>
      </c>
      <c r="P10">
        <v>1.7393858004948073</v>
      </c>
    </row>
    <row r="11" spans="1:16" x14ac:dyDescent="0.3">
      <c r="F11" t="s">
        <v>37</v>
      </c>
      <c r="G11">
        <v>14.875</v>
      </c>
      <c r="H11">
        <v>4.0697051490249265</v>
      </c>
      <c r="I11">
        <v>16.5</v>
      </c>
      <c r="J11">
        <v>2.2730302828309759</v>
      </c>
      <c r="K11">
        <v>27</v>
      </c>
      <c r="L11">
        <v>3.3416562759605704</v>
      </c>
      <c r="M11">
        <v>19.458333333333332</v>
      </c>
      <c r="N11">
        <v>2.1273135553939757</v>
      </c>
      <c r="O11">
        <v>5.2083333333333304</v>
      </c>
      <c r="P11">
        <v>1.674288129546627</v>
      </c>
    </row>
    <row r="12" spans="1:16" x14ac:dyDescent="0.3">
      <c r="B12" t="s">
        <v>33</v>
      </c>
    </row>
    <row r="13" spans="1:16" x14ac:dyDescent="0.3">
      <c r="C13" t="s">
        <v>2</v>
      </c>
      <c r="G13">
        <v>16.416666666666668</v>
      </c>
      <c r="H13">
        <v>2.8881943609574914</v>
      </c>
      <c r="I13">
        <v>15.416666666666666</v>
      </c>
      <c r="J13">
        <v>1.2812754062521714</v>
      </c>
      <c r="K13">
        <v>29.916666666666668</v>
      </c>
      <c r="L13">
        <v>2.437553418218084</v>
      </c>
      <c r="M13">
        <v>20.583333333333332</v>
      </c>
      <c r="N13">
        <v>1.3570801990548194</v>
      </c>
      <c r="O13">
        <v>5.916666666666667</v>
      </c>
      <c r="P13">
        <v>1.0527741131569135</v>
      </c>
    </row>
    <row r="14" spans="1:16" x14ac:dyDescent="0.3">
      <c r="C14" t="s">
        <v>32</v>
      </c>
      <c r="F14" t="s">
        <v>18</v>
      </c>
      <c r="G14">
        <v>16.8</v>
      </c>
      <c r="H14">
        <v>0.57008771254956903</v>
      </c>
      <c r="I14">
        <v>17.7</v>
      </c>
      <c r="J14">
        <v>1.7175564037317668</v>
      </c>
      <c r="K14">
        <v>28.9</v>
      </c>
      <c r="L14">
        <v>3.8794329482541587</v>
      </c>
      <c r="M14">
        <v>21.133333333333333</v>
      </c>
      <c r="N14">
        <v>1.5696779570628134</v>
      </c>
      <c r="O14">
        <v>4.7333333333333325</v>
      </c>
      <c r="P14">
        <v>0.90215790684828923</v>
      </c>
    </row>
    <row r="16" spans="1:16" x14ac:dyDescent="0.3">
      <c r="C16" t="s">
        <v>25</v>
      </c>
    </row>
    <row r="17" spans="4:16" x14ac:dyDescent="0.3">
      <c r="D17" t="s">
        <v>32</v>
      </c>
      <c r="F17" t="s">
        <v>37</v>
      </c>
      <c r="G17">
        <v>16</v>
      </c>
      <c r="H17">
        <v>0</v>
      </c>
      <c r="I17">
        <v>15.75</v>
      </c>
      <c r="J17">
        <v>4.5961940777125587</v>
      </c>
      <c r="K17">
        <v>30</v>
      </c>
      <c r="L17">
        <v>3.5355339059327378</v>
      </c>
      <c r="M17">
        <v>20.583333333333332</v>
      </c>
      <c r="N17">
        <v>0.35355339059327379</v>
      </c>
      <c r="O17">
        <v>6.3333333333333321</v>
      </c>
      <c r="P17">
        <v>2.1213203435596459</v>
      </c>
    </row>
    <row r="18" spans="4:16" x14ac:dyDescent="0.3">
      <c r="D18" t="s">
        <v>34</v>
      </c>
    </row>
    <row r="19" spans="4:16" x14ac:dyDescent="0.3">
      <c r="E19" t="s">
        <v>32</v>
      </c>
      <c r="G19">
        <v>16.375</v>
      </c>
      <c r="H19">
        <v>3.3008837200563934</v>
      </c>
      <c r="I19">
        <v>20</v>
      </c>
      <c r="J19">
        <v>3.3166247903553998</v>
      </c>
      <c r="K19">
        <v>26.875</v>
      </c>
      <c r="L19">
        <v>1.796988221070652</v>
      </c>
      <c r="M19">
        <v>21.083333333333332</v>
      </c>
      <c r="N19">
        <v>1.5898986690282424</v>
      </c>
      <c r="O19">
        <v>4.708333333333333</v>
      </c>
      <c r="P19">
        <v>2.9071272570854019</v>
      </c>
    </row>
    <row r="20" spans="4:16" x14ac:dyDescent="0.3">
      <c r="F20" t="s">
        <v>37</v>
      </c>
      <c r="G20">
        <v>14.333333333333334</v>
      </c>
      <c r="H20">
        <v>3.2145502536643153</v>
      </c>
      <c r="I20">
        <v>17.166666666666668</v>
      </c>
      <c r="J20">
        <v>1.2583057392117916</v>
      </c>
      <c r="K20">
        <v>26.6666666666667</v>
      </c>
      <c r="L20">
        <v>4.1633319989322564</v>
      </c>
      <c r="M20">
        <v>19.3888888888889</v>
      </c>
      <c r="N20">
        <v>2.4962935487400935</v>
      </c>
      <c r="O20">
        <v>5.0555555555555562</v>
      </c>
      <c r="P20">
        <v>1.3977495139343468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3"/>
  <sheetViews>
    <sheetView workbookViewId="0">
      <selection activeCell="Q2" sqref="Q2: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88</v>
      </c>
      <c r="C4">
        <v>12</v>
      </c>
      <c r="D4">
        <v>16</v>
      </c>
      <c r="E4">
        <v>84</v>
      </c>
      <c r="G4">
        <v>71</v>
      </c>
      <c r="H4">
        <v>29</v>
      </c>
      <c r="I4">
        <v>3</v>
      </c>
      <c r="J4">
        <v>97</v>
      </c>
      <c r="L4">
        <v>71</v>
      </c>
      <c r="M4">
        <v>29</v>
      </c>
      <c r="N4">
        <v>17</v>
      </c>
      <c r="O4">
        <v>83</v>
      </c>
      <c r="Q4">
        <f>AVERAGE(C4:D4)</f>
        <v>14</v>
      </c>
      <c r="R4">
        <f>AVERAGE(H4:I4)</f>
        <v>16</v>
      </c>
      <c r="S4">
        <f>AVERAGE(M4:N4)</f>
        <v>23</v>
      </c>
      <c r="T4">
        <f>AVERAGE(Q4:S4)</f>
        <v>17.666666666666668</v>
      </c>
      <c r="U4">
        <f>AVERAGE(Q4:Q7)</f>
        <v>15.625</v>
      </c>
      <c r="V4">
        <f>_xlfn.STDEV.S(Q4:Q7)</f>
        <v>1.6007810593582121</v>
      </c>
      <c r="W4">
        <f>AVERAGE(R4:R7)</f>
        <v>18.625</v>
      </c>
      <c r="X4">
        <f>_xlfn.STDEV.S(R4:R7)</f>
        <v>2.75</v>
      </c>
      <c r="Y4">
        <f>AVERAGE(S4:S7)</f>
        <v>26.625</v>
      </c>
      <c r="Z4">
        <f>_xlfn.STDEV.S(S4:S7)</f>
        <v>4.6435439052516774</v>
      </c>
      <c r="AA4">
        <f>AVERAGE(T4:T7)</f>
        <v>20.291666666666668</v>
      </c>
      <c r="AB4">
        <f>_xlfn.STDEV.S(T4:T7)</f>
        <v>1.8923579255834544</v>
      </c>
      <c r="AC4">
        <f>MIN(Q4:S4)</f>
        <v>14</v>
      </c>
      <c r="AD4">
        <f>T4-AC4</f>
        <v>3.6666666666666679</v>
      </c>
      <c r="AE4">
        <f>AVERAGE(AD4:AD7)</f>
        <v>4.791666666666667</v>
      </c>
      <c r="AF4">
        <f>_xlfn.STDEV.S(AD4:AD7)</f>
        <v>1.7393858004948073</v>
      </c>
    </row>
    <row r="5" spans="1:32" x14ac:dyDescent="0.3">
      <c r="B5">
        <v>85</v>
      </c>
      <c r="C5">
        <v>15</v>
      </c>
      <c r="D5">
        <v>19</v>
      </c>
      <c r="E5">
        <v>81</v>
      </c>
      <c r="G5">
        <v>75</v>
      </c>
      <c r="H5">
        <v>25</v>
      </c>
      <c r="I5">
        <v>8</v>
      </c>
      <c r="J5">
        <v>92</v>
      </c>
      <c r="L5">
        <v>67</v>
      </c>
      <c r="M5">
        <v>33</v>
      </c>
      <c r="N5">
        <v>31</v>
      </c>
      <c r="O5">
        <v>69</v>
      </c>
      <c r="Q5">
        <f t="shared" ref="Q5:Q7" si="0">AVERAGE(C5:D5)</f>
        <v>17</v>
      </c>
      <c r="R5">
        <f t="shared" ref="R5:R7" si="1">AVERAGE(H5:I5)</f>
        <v>16.5</v>
      </c>
      <c r="S5">
        <f t="shared" ref="S5:S7" si="2">AVERAGE(M5:N5)</f>
        <v>32</v>
      </c>
      <c r="T5">
        <f t="shared" ref="T5:T7" si="3">AVERAGE(Q5:S5)</f>
        <v>21.833333333333332</v>
      </c>
      <c r="AC5">
        <f t="shared" ref="AC5:AC7" si="4">MIN(Q5:S5)</f>
        <v>16.5</v>
      </c>
      <c r="AD5">
        <f t="shared" ref="AD5:AD7" si="5">T5-AC5</f>
        <v>5.3333333333333321</v>
      </c>
    </row>
    <row r="6" spans="1:32" x14ac:dyDescent="0.3">
      <c r="B6">
        <v>87</v>
      </c>
      <c r="C6">
        <v>13</v>
      </c>
      <c r="D6">
        <v>21</v>
      </c>
      <c r="E6">
        <v>79</v>
      </c>
      <c r="G6">
        <v>70</v>
      </c>
      <c r="H6">
        <v>30</v>
      </c>
      <c r="I6">
        <v>12</v>
      </c>
      <c r="J6">
        <v>88</v>
      </c>
      <c r="L6">
        <v>66</v>
      </c>
      <c r="M6">
        <v>34</v>
      </c>
      <c r="N6">
        <v>11</v>
      </c>
      <c r="O6">
        <v>89</v>
      </c>
      <c r="Q6">
        <f t="shared" si="0"/>
        <v>17</v>
      </c>
      <c r="R6">
        <f t="shared" si="1"/>
        <v>21</v>
      </c>
      <c r="S6">
        <f t="shared" si="2"/>
        <v>22.5</v>
      </c>
      <c r="T6">
        <f t="shared" si="3"/>
        <v>20.166666666666668</v>
      </c>
      <c r="AC6">
        <f t="shared" si="4"/>
        <v>17</v>
      </c>
      <c r="AD6">
        <f t="shared" si="5"/>
        <v>3.1666666666666679</v>
      </c>
    </row>
    <row r="7" spans="1:32" x14ac:dyDescent="0.3">
      <c r="A7" t="s">
        <v>20</v>
      </c>
      <c r="B7">
        <v>89</v>
      </c>
      <c r="C7">
        <v>11</v>
      </c>
      <c r="D7">
        <v>18</v>
      </c>
      <c r="E7">
        <v>82</v>
      </c>
      <c r="G7">
        <v>73</v>
      </c>
      <c r="H7">
        <v>27</v>
      </c>
      <c r="I7">
        <v>15</v>
      </c>
      <c r="J7">
        <v>85</v>
      </c>
      <c r="L7">
        <v>68</v>
      </c>
      <c r="M7">
        <v>32</v>
      </c>
      <c r="N7">
        <v>26</v>
      </c>
      <c r="O7">
        <v>74</v>
      </c>
      <c r="Q7">
        <f t="shared" si="0"/>
        <v>14.5</v>
      </c>
      <c r="R7">
        <f t="shared" si="1"/>
        <v>21</v>
      </c>
      <c r="S7">
        <f t="shared" si="2"/>
        <v>29</v>
      </c>
      <c r="T7">
        <f t="shared" si="3"/>
        <v>21.5</v>
      </c>
      <c r="AC7">
        <f t="shared" si="4"/>
        <v>14.5</v>
      </c>
      <c r="AD7">
        <f t="shared" si="5"/>
        <v>7</v>
      </c>
    </row>
    <row r="9" spans="1:32" x14ac:dyDescent="0.3">
      <c r="A9" t="s">
        <v>37</v>
      </c>
    </row>
    <row r="10" spans="1:32" x14ac:dyDescent="0.3">
      <c r="B10">
        <v>84</v>
      </c>
      <c r="C10">
        <v>16</v>
      </c>
      <c r="D10">
        <v>11</v>
      </c>
      <c r="E10">
        <v>89</v>
      </c>
      <c r="G10">
        <v>76</v>
      </c>
      <c r="H10">
        <v>24</v>
      </c>
      <c r="I10">
        <v>6</v>
      </c>
      <c r="J10">
        <v>94</v>
      </c>
      <c r="L10">
        <v>67</v>
      </c>
      <c r="M10">
        <v>33</v>
      </c>
      <c r="N10">
        <v>27</v>
      </c>
      <c r="O10">
        <v>73</v>
      </c>
      <c r="Q10">
        <f t="shared" ref="Q10:Q13" si="6">AVERAGE(C10:D10)</f>
        <v>13.5</v>
      </c>
      <c r="R10">
        <f t="shared" ref="R10:R13" si="7">AVERAGE(H10:I10)</f>
        <v>15</v>
      </c>
      <c r="S10">
        <f t="shared" ref="S10:S13" si="8">AVERAGE(M10:N10)</f>
        <v>30</v>
      </c>
      <c r="T10">
        <f t="shared" ref="T10:T13" si="9">AVERAGE(Q10:S10)</f>
        <v>19.5</v>
      </c>
      <c r="U10">
        <f>AVERAGE(Q10:Q13)</f>
        <v>14.875</v>
      </c>
      <c r="V10">
        <f>_xlfn.STDEV.S(Q10:Q13)</f>
        <v>4.0697051490249265</v>
      </c>
      <c r="W10">
        <f>AVERAGE(R10:R13)</f>
        <v>16.5</v>
      </c>
      <c r="X10">
        <f>_xlfn.STDEV.S(R10:R13)</f>
        <v>2.2730302828309759</v>
      </c>
      <c r="Y10">
        <f>AVERAGE(S10:S13)</f>
        <v>27</v>
      </c>
      <c r="Z10">
        <f>_xlfn.STDEV.S(S10:S13)</f>
        <v>3.3416562759605704</v>
      </c>
      <c r="AA10">
        <f>AVERAGE(T10:T13)</f>
        <v>19.458333333333332</v>
      </c>
      <c r="AB10">
        <f>_xlfn.STDEV.S(T10:T13)</f>
        <v>2.1273135553939757</v>
      </c>
      <c r="AC10">
        <f t="shared" ref="AC10:AC13" si="10">MIN(Q10:S10)</f>
        <v>13.5</v>
      </c>
      <c r="AD10">
        <f t="shared" ref="AD10:AD13" si="11">T10-AC10</f>
        <v>6</v>
      </c>
      <c r="AE10">
        <f>AVERAGE(AD10:AD13)</f>
        <v>5.208333333333333</v>
      </c>
      <c r="AF10">
        <f>_xlfn.STDEV.S(AD10:AD13)</f>
        <v>1.674288129546627</v>
      </c>
    </row>
    <row r="11" spans="1:32" x14ac:dyDescent="0.3">
      <c r="B11">
        <v>87</v>
      </c>
      <c r="C11">
        <v>13</v>
      </c>
      <c r="D11">
        <v>20</v>
      </c>
      <c r="E11">
        <v>80</v>
      </c>
      <c r="G11">
        <v>78</v>
      </c>
      <c r="H11">
        <v>22</v>
      </c>
      <c r="I11">
        <v>17</v>
      </c>
      <c r="J11">
        <v>83</v>
      </c>
      <c r="L11">
        <v>70</v>
      </c>
      <c r="M11">
        <v>30</v>
      </c>
      <c r="N11">
        <v>29</v>
      </c>
      <c r="O11">
        <v>71</v>
      </c>
      <c r="Q11">
        <f t="shared" si="6"/>
        <v>16.5</v>
      </c>
      <c r="R11">
        <f t="shared" si="7"/>
        <v>19.5</v>
      </c>
      <c r="S11">
        <f t="shared" si="8"/>
        <v>29.5</v>
      </c>
      <c r="T11">
        <f t="shared" si="9"/>
        <v>21.833333333333332</v>
      </c>
      <c r="AC11">
        <f t="shared" si="10"/>
        <v>16.5</v>
      </c>
      <c r="AD11">
        <f t="shared" si="11"/>
        <v>5.3333333333333321</v>
      </c>
    </row>
    <row r="12" spans="1:32" x14ac:dyDescent="0.3">
      <c r="B12">
        <v>83</v>
      </c>
      <c r="C12">
        <v>17</v>
      </c>
      <c r="D12">
        <v>22</v>
      </c>
      <c r="E12">
        <v>78</v>
      </c>
      <c r="G12">
        <v>74</v>
      </c>
      <c r="H12">
        <v>26</v>
      </c>
      <c r="I12">
        <v>8</v>
      </c>
      <c r="J12">
        <v>92</v>
      </c>
      <c r="L12">
        <v>72</v>
      </c>
      <c r="M12">
        <v>28</v>
      </c>
      <c r="N12">
        <v>18</v>
      </c>
      <c r="O12">
        <v>82</v>
      </c>
      <c r="Q12">
        <f t="shared" si="6"/>
        <v>19.5</v>
      </c>
      <c r="R12">
        <f t="shared" si="7"/>
        <v>17</v>
      </c>
      <c r="S12">
        <f t="shared" si="8"/>
        <v>23</v>
      </c>
      <c r="T12">
        <f t="shared" si="9"/>
        <v>19.833333333333332</v>
      </c>
      <c r="AC12">
        <f t="shared" si="10"/>
        <v>17</v>
      </c>
      <c r="AD12">
        <f t="shared" si="11"/>
        <v>2.8333333333333321</v>
      </c>
    </row>
    <row r="13" spans="1:32" x14ac:dyDescent="0.3">
      <c r="B13">
        <v>92</v>
      </c>
      <c r="C13">
        <v>8</v>
      </c>
      <c r="D13">
        <v>12</v>
      </c>
      <c r="E13">
        <v>88</v>
      </c>
      <c r="G13">
        <v>79</v>
      </c>
      <c r="H13">
        <v>21</v>
      </c>
      <c r="I13">
        <v>8</v>
      </c>
      <c r="J13">
        <v>92</v>
      </c>
      <c r="L13">
        <v>72</v>
      </c>
      <c r="M13">
        <v>28</v>
      </c>
      <c r="N13">
        <v>23</v>
      </c>
      <c r="O13">
        <v>77</v>
      </c>
      <c r="Q13">
        <f t="shared" si="6"/>
        <v>10</v>
      </c>
      <c r="R13">
        <f t="shared" si="7"/>
        <v>14.5</v>
      </c>
      <c r="S13">
        <f t="shared" si="8"/>
        <v>25.5</v>
      </c>
      <c r="T13">
        <f t="shared" si="9"/>
        <v>16.666666666666668</v>
      </c>
      <c r="AC13">
        <f t="shared" si="10"/>
        <v>10</v>
      </c>
      <c r="AD13">
        <f t="shared" si="11"/>
        <v>6.6666666666666679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1680-B8DF-484F-AD8E-90C5FE6FD057}">
  <dimension ref="B1:AF3"/>
  <sheetViews>
    <sheetView topLeftCell="P1" workbookViewId="0">
      <selection activeCell="AF2" activeCellId="1" sqref="AE2 AF2"/>
    </sheetView>
  </sheetViews>
  <sheetFormatPr defaultRowHeight="14.4" x14ac:dyDescent="0.3"/>
  <sheetData>
    <row r="1" spans="2:32" x14ac:dyDescent="0.3">
      <c r="Q1" t="s">
        <v>9</v>
      </c>
      <c r="R1" t="s">
        <v>10</v>
      </c>
      <c r="S1" t="s">
        <v>11</v>
      </c>
      <c r="T1" t="s">
        <v>13</v>
      </c>
      <c r="U1" t="s">
        <v>27</v>
      </c>
      <c r="V1" t="s">
        <v>22</v>
      </c>
      <c r="W1" t="s">
        <v>28</v>
      </c>
      <c r="X1" t="s">
        <v>23</v>
      </c>
      <c r="Y1" t="s">
        <v>29</v>
      </c>
      <c r="Z1" t="s">
        <v>24</v>
      </c>
      <c r="AA1" t="s">
        <v>0</v>
      </c>
      <c r="AB1" t="s">
        <v>14</v>
      </c>
      <c r="AC1" t="s">
        <v>15</v>
      </c>
      <c r="AD1" t="s">
        <v>12</v>
      </c>
      <c r="AE1" t="s">
        <v>16</v>
      </c>
      <c r="AF1" t="s">
        <v>17</v>
      </c>
    </row>
    <row r="2" spans="2:32" x14ac:dyDescent="0.3">
      <c r="B2">
        <v>81</v>
      </c>
      <c r="C2">
        <v>19</v>
      </c>
      <c r="D2">
        <v>13</v>
      </c>
      <c r="E2">
        <v>87</v>
      </c>
      <c r="G2">
        <v>78</v>
      </c>
      <c r="H2">
        <v>22</v>
      </c>
      <c r="I2">
        <v>3</v>
      </c>
      <c r="J2">
        <v>97</v>
      </c>
      <c r="L2">
        <v>65</v>
      </c>
      <c r="M2">
        <v>35</v>
      </c>
      <c r="N2">
        <v>30</v>
      </c>
      <c r="O2">
        <v>70</v>
      </c>
      <c r="Q2">
        <f>AVERAGE(C2,D2)</f>
        <v>16</v>
      </c>
      <c r="R2">
        <f>AVERAGE(H2,I2)</f>
        <v>12.5</v>
      </c>
      <c r="S2">
        <f>AVERAGE(M2,N2)</f>
        <v>32.5</v>
      </c>
      <c r="T2">
        <f>AVERAGE(Q2:S2)</f>
        <v>20.333333333333332</v>
      </c>
      <c r="U2">
        <f>AVERAGE(Q2,Q3)</f>
        <v>16</v>
      </c>
      <c r="V2">
        <f>_xlfn.STDEV.S(Q2,Q3)</f>
        <v>0</v>
      </c>
      <c r="W2">
        <f>AVERAGE(R2,R3)</f>
        <v>15.75</v>
      </c>
      <c r="X2">
        <f>_xlfn.STDEV.S(R2,R3)</f>
        <v>4.5961940777125587</v>
      </c>
      <c r="Y2">
        <f>AVERAGE(S2,S3)</f>
        <v>30</v>
      </c>
      <c r="Z2">
        <f>_xlfn.STDEV.S(S2,S3)</f>
        <v>3.5355339059327378</v>
      </c>
      <c r="AA2">
        <f>AVERAGE(T2,T3)</f>
        <v>20.583333333333332</v>
      </c>
      <c r="AB2">
        <f>_xlfn.STDEV.S(T2,T3)</f>
        <v>0.35355339059327379</v>
      </c>
      <c r="AC2">
        <f>MIN(Q2:S2)</f>
        <v>12.5</v>
      </c>
      <c r="AD2">
        <f>(T2-AC2)</f>
        <v>7.8333333333333321</v>
      </c>
      <c r="AE2">
        <f>AVERAGE(AD2,AD3)</f>
        <v>6.3333333333333321</v>
      </c>
      <c r="AF2">
        <f>_xlfn.STDEV.S(AD2,AD3)</f>
        <v>2.1213203435596459</v>
      </c>
    </row>
    <row r="3" spans="2:32" x14ac:dyDescent="0.3">
      <c r="B3">
        <v>88</v>
      </c>
      <c r="C3">
        <v>12</v>
      </c>
      <c r="D3">
        <v>20</v>
      </c>
      <c r="E3">
        <v>80</v>
      </c>
      <c r="G3">
        <v>80</v>
      </c>
      <c r="H3">
        <v>20</v>
      </c>
      <c r="I3">
        <v>18</v>
      </c>
      <c r="J3">
        <v>82</v>
      </c>
      <c r="L3">
        <v>72</v>
      </c>
      <c r="M3">
        <v>28</v>
      </c>
      <c r="N3">
        <v>27</v>
      </c>
      <c r="O3">
        <v>73</v>
      </c>
      <c r="Q3">
        <f>AVERAGE(C3,D3)</f>
        <v>16</v>
      </c>
      <c r="R3">
        <f>AVERAGE(H3,I3)</f>
        <v>19</v>
      </c>
      <c r="S3">
        <f>AVERAGE(M3,N3)</f>
        <v>27.5</v>
      </c>
      <c r="T3">
        <f>AVERAGE(Q3:S3)</f>
        <v>20.833333333333332</v>
      </c>
      <c r="AC3">
        <f>MIN(Q3:S3)</f>
        <v>16</v>
      </c>
      <c r="AD3">
        <f>(T3-AC3)</f>
        <v>4.8333333333333321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5"/>
  <sheetViews>
    <sheetView topLeftCell="N1" workbookViewId="0">
      <selection activeCell="Q2" sqref="Q2:AF2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_xlfn.STDEV.S(AD4,AD5)</f>
        <v>#DIV/0!</v>
      </c>
    </row>
    <row r="5" spans="1:32" x14ac:dyDescent="0.3">
      <c r="Q5" t="e">
        <f>AVERAGE(C5,D5)</f>
        <v>#DIV/0!</v>
      </c>
      <c r="R5" t="e">
        <f>AVERAGE(H5,I5)</f>
        <v>#DIV/0!</v>
      </c>
      <c r="S5" t="e">
        <f>AVERAGE(M5,N5)</f>
        <v>#DIV/0!</v>
      </c>
      <c r="T5" t="e">
        <f>AVERAGE(Q5:S5)</f>
        <v>#DIV/0!</v>
      </c>
      <c r="AC5" t="e">
        <f>MIN(Q5:S5)</f>
        <v>#DIV/0!</v>
      </c>
      <c r="AD5" t="e">
        <f>(1/3)*(T5-AC5)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2"/>
  <sheetViews>
    <sheetView topLeftCell="J1" workbookViewId="0">
      <selection activeCell="AF10" activeCellId="2" sqref="U10:AB10 AE10 AF10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80</v>
      </c>
      <c r="C4">
        <v>20</v>
      </c>
      <c r="D4">
        <v>20</v>
      </c>
      <c r="E4">
        <v>80</v>
      </c>
      <c r="G4">
        <v>66</v>
      </c>
      <c r="H4">
        <v>34</v>
      </c>
      <c r="I4">
        <v>11</v>
      </c>
      <c r="J4">
        <v>89</v>
      </c>
      <c r="L4">
        <v>73</v>
      </c>
      <c r="M4">
        <v>27</v>
      </c>
      <c r="N4">
        <v>25</v>
      </c>
      <c r="O4">
        <v>75</v>
      </c>
      <c r="Q4">
        <f>AVERAGE(C4:D4)</f>
        <v>20</v>
      </c>
      <c r="R4">
        <f>AVERAGE(H4:I4)</f>
        <v>22.5</v>
      </c>
      <c r="S4">
        <f>AVERAGE(M4:N4)</f>
        <v>26</v>
      </c>
      <c r="T4">
        <f>AVERAGE(Q4:S4)</f>
        <v>22.833333333333332</v>
      </c>
      <c r="U4">
        <f>AVERAGE(Q4:Q7)</f>
        <v>16.375</v>
      </c>
      <c r="V4">
        <f>_xlfn.STDEV.S(Q4:Q7)</f>
        <v>3.3008837200563934</v>
      </c>
      <c r="W4">
        <f>AVERAGE(R4:R7)</f>
        <v>20</v>
      </c>
      <c r="X4">
        <f>_xlfn.STDEV.S(R4:R7)</f>
        <v>3.3166247903553998</v>
      </c>
      <c r="Y4">
        <f>AVERAGE(S4:S7)</f>
        <v>26.875</v>
      </c>
      <c r="Z4">
        <f>_xlfn.STDEV.S(S4:S7)</f>
        <v>1.796988221070652</v>
      </c>
      <c r="AA4">
        <f>AVERAGE(T4:T7)</f>
        <v>21.083333333333332</v>
      </c>
      <c r="AB4">
        <f>_xlfn.STDEV.S(T4:T7)</f>
        <v>1.5898986690282424</v>
      </c>
      <c r="AC4">
        <f>MIN(Q4:S4)</f>
        <v>20</v>
      </c>
      <c r="AD4">
        <f>T4-AC4</f>
        <v>2.8333333333333321</v>
      </c>
      <c r="AE4">
        <f>AVERAGE(AD4:AD7)</f>
        <v>4.708333333333333</v>
      </c>
      <c r="AF4">
        <f>_xlfn.STDEV.S(AD4:AD7)</f>
        <v>2.9071272570854019</v>
      </c>
    </row>
    <row r="5" spans="1:32" x14ac:dyDescent="0.3">
      <c r="B5">
        <v>87</v>
      </c>
      <c r="C5">
        <v>13</v>
      </c>
      <c r="D5">
        <v>17</v>
      </c>
      <c r="E5">
        <v>83</v>
      </c>
      <c r="G5">
        <v>78</v>
      </c>
      <c r="H5">
        <v>22</v>
      </c>
      <c r="I5">
        <v>9</v>
      </c>
      <c r="J5">
        <v>91</v>
      </c>
      <c r="L5">
        <v>78</v>
      </c>
      <c r="M5">
        <v>22</v>
      </c>
      <c r="N5">
        <v>31</v>
      </c>
      <c r="O5">
        <v>69</v>
      </c>
      <c r="Q5">
        <f t="shared" ref="Q5:Q7" si="0">AVERAGE(C5:D5)</f>
        <v>15</v>
      </c>
      <c r="R5">
        <f t="shared" ref="R5:R7" si="1">AVERAGE(H5:I5)</f>
        <v>15.5</v>
      </c>
      <c r="S5">
        <f t="shared" ref="S5:S7" si="2">AVERAGE(M5:N5)</f>
        <v>26.5</v>
      </c>
      <c r="T5">
        <f t="shared" ref="T5:T7" si="3">AVERAGE(Q5:S5)</f>
        <v>19</v>
      </c>
      <c r="AC5">
        <f t="shared" ref="AC5:AC7" si="4">MIN(Q5:S5)</f>
        <v>15</v>
      </c>
      <c r="AD5">
        <f t="shared" ref="AD5:AD7" si="5">T5-AC5</f>
        <v>4</v>
      </c>
    </row>
    <row r="6" spans="1:32" x14ac:dyDescent="0.3">
      <c r="B6">
        <v>88</v>
      </c>
      <c r="C6">
        <v>12</v>
      </c>
      <c r="D6">
        <v>13</v>
      </c>
      <c r="E6">
        <v>87</v>
      </c>
      <c r="G6">
        <v>70</v>
      </c>
      <c r="H6">
        <v>30</v>
      </c>
      <c r="I6">
        <v>15</v>
      </c>
      <c r="J6">
        <v>85</v>
      </c>
      <c r="L6">
        <v>67</v>
      </c>
      <c r="M6">
        <v>33</v>
      </c>
      <c r="N6">
        <v>26</v>
      </c>
      <c r="O6">
        <v>74</v>
      </c>
      <c r="Q6">
        <f t="shared" si="0"/>
        <v>12.5</v>
      </c>
      <c r="R6">
        <f t="shared" si="1"/>
        <v>22.5</v>
      </c>
      <c r="S6">
        <f t="shared" si="2"/>
        <v>29.5</v>
      </c>
      <c r="T6">
        <f t="shared" si="3"/>
        <v>21.5</v>
      </c>
      <c r="AC6">
        <f t="shared" si="4"/>
        <v>12.5</v>
      </c>
      <c r="AD6">
        <f t="shared" si="5"/>
        <v>9</v>
      </c>
    </row>
    <row r="7" spans="1:32" x14ac:dyDescent="0.3">
      <c r="A7" t="s">
        <v>20</v>
      </c>
      <c r="B7">
        <v>86</v>
      </c>
      <c r="C7">
        <v>14</v>
      </c>
      <c r="D7">
        <v>22</v>
      </c>
      <c r="E7">
        <v>78</v>
      </c>
      <c r="G7">
        <v>77</v>
      </c>
      <c r="H7">
        <v>23</v>
      </c>
      <c r="I7">
        <v>16</v>
      </c>
      <c r="J7">
        <v>84</v>
      </c>
      <c r="L7">
        <v>77</v>
      </c>
      <c r="M7">
        <v>23</v>
      </c>
      <c r="N7">
        <v>28</v>
      </c>
      <c r="O7">
        <v>72</v>
      </c>
      <c r="Q7">
        <f t="shared" si="0"/>
        <v>18</v>
      </c>
      <c r="R7">
        <f t="shared" si="1"/>
        <v>19.5</v>
      </c>
      <c r="S7">
        <f t="shared" si="2"/>
        <v>25.5</v>
      </c>
      <c r="T7">
        <f t="shared" si="3"/>
        <v>21</v>
      </c>
      <c r="AC7">
        <f t="shared" si="4"/>
        <v>18</v>
      </c>
      <c r="AD7">
        <f t="shared" si="5"/>
        <v>3</v>
      </c>
    </row>
    <row r="9" spans="1:32" x14ac:dyDescent="0.3">
      <c r="A9" t="s">
        <v>38</v>
      </c>
    </row>
    <row r="10" spans="1:32" x14ac:dyDescent="0.3">
      <c r="B10">
        <v>94</v>
      </c>
      <c r="C10">
        <v>6</v>
      </c>
      <c r="D10">
        <v>18</v>
      </c>
      <c r="E10">
        <v>82</v>
      </c>
      <c r="G10">
        <v>79</v>
      </c>
      <c r="H10">
        <v>21</v>
      </c>
      <c r="I10">
        <v>11</v>
      </c>
      <c r="J10">
        <v>89</v>
      </c>
      <c r="L10">
        <v>60</v>
      </c>
      <c r="M10">
        <v>40</v>
      </c>
      <c r="N10">
        <v>16</v>
      </c>
      <c r="O10">
        <v>84</v>
      </c>
      <c r="Q10">
        <f t="shared" ref="Q10:Q12" si="6">AVERAGE(C10:D10)</f>
        <v>12</v>
      </c>
      <c r="R10">
        <f t="shared" ref="R10:R12" si="7">AVERAGE(H10:I10)</f>
        <v>16</v>
      </c>
      <c r="S10">
        <f t="shared" ref="S10:S12" si="8">AVERAGE(M10:N10)</f>
        <v>28</v>
      </c>
      <c r="T10">
        <f t="shared" ref="T10:T12" si="9">AVERAGE(Q10:S10)</f>
        <v>18.666666666666668</v>
      </c>
      <c r="U10">
        <f>AVERAGE(Q10:Q13)</f>
        <v>14.333333333333334</v>
      </c>
      <c r="V10">
        <f>_xlfn.STDEV.S(Q10:Q13)</f>
        <v>3.2145502536643153</v>
      </c>
      <c r="W10">
        <f>AVERAGE(R10:R13)</f>
        <v>17.166666666666668</v>
      </c>
      <c r="X10">
        <f>_xlfn.STDEV.S(R10:R13)</f>
        <v>1.2583057392117916</v>
      </c>
      <c r="Y10">
        <f>AVERAGE(S10:S13)</f>
        <v>26.666666666666668</v>
      </c>
      <c r="Z10">
        <f>_xlfn.STDEV.S(S10:S13)</f>
        <v>4.1633319989322564</v>
      </c>
      <c r="AA10">
        <f>AVERAGE(T10:T13)</f>
        <v>19.388888888888889</v>
      </c>
      <c r="AB10">
        <f>_xlfn.STDEV.S(T10:T13)</f>
        <v>2.4962935487400935</v>
      </c>
      <c r="AC10">
        <f t="shared" ref="AC10:AC12" si="10">MIN(Q10:S10)</f>
        <v>12</v>
      </c>
      <c r="AD10">
        <f t="shared" ref="AD10:AD12" si="11">T10-AC10</f>
        <v>6.6666666666666679</v>
      </c>
      <c r="AE10">
        <f>AVERAGE(AD10:AD13)</f>
        <v>5.0555555555555562</v>
      </c>
      <c r="AF10">
        <f>_xlfn.STDEV.S(AD10:AD13)</f>
        <v>1.3977495139343468</v>
      </c>
    </row>
    <row r="11" spans="1:32" x14ac:dyDescent="0.3">
      <c r="B11">
        <v>86</v>
      </c>
      <c r="C11">
        <v>14</v>
      </c>
      <c r="D11">
        <v>22</v>
      </c>
      <c r="E11">
        <v>78</v>
      </c>
      <c r="G11">
        <v>81</v>
      </c>
      <c r="H11">
        <v>19</v>
      </c>
      <c r="I11">
        <v>18</v>
      </c>
      <c r="J11">
        <v>82</v>
      </c>
      <c r="L11">
        <v>78</v>
      </c>
      <c r="M11">
        <v>22</v>
      </c>
      <c r="N11">
        <v>38</v>
      </c>
      <c r="O11">
        <v>62</v>
      </c>
      <c r="Q11">
        <f t="shared" si="6"/>
        <v>18</v>
      </c>
      <c r="R11">
        <f t="shared" si="7"/>
        <v>18.5</v>
      </c>
      <c r="S11">
        <f t="shared" si="8"/>
        <v>30</v>
      </c>
      <c r="T11">
        <f t="shared" si="9"/>
        <v>22.166666666666668</v>
      </c>
      <c r="AC11">
        <f t="shared" si="10"/>
        <v>18</v>
      </c>
      <c r="AD11">
        <f t="shared" si="11"/>
        <v>4.1666666666666679</v>
      </c>
    </row>
    <row r="12" spans="1:32" x14ac:dyDescent="0.3">
      <c r="B12">
        <v>91</v>
      </c>
      <c r="C12">
        <v>9</v>
      </c>
      <c r="D12">
        <v>17</v>
      </c>
      <c r="E12">
        <v>83</v>
      </c>
      <c r="G12">
        <v>79</v>
      </c>
      <c r="H12">
        <v>21</v>
      </c>
      <c r="I12">
        <v>13</v>
      </c>
      <c r="J12">
        <v>87</v>
      </c>
      <c r="L12">
        <v>74</v>
      </c>
      <c r="M12">
        <v>26</v>
      </c>
      <c r="N12">
        <v>18</v>
      </c>
      <c r="O12">
        <v>82</v>
      </c>
      <c r="Q12">
        <f t="shared" si="6"/>
        <v>13</v>
      </c>
      <c r="R12">
        <f t="shared" si="7"/>
        <v>17</v>
      </c>
      <c r="S12">
        <f t="shared" si="8"/>
        <v>22</v>
      </c>
      <c r="T12">
        <f t="shared" si="9"/>
        <v>17.333333333333332</v>
      </c>
      <c r="AC12">
        <f t="shared" si="10"/>
        <v>13</v>
      </c>
      <c r="AD12">
        <f t="shared" si="11"/>
        <v>4.3333333333333321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8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91</v>
      </c>
      <c r="C4">
        <v>9</v>
      </c>
      <c r="D4">
        <v>24</v>
      </c>
      <c r="E4">
        <v>76</v>
      </c>
      <c r="G4">
        <v>81</v>
      </c>
      <c r="H4">
        <v>19</v>
      </c>
      <c r="I4">
        <v>15</v>
      </c>
      <c r="J4">
        <v>85</v>
      </c>
      <c r="L4">
        <v>72</v>
      </c>
      <c r="M4">
        <v>28</v>
      </c>
      <c r="N4">
        <v>34</v>
      </c>
      <c r="O4">
        <v>66</v>
      </c>
      <c r="Q4">
        <f>AVERAGE(C4:D4)</f>
        <v>16.5</v>
      </c>
      <c r="R4">
        <f>AVERAGE(H4:I4)</f>
        <v>17</v>
      </c>
      <c r="S4">
        <f>AVERAGE(M4:N4)</f>
        <v>31</v>
      </c>
      <c r="T4">
        <f>AVERAGE(Q4:S4)</f>
        <v>21.5</v>
      </c>
      <c r="U4">
        <f>AVERAGE(Q4:Q8)</f>
        <v>16.8</v>
      </c>
      <c r="V4">
        <f>_xlfn.STDEV.S(Q4:Q8)</f>
        <v>0.57008771254956903</v>
      </c>
      <c r="W4">
        <f>AVERAGE(R4:R8)</f>
        <v>17.7</v>
      </c>
      <c r="X4">
        <f>_xlfn.STDEV.S(R4:R8)</f>
        <v>1.7175564037317668</v>
      </c>
      <c r="Y4">
        <f>AVERAGE(S4:S8)</f>
        <v>28.9</v>
      </c>
      <c r="Z4">
        <f>_xlfn.STDEV.S(S4:S8)</f>
        <v>3.8794329482541587</v>
      </c>
      <c r="AA4">
        <f>AVERAGE(T4:T8)</f>
        <v>21.133333333333333</v>
      </c>
      <c r="AB4">
        <f>_xlfn.STDEV.S(T4:T8)</f>
        <v>1.5696779570628134</v>
      </c>
      <c r="AC4">
        <f>MIN(Q4:S4)</f>
        <v>16.5</v>
      </c>
      <c r="AD4">
        <f>T4-AC4</f>
        <v>5</v>
      </c>
      <c r="AE4">
        <f>AVERAGE(AD4:AD8)</f>
        <v>4.7333333333333325</v>
      </c>
      <c r="AF4">
        <f>_xlfn.STDEV.S(AD4:AD8)</f>
        <v>0.90215790684828923</v>
      </c>
    </row>
    <row r="5" spans="1:32" x14ac:dyDescent="0.3">
      <c r="B5">
        <v>86</v>
      </c>
      <c r="C5">
        <v>14</v>
      </c>
      <c r="D5">
        <v>21</v>
      </c>
      <c r="E5">
        <v>79</v>
      </c>
      <c r="G5">
        <v>69</v>
      </c>
      <c r="H5">
        <v>31</v>
      </c>
      <c r="I5">
        <v>6</v>
      </c>
      <c r="J5">
        <v>94</v>
      </c>
      <c r="L5">
        <v>64</v>
      </c>
      <c r="M5">
        <v>36</v>
      </c>
      <c r="N5">
        <v>26</v>
      </c>
      <c r="O5">
        <v>74</v>
      </c>
      <c r="Q5">
        <f t="shared" ref="Q5:Q8" si="0">AVERAGE(C5:D5)</f>
        <v>17.5</v>
      </c>
      <c r="R5">
        <f t="shared" ref="R5:R8" si="1">AVERAGE(H5:I5)</f>
        <v>18.5</v>
      </c>
      <c r="S5">
        <f t="shared" ref="S5:S8" si="2">AVERAGE(M5:N5)</f>
        <v>31</v>
      </c>
      <c r="T5">
        <f t="shared" ref="T5:T8" si="3">AVERAGE(Q5:S5)</f>
        <v>22.333333333333332</v>
      </c>
      <c r="AC5">
        <f t="shared" ref="AC5:AC8" si="4">MIN(Q5:S5)</f>
        <v>17.5</v>
      </c>
      <c r="AD5">
        <f t="shared" ref="AD5:AD8" si="5">T5-AC5</f>
        <v>4.8333333333333321</v>
      </c>
    </row>
    <row r="6" spans="1:32" x14ac:dyDescent="0.3">
      <c r="B6">
        <v>86</v>
      </c>
      <c r="C6">
        <v>14</v>
      </c>
      <c r="D6">
        <v>20</v>
      </c>
      <c r="E6">
        <v>80</v>
      </c>
      <c r="G6">
        <v>73</v>
      </c>
      <c r="H6">
        <v>27</v>
      </c>
      <c r="I6">
        <v>3</v>
      </c>
      <c r="J6">
        <v>97</v>
      </c>
      <c r="L6">
        <v>73</v>
      </c>
      <c r="M6">
        <v>27</v>
      </c>
      <c r="N6">
        <v>27</v>
      </c>
      <c r="O6">
        <v>73</v>
      </c>
      <c r="Q6">
        <f t="shared" si="0"/>
        <v>17</v>
      </c>
      <c r="R6">
        <f t="shared" si="1"/>
        <v>15</v>
      </c>
      <c r="S6">
        <f t="shared" si="2"/>
        <v>27</v>
      </c>
      <c r="T6">
        <f t="shared" si="3"/>
        <v>19.666666666666668</v>
      </c>
      <c r="AC6">
        <f t="shared" si="4"/>
        <v>15</v>
      </c>
      <c r="AD6">
        <f t="shared" si="5"/>
        <v>4.6666666666666679</v>
      </c>
    </row>
    <row r="7" spans="1:32" x14ac:dyDescent="0.3">
      <c r="B7">
        <v>87</v>
      </c>
      <c r="C7">
        <v>13</v>
      </c>
      <c r="D7">
        <v>19</v>
      </c>
      <c r="E7">
        <v>81</v>
      </c>
      <c r="G7">
        <v>66</v>
      </c>
      <c r="H7">
        <v>34</v>
      </c>
      <c r="I7">
        <v>4</v>
      </c>
      <c r="J7">
        <v>96</v>
      </c>
      <c r="L7">
        <v>70</v>
      </c>
      <c r="M7">
        <v>30</v>
      </c>
      <c r="N7">
        <v>16</v>
      </c>
      <c r="O7">
        <v>84</v>
      </c>
      <c r="Q7">
        <f t="shared" si="0"/>
        <v>16</v>
      </c>
      <c r="R7">
        <f t="shared" si="1"/>
        <v>19</v>
      </c>
      <c r="S7">
        <f t="shared" si="2"/>
        <v>23</v>
      </c>
      <c r="T7">
        <f t="shared" si="3"/>
        <v>19.333333333333332</v>
      </c>
      <c r="AC7">
        <f t="shared" si="4"/>
        <v>16</v>
      </c>
      <c r="AD7">
        <f t="shared" si="5"/>
        <v>3.3333333333333321</v>
      </c>
    </row>
    <row r="8" spans="1:32" x14ac:dyDescent="0.3">
      <c r="B8">
        <v>88</v>
      </c>
      <c r="C8">
        <v>12</v>
      </c>
      <c r="D8">
        <v>22</v>
      </c>
      <c r="E8">
        <v>78</v>
      </c>
      <c r="G8">
        <v>73</v>
      </c>
      <c r="H8">
        <v>27</v>
      </c>
      <c r="I8">
        <v>11</v>
      </c>
      <c r="J8">
        <v>89</v>
      </c>
      <c r="L8">
        <v>52</v>
      </c>
      <c r="M8">
        <v>48</v>
      </c>
      <c r="N8">
        <v>17</v>
      </c>
      <c r="O8">
        <v>83</v>
      </c>
      <c r="Q8">
        <f t="shared" si="0"/>
        <v>17</v>
      </c>
      <c r="R8">
        <f t="shared" si="1"/>
        <v>19</v>
      </c>
      <c r="S8">
        <f t="shared" si="2"/>
        <v>32.5</v>
      </c>
      <c r="T8">
        <f t="shared" si="3"/>
        <v>22.833333333333332</v>
      </c>
      <c r="AC8">
        <f t="shared" si="4"/>
        <v>17</v>
      </c>
      <c r="AD8">
        <f t="shared" si="5"/>
        <v>5.8333333333333321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31"/>
  <sheetViews>
    <sheetView topLeftCell="K8" workbookViewId="0">
      <selection activeCell="AF27" activeCellId="2" sqref="U27:AB27 AE27 AF27"/>
    </sheetView>
  </sheetViews>
  <sheetFormatPr defaultRowHeight="14.4" x14ac:dyDescent="0.3"/>
  <sheetData>
    <row r="2" spans="1:32" x14ac:dyDescent="0.3">
      <c r="A2" t="s">
        <v>26</v>
      </c>
      <c r="B2" t="s">
        <v>18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86</v>
      </c>
      <c r="C4">
        <v>14</v>
      </c>
      <c r="D4">
        <v>19</v>
      </c>
      <c r="E4">
        <v>81</v>
      </c>
      <c r="G4">
        <v>80</v>
      </c>
      <c r="H4">
        <v>20</v>
      </c>
      <c r="I4">
        <v>16</v>
      </c>
      <c r="J4">
        <v>84</v>
      </c>
      <c r="L4">
        <v>83</v>
      </c>
      <c r="M4">
        <v>17</v>
      </c>
      <c r="N4">
        <v>28</v>
      </c>
      <c r="O4">
        <v>72</v>
      </c>
      <c r="Q4">
        <f>AVERAGE(C4:D4)</f>
        <v>16.5</v>
      </c>
      <c r="R4">
        <f>AVERAGE(H4:I4)</f>
        <v>18</v>
      </c>
      <c r="S4">
        <f>AVERAGE(M4:N4)</f>
        <v>22.5</v>
      </c>
      <c r="T4">
        <f>AVERAGE(Q4:S4)</f>
        <v>19</v>
      </c>
      <c r="U4">
        <f>AVERAGE(Q4:Q13)</f>
        <v>15.05</v>
      </c>
      <c r="V4">
        <f>_xlfn.STDEV.S(Q4:Q13)</f>
        <v>1.571446608843089</v>
      </c>
      <c r="W4">
        <f>AVERAGE(R4:R13)</f>
        <v>19.8</v>
      </c>
      <c r="X4">
        <f>_xlfn.STDEV.S(R4:R13)</f>
        <v>2.9925834249951238</v>
      </c>
      <c r="Y4">
        <f>AVERAGE(S4:S13)</f>
        <v>27.35</v>
      </c>
      <c r="Z4">
        <f>_xlfn.STDEV.S(S4:S13)</f>
        <v>3.1976553910638899</v>
      </c>
      <c r="AA4">
        <f>AVERAGE(T4:T13)</f>
        <v>20.733333333333334</v>
      </c>
      <c r="AB4">
        <f>_xlfn.STDEV.S(T4:T13)</f>
        <v>1.2794674818208691</v>
      </c>
      <c r="AC4">
        <f>MIN(Q4:S4)</f>
        <v>16.5</v>
      </c>
      <c r="AD4">
        <f>T4-AC4</f>
        <v>2.5</v>
      </c>
      <c r="AE4">
        <f>AVERAGE(AD4:AD13)</f>
        <v>5.6833333333333327</v>
      </c>
      <c r="AF4">
        <f>_xlfn.STDEV.S(AD4:AD13)</f>
        <v>1.780293359096877</v>
      </c>
    </row>
    <row r="5" spans="1:32" x14ac:dyDescent="0.3">
      <c r="B5">
        <v>91</v>
      </c>
      <c r="C5">
        <v>9</v>
      </c>
      <c r="D5">
        <v>19</v>
      </c>
      <c r="E5">
        <v>81</v>
      </c>
      <c r="G5">
        <v>69</v>
      </c>
      <c r="H5">
        <v>31</v>
      </c>
      <c r="I5">
        <v>5</v>
      </c>
      <c r="J5">
        <v>95</v>
      </c>
      <c r="L5">
        <v>72</v>
      </c>
      <c r="M5">
        <v>28</v>
      </c>
      <c r="N5">
        <v>34</v>
      </c>
      <c r="O5">
        <v>66</v>
      </c>
      <c r="Q5">
        <f t="shared" ref="Q5:Q13" si="0">AVERAGE(C5:D5)</f>
        <v>14</v>
      </c>
      <c r="R5">
        <f t="shared" ref="R5:R13" si="1">AVERAGE(H5:I5)</f>
        <v>18</v>
      </c>
      <c r="S5">
        <f t="shared" ref="S5:S13" si="2">AVERAGE(M5:N5)</f>
        <v>31</v>
      </c>
      <c r="T5">
        <f t="shared" ref="T5:T13" si="3">AVERAGE(Q5:S5)</f>
        <v>21</v>
      </c>
      <c r="AC5">
        <f t="shared" ref="AC5:AC13" si="4">MIN(Q5:S5)</f>
        <v>14</v>
      </c>
      <c r="AD5">
        <f t="shared" ref="AD5:AD13" si="5">T5-AC5</f>
        <v>7</v>
      </c>
    </row>
    <row r="6" spans="1:32" x14ac:dyDescent="0.3">
      <c r="B6">
        <v>83</v>
      </c>
      <c r="C6">
        <v>17</v>
      </c>
      <c r="D6">
        <v>20</v>
      </c>
      <c r="E6">
        <v>80</v>
      </c>
      <c r="G6">
        <v>73</v>
      </c>
      <c r="H6">
        <v>27</v>
      </c>
      <c r="I6">
        <v>13</v>
      </c>
      <c r="J6">
        <v>87</v>
      </c>
      <c r="L6">
        <v>63</v>
      </c>
      <c r="M6">
        <v>37</v>
      </c>
      <c r="N6">
        <v>23</v>
      </c>
      <c r="O6">
        <v>77</v>
      </c>
      <c r="Q6">
        <f t="shared" si="0"/>
        <v>18.5</v>
      </c>
      <c r="R6">
        <f t="shared" si="1"/>
        <v>20</v>
      </c>
      <c r="S6">
        <f t="shared" si="2"/>
        <v>30</v>
      </c>
      <c r="T6">
        <f t="shared" si="3"/>
        <v>22.833333333333332</v>
      </c>
      <c r="AC6">
        <f t="shared" si="4"/>
        <v>18.5</v>
      </c>
      <c r="AD6">
        <f t="shared" si="5"/>
        <v>4.3333333333333321</v>
      </c>
    </row>
    <row r="7" spans="1:32" x14ac:dyDescent="0.3">
      <c r="B7">
        <v>87</v>
      </c>
      <c r="C7">
        <v>13</v>
      </c>
      <c r="D7">
        <v>17</v>
      </c>
      <c r="E7">
        <v>83</v>
      </c>
      <c r="G7">
        <v>71</v>
      </c>
      <c r="H7">
        <v>29</v>
      </c>
      <c r="I7">
        <v>11</v>
      </c>
      <c r="J7">
        <v>89</v>
      </c>
      <c r="L7">
        <v>69</v>
      </c>
      <c r="M7">
        <v>31</v>
      </c>
      <c r="N7">
        <v>21</v>
      </c>
      <c r="O7">
        <v>79</v>
      </c>
      <c r="Q7">
        <f t="shared" si="0"/>
        <v>15</v>
      </c>
      <c r="R7">
        <f t="shared" si="1"/>
        <v>20</v>
      </c>
      <c r="S7">
        <f t="shared" si="2"/>
        <v>26</v>
      </c>
      <c r="T7">
        <f t="shared" si="3"/>
        <v>20.333333333333332</v>
      </c>
      <c r="AC7">
        <f t="shared" si="4"/>
        <v>15</v>
      </c>
      <c r="AD7">
        <f t="shared" si="5"/>
        <v>5.3333333333333321</v>
      </c>
    </row>
    <row r="8" spans="1:32" x14ac:dyDescent="0.3">
      <c r="B8">
        <v>89</v>
      </c>
      <c r="C8">
        <v>11</v>
      </c>
      <c r="D8">
        <v>19</v>
      </c>
      <c r="E8">
        <v>81</v>
      </c>
      <c r="G8">
        <v>53</v>
      </c>
      <c r="H8">
        <v>47</v>
      </c>
      <c r="I8">
        <v>7</v>
      </c>
      <c r="J8">
        <v>93</v>
      </c>
      <c r="L8">
        <v>65</v>
      </c>
      <c r="M8">
        <v>35</v>
      </c>
      <c r="N8">
        <v>14</v>
      </c>
      <c r="O8">
        <v>86</v>
      </c>
      <c r="Q8">
        <f t="shared" si="0"/>
        <v>15</v>
      </c>
      <c r="R8">
        <f t="shared" si="1"/>
        <v>27</v>
      </c>
      <c r="S8">
        <f t="shared" si="2"/>
        <v>24.5</v>
      </c>
      <c r="T8">
        <f t="shared" si="3"/>
        <v>22.166666666666668</v>
      </c>
      <c r="AC8">
        <f t="shared" si="4"/>
        <v>15</v>
      </c>
      <c r="AD8">
        <f t="shared" si="5"/>
        <v>7.1666666666666679</v>
      </c>
    </row>
    <row r="9" spans="1:32" x14ac:dyDescent="0.3">
      <c r="B9">
        <v>93</v>
      </c>
      <c r="C9">
        <v>7</v>
      </c>
      <c r="D9">
        <v>24</v>
      </c>
      <c r="E9">
        <v>76</v>
      </c>
      <c r="G9">
        <v>72</v>
      </c>
      <c r="H9">
        <v>28</v>
      </c>
      <c r="I9">
        <v>11</v>
      </c>
      <c r="J9">
        <v>89</v>
      </c>
      <c r="L9">
        <v>76</v>
      </c>
      <c r="M9">
        <v>24</v>
      </c>
      <c r="N9">
        <v>21</v>
      </c>
      <c r="O9">
        <v>79</v>
      </c>
      <c r="Q9">
        <f t="shared" si="0"/>
        <v>15.5</v>
      </c>
      <c r="R9">
        <f t="shared" si="1"/>
        <v>19.5</v>
      </c>
      <c r="S9">
        <f t="shared" si="2"/>
        <v>22.5</v>
      </c>
      <c r="T9">
        <f t="shared" si="3"/>
        <v>19.166666666666668</v>
      </c>
      <c r="AC9">
        <f t="shared" si="4"/>
        <v>15.5</v>
      </c>
      <c r="AD9">
        <f t="shared" si="5"/>
        <v>3.6666666666666679</v>
      </c>
    </row>
    <row r="10" spans="1:32" x14ac:dyDescent="0.3">
      <c r="B10">
        <v>82</v>
      </c>
      <c r="C10">
        <v>18</v>
      </c>
      <c r="D10">
        <v>12</v>
      </c>
      <c r="E10">
        <v>88</v>
      </c>
      <c r="G10">
        <v>76</v>
      </c>
      <c r="H10">
        <v>24</v>
      </c>
      <c r="I10">
        <v>10</v>
      </c>
      <c r="J10">
        <v>90</v>
      </c>
      <c r="L10">
        <v>60</v>
      </c>
      <c r="M10">
        <v>40</v>
      </c>
      <c r="N10">
        <v>18</v>
      </c>
      <c r="O10">
        <v>82</v>
      </c>
      <c r="Q10">
        <f t="shared" si="0"/>
        <v>15</v>
      </c>
      <c r="R10">
        <f t="shared" si="1"/>
        <v>17</v>
      </c>
      <c r="S10">
        <f t="shared" si="2"/>
        <v>29</v>
      </c>
      <c r="T10">
        <f t="shared" si="3"/>
        <v>20.333333333333332</v>
      </c>
      <c r="AC10">
        <f t="shared" si="4"/>
        <v>15</v>
      </c>
      <c r="AD10">
        <f t="shared" si="5"/>
        <v>5.3333333333333321</v>
      </c>
    </row>
    <row r="11" spans="1:32" x14ac:dyDescent="0.3">
      <c r="B11">
        <v>80</v>
      </c>
      <c r="C11">
        <v>20</v>
      </c>
      <c r="D11">
        <v>9</v>
      </c>
      <c r="E11">
        <v>91</v>
      </c>
      <c r="G11">
        <v>63</v>
      </c>
      <c r="H11">
        <v>37</v>
      </c>
      <c r="I11">
        <v>6</v>
      </c>
      <c r="J11">
        <v>94</v>
      </c>
      <c r="L11">
        <v>70</v>
      </c>
      <c r="M11">
        <v>30</v>
      </c>
      <c r="N11">
        <v>29</v>
      </c>
      <c r="O11">
        <v>71</v>
      </c>
      <c r="Q11">
        <f t="shared" si="0"/>
        <v>14.5</v>
      </c>
      <c r="R11">
        <f t="shared" si="1"/>
        <v>21.5</v>
      </c>
      <c r="S11">
        <f t="shared" si="2"/>
        <v>29.5</v>
      </c>
      <c r="T11">
        <f t="shared" si="3"/>
        <v>21.833333333333332</v>
      </c>
      <c r="AC11">
        <f t="shared" si="4"/>
        <v>14.5</v>
      </c>
      <c r="AD11">
        <f t="shared" si="5"/>
        <v>7.3333333333333321</v>
      </c>
    </row>
    <row r="12" spans="1:32" x14ac:dyDescent="0.3">
      <c r="B12">
        <v>89</v>
      </c>
      <c r="C12">
        <v>11</v>
      </c>
      <c r="D12">
        <v>15</v>
      </c>
      <c r="E12">
        <v>85</v>
      </c>
      <c r="G12">
        <v>73</v>
      </c>
      <c r="H12">
        <v>27</v>
      </c>
      <c r="I12">
        <v>14</v>
      </c>
      <c r="J12">
        <v>86</v>
      </c>
      <c r="L12">
        <v>79</v>
      </c>
      <c r="M12">
        <v>21</v>
      </c>
      <c r="N12">
        <v>38</v>
      </c>
      <c r="O12">
        <v>62</v>
      </c>
      <c r="Q12">
        <f t="shared" si="0"/>
        <v>13</v>
      </c>
      <c r="R12">
        <f t="shared" si="1"/>
        <v>20.5</v>
      </c>
      <c r="S12">
        <f t="shared" si="2"/>
        <v>29.5</v>
      </c>
      <c r="T12">
        <f t="shared" si="3"/>
        <v>21</v>
      </c>
      <c r="AC12">
        <f t="shared" si="4"/>
        <v>13</v>
      </c>
      <c r="AD12">
        <f t="shared" si="5"/>
        <v>8</v>
      </c>
    </row>
    <row r="13" spans="1:32" x14ac:dyDescent="0.3">
      <c r="B13">
        <v>90</v>
      </c>
      <c r="C13">
        <v>10</v>
      </c>
      <c r="D13">
        <v>17</v>
      </c>
      <c r="E13">
        <v>83</v>
      </c>
      <c r="G13">
        <v>80</v>
      </c>
      <c r="H13">
        <v>20</v>
      </c>
      <c r="I13">
        <v>13</v>
      </c>
      <c r="J13">
        <v>87</v>
      </c>
      <c r="L13">
        <v>71</v>
      </c>
      <c r="M13">
        <v>29</v>
      </c>
      <c r="N13">
        <v>29</v>
      </c>
      <c r="O13">
        <v>71</v>
      </c>
      <c r="Q13">
        <f t="shared" si="0"/>
        <v>13.5</v>
      </c>
      <c r="R13">
        <f t="shared" si="1"/>
        <v>16.5</v>
      </c>
      <c r="S13">
        <f t="shared" si="2"/>
        <v>29</v>
      </c>
      <c r="T13">
        <f t="shared" si="3"/>
        <v>19.666666666666668</v>
      </c>
      <c r="AC13">
        <f t="shared" si="4"/>
        <v>13.5</v>
      </c>
      <c r="AD13">
        <f t="shared" si="5"/>
        <v>6.1666666666666679</v>
      </c>
    </row>
    <row r="15" spans="1:32" x14ac:dyDescent="0.3">
      <c r="A15" t="s">
        <v>35</v>
      </c>
    </row>
    <row r="16" spans="1:32" x14ac:dyDescent="0.3">
      <c r="B16">
        <v>90</v>
      </c>
      <c r="C16">
        <v>10</v>
      </c>
      <c r="D16">
        <v>23</v>
      </c>
      <c r="E16">
        <v>77</v>
      </c>
      <c r="G16">
        <v>71</v>
      </c>
      <c r="H16">
        <v>29</v>
      </c>
      <c r="I16">
        <v>15</v>
      </c>
      <c r="J16">
        <v>85</v>
      </c>
      <c r="L16">
        <v>67</v>
      </c>
      <c r="M16">
        <v>33</v>
      </c>
      <c r="N16">
        <v>27</v>
      </c>
      <c r="O16">
        <v>73</v>
      </c>
      <c r="Q16">
        <f t="shared" ref="Q16:Q23" si="6">AVERAGE(C16:D16)</f>
        <v>16.5</v>
      </c>
      <c r="R16">
        <f t="shared" ref="R16:R23" si="7">AVERAGE(H16:I16)</f>
        <v>22</v>
      </c>
      <c r="S16">
        <f t="shared" ref="S16:S23" si="8">AVERAGE(M16:N16)</f>
        <v>30</v>
      </c>
      <c r="T16">
        <f t="shared" ref="T16:T23" si="9">AVERAGE(Q16:S16)</f>
        <v>22.833333333333332</v>
      </c>
      <c r="U16">
        <f>AVERAGE(Q16:Q25)</f>
        <v>15.875</v>
      </c>
      <c r="V16">
        <f>_xlfn.STDEV.S(Q16:Q25)</f>
        <v>1.3024701806293193</v>
      </c>
      <c r="W16">
        <f>AVERAGE(R16:R25)</f>
        <v>19.8125</v>
      </c>
      <c r="X16">
        <f>_xlfn.STDEV.S(R16:R25)</f>
        <v>2.8652785952802966</v>
      </c>
      <c r="Y16">
        <f>AVERAGE(S16:S25)</f>
        <v>28.375</v>
      </c>
      <c r="Z16">
        <f>_xlfn.STDEV.S(S16:S25)</f>
        <v>2.489262656175232</v>
      </c>
      <c r="AA16">
        <f>AVERAGE(T16:T25)</f>
        <v>21.354166666666668</v>
      </c>
      <c r="AB16">
        <f>_xlfn.STDEV.S(T16:T25)</f>
        <v>1.456887037923613</v>
      </c>
      <c r="AC16">
        <f t="shared" ref="AC16:AC23" si="10">MIN(Q16:S16)</f>
        <v>16.5</v>
      </c>
      <c r="AD16">
        <f t="shared" ref="AD16:AD23" si="11">T16-AC16</f>
        <v>6.3333333333333321</v>
      </c>
      <c r="AE16">
        <f>AVERAGE(AD16:AD25)</f>
        <v>5.4791666666666661</v>
      </c>
      <c r="AF16">
        <f>_xlfn.STDEV.S(AD16:AD25)</f>
        <v>1.7399085453068361</v>
      </c>
    </row>
    <row r="17" spans="1:32" x14ac:dyDescent="0.3">
      <c r="B17">
        <v>88</v>
      </c>
      <c r="C17">
        <v>12</v>
      </c>
      <c r="D17">
        <v>17</v>
      </c>
      <c r="E17">
        <v>83</v>
      </c>
      <c r="G17">
        <v>60</v>
      </c>
      <c r="H17">
        <v>40</v>
      </c>
      <c r="I17">
        <v>10</v>
      </c>
      <c r="J17">
        <v>90</v>
      </c>
      <c r="L17">
        <v>66</v>
      </c>
      <c r="M17">
        <v>34</v>
      </c>
      <c r="N17">
        <v>21</v>
      </c>
      <c r="O17">
        <v>79</v>
      </c>
      <c r="Q17">
        <f t="shared" si="6"/>
        <v>14.5</v>
      </c>
      <c r="R17">
        <f t="shared" si="7"/>
        <v>25</v>
      </c>
      <c r="S17">
        <f t="shared" si="8"/>
        <v>27.5</v>
      </c>
      <c r="T17">
        <f t="shared" si="9"/>
        <v>22.333333333333332</v>
      </c>
      <c r="AC17">
        <f t="shared" si="10"/>
        <v>14.5</v>
      </c>
      <c r="AD17">
        <f t="shared" si="11"/>
        <v>7.8333333333333321</v>
      </c>
    </row>
    <row r="18" spans="1:32" x14ac:dyDescent="0.3">
      <c r="B18">
        <v>85</v>
      </c>
      <c r="C18">
        <v>15</v>
      </c>
      <c r="D18">
        <v>22</v>
      </c>
      <c r="E18">
        <v>78</v>
      </c>
      <c r="G18">
        <v>69</v>
      </c>
      <c r="H18">
        <v>31</v>
      </c>
      <c r="I18">
        <v>6</v>
      </c>
      <c r="J18">
        <v>94</v>
      </c>
      <c r="L18">
        <v>66</v>
      </c>
      <c r="M18">
        <v>34</v>
      </c>
      <c r="N18">
        <v>22</v>
      </c>
      <c r="O18">
        <v>78</v>
      </c>
      <c r="Q18">
        <f t="shared" si="6"/>
        <v>18.5</v>
      </c>
      <c r="R18">
        <f t="shared" si="7"/>
        <v>18.5</v>
      </c>
      <c r="S18">
        <f t="shared" si="8"/>
        <v>28</v>
      </c>
      <c r="T18">
        <f t="shared" si="9"/>
        <v>21.666666666666668</v>
      </c>
      <c r="AC18">
        <f t="shared" si="10"/>
        <v>18.5</v>
      </c>
      <c r="AD18">
        <f t="shared" si="11"/>
        <v>3.1666666666666679</v>
      </c>
    </row>
    <row r="19" spans="1:32" x14ac:dyDescent="0.3">
      <c r="B19">
        <v>90</v>
      </c>
      <c r="C19">
        <v>10</v>
      </c>
      <c r="D19">
        <v>21</v>
      </c>
      <c r="E19">
        <v>79</v>
      </c>
      <c r="G19">
        <v>68</v>
      </c>
      <c r="H19">
        <v>32</v>
      </c>
      <c r="I19">
        <v>12</v>
      </c>
      <c r="J19">
        <v>88</v>
      </c>
      <c r="L19">
        <v>68</v>
      </c>
      <c r="M19">
        <v>32</v>
      </c>
      <c r="N19">
        <v>30</v>
      </c>
      <c r="O19">
        <v>70</v>
      </c>
      <c r="Q19">
        <f t="shared" si="6"/>
        <v>15.5</v>
      </c>
      <c r="R19">
        <f t="shared" si="7"/>
        <v>22</v>
      </c>
      <c r="S19">
        <f t="shared" si="8"/>
        <v>31</v>
      </c>
      <c r="T19">
        <f t="shared" si="9"/>
        <v>22.833333333333332</v>
      </c>
      <c r="AC19">
        <f t="shared" si="10"/>
        <v>15.5</v>
      </c>
      <c r="AD19">
        <f t="shared" si="11"/>
        <v>7.3333333333333321</v>
      </c>
    </row>
    <row r="20" spans="1:32" x14ac:dyDescent="0.3">
      <c r="B20">
        <v>88</v>
      </c>
      <c r="C20">
        <v>12</v>
      </c>
      <c r="D20">
        <v>17</v>
      </c>
      <c r="E20">
        <v>83</v>
      </c>
      <c r="G20">
        <v>72</v>
      </c>
      <c r="H20">
        <v>28</v>
      </c>
      <c r="I20">
        <v>8</v>
      </c>
      <c r="J20">
        <v>92</v>
      </c>
      <c r="L20">
        <v>82</v>
      </c>
      <c r="M20">
        <v>18</v>
      </c>
      <c r="N20">
        <v>29</v>
      </c>
      <c r="O20">
        <v>71</v>
      </c>
      <c r="Q20">
        <f t="shared" si="6"/>
        <v>14.5</v>
      </c>
      <c r="R20">
        <f t="shared" si="7"/>
        <v>18</v>
      </c>
      <c r="S20">
        <f t="shared" si="8"/>
        <v>23.5</v>
      </c>
      <c r="T20">
        <f t="shared" si="9"/>
        <v>18.666666666666668</v>
      </c>
      <c r="AC20">
        <f t="shared" si="10"/>
        <v>14.5</v>
      </c>
      <c r="AD20">
        <f t="shared" si="11"/>
        <v>4.1666666666666679</v>
      </c>
    </row>
    <row r="21" spans="1:32" x14ac:dyDescent="0.3">
      <c r="B21">
        <v>87</v>
      </c>
      <c r="C21">
        <v>13</v>
      </c>
      <c r="D21">
        <v>18</v>
      </c>
      <c r="E21">
        <v>82</v>
      </c>
      <c r="G21">
        <v>70</v>
      </c>
      <c r="H21">
        <v>30</v>
      </c>
      <c r="I21">
        <v>7</v>
      </c>
      <c r="J21">
        <v>93</v>
      </c>
      <c r="L21">
        <v>71</v>
      </c>
      <c r="M21">
        <v>29</v>
      </c>
      <c r="N21">
        <v>33</v>
      </c>
      <c r="O21">
        <v>67</v>
      </c>
      <c r="Q21">
        <f t="shared" si="6"/>
        <v>15.5</v>
      </c>
      <c r="R21">
        <f t="shared" si="7"/>
        <v>18.5</v>
      </c>
      <c r="S21">
        <f t="shared" si="8"/>
        <v>31</v>
      </c>
      <c r="T21">
        <f t="shared" si="9"/>
        <v>21.666666666666668</v>
      </c>
      <c r="AC21">
        <f t="shared" si="10"/>
        <v>15.5</v>
      </c>
      <c r="AD21">
        <f t="shared" si="11"/>
        <v>6.1666666666666679</v>
      </c>
    </row>
    <row r="22" spans="1:32" x14ac:dyDescent="0.3">
      <c r="B22">
        <v>88</v>
      </c>
      <c r="C22">
        <v>12</v>
      </c>
      <c r="D22">
        <v>21</v>
      </c>
      <c r="E22">
        <v>79</v>
      </c>
      <c r="G22">
        <v>75</v>
      </c>
      <c r="H22">
        <v>25</v>
      </c>
      <c r="I22">
        <v>8</v>
      </c>
      <c r="J22">
        <v>92</v>
      </c>
      <c r="L22">
        <v>79</v>
      </c>
      <c r="M22">
        <v>21</v>
      </c>
      <c r="N22">
        <v>33</v>
      </c>
      <c r="O22">
        <v>67</v>
      </c>
      <c r="Q22">
        <f t="shared" si="6"/>
        <v>16.5</v>
      </c>
      <c r="R22">
        <f t="shared" si="7"/>
        <v>16.5</v>
      </c>
      <c r="S22">
        <f t="shared" si="8"/>
        <v>27</v>
      </c>
      <c r="T22">
        <f t="shared" si="9"/>
        <v>20</v>
      </c>
      <c r="AC22">
        <f t="shared" si="10"/>
        <v>16.5</v>
      </c>
      <c r="AD22">
        <f t="shared" si="11"/>
        <v>3.5</v>
      </c>
    </row>
    <row r="23" spans="1:32" x14ac:dyDescent="0.3">
      <c r="B23">
        <v>92</v>
      </c>
      <c r="C23">
        <v>8</v>
      </c>
      <c r="D23">
        <v>23</v>
      </c>
      <c r="E23">
        <v>77</v>
      </c>
      <c r="G23">
        <v>73</v>
      </c>
      <c r="H23">
        <v>27</v>
      </c>
      <c r="I23">
        <v>9</v>
      </c>
      <c r="J23">
        <v>91</v>
      </c>
      <c r="L23">
        <v>77</v>
      </c>
      <c r="M23">
        <v>23</v>
      </c>
      <c r="N23">
        <v>35</v>
      </c>
      <c r="O23">
        <v>65</v>
      </c>
      <c r="Q23">
        <f t="shared" si="6"/>
        <v>15.5</v>
      </c>
      <c r="R23">
        <f t="shared" si="7"/>
        <v>18</v>
      </c>
      <c r="S23">
        <f t="shared" si="8"/>
        <v>29</v>
      </c>
      <c r="T23">
        <f t="shared" si="9"/>
        <v>20.833333333333332</v>
      </c>
      <c r="AC23">
        <f t="shared" si="10"/>
        <v>15.5</v>
      </c>
      <c r="AD23">
        <f t="shared" si="11"/>
        <v>5.3333333333333321</v>
      </c>
    </row>
    <row r="25" spans="1:32" x14ac:dyDescent="0.3">
      <c r="A25" t="s">
        <v>19</v>
      </c>
    </row>
    <row r="26" spans="1:32" x14ac:dyDescent="0.3">
      <c r="B26" t="s">
        <v>36</v>
      </c>
    </row>
    <row r="27" spans="1:32" x14ac:dyDescent="0.3">
      <c r="B27">
        <v>88</v>
      </c>
      <c r="C27">
        <v>12</v>
      </c>
      <c r="D27">
        <v>19</v>
      </c>
      <c r="E27">
        <v>81</v>
      </c>
      <c r="G27">
        <v>77</v>
      </c>
      <c r="H27">
        <v>23</v>
      </c>
      <c r="I27">
        <v>11</v>
      </c>
      <c r="J27">
        <v>89</v>
      </c>
      <c r="L27">
        <v>76</v>
      </c>
      <c r="M27">
        <v>24</v>
      </c>
      <c r="N27">
        <v>31</v>
      </c>
      <c r="O27">
        <v>69</v>
      </c>
      <c r="Q27">
        <f t="shared" ref="Q27:Q31" si="12">AVERAGE(C27:D27)</f>
        <v>15.5</v>
      </c>
      <c r="R27">
        <f t="shared" ref="R27:R31" si="13">AVERAGE(H27:I27)</f>
        <v>17</v>
      </c>
      <c r="S27">
        <f t="shared" ref="S27:S31" si="14">AVERAGE(M27:N27)</f>
        <v>27.5</v>
      </c>
      <c r="T27">
        <f t="shared" ref="T27:T31" si="15">AVERAGE(Q27:S27)</f>
        <v>20</v>
      </c>
      <c r="U27">
        <f>AVERAGE(Q27:Q36)</f>
        <v>18.7</v>
      </c>
      <c r="V27">
        <f>_xlfn.STDEV.S(Q27:Q36)</f>
        <v>2.7748873851023195</v>
      </c>
      <c r="W27">
        <f>AVERAGE(R27:R36)</f>
        <v>18.5</v>
      </c>
      <c r="X27">
        <f>_xlfn.STDEV.S(R27:R36)</f>
        <v>1.541103500742244</v>
      </c>
      <c r="Y27">
        <f>AVERAGE(S27:S36)</f>
        <v>27.5</v>
      </c>
      <c r="Z27">
        <f>_xlfn.STDEV.S(S27:S36)</f>
        <v>1.2247448713915889</v>
      </c>
      <c r="AA27">
        <f>AVERAGE(T27:T36)</f>
        <v>21.566666666666666</v>
      </c>
      <c r="AB27">
        <f>_xlfn.STDEV.S(T27:T36)</f>
        <v>1.4841757907262121</v>
      </c>
      <c r="AC27">
        <f t="shared" ref="AC27:AC31" si="16">MIN(Q27:S27)</f>
        <v>15.5</v>
      </c>
      <c r="AD27">
        <f t="shared" ref="AD27:AD31" si="17">T27-AC27</f>
        <v>4.5</v>
      </c>
      <c r="AE27">
        <f>AVERAGE(AD27:AD36)</f>
        <v>3.9666666666666663</v>
      </c>
      <c r="AF27">
        <f>_xlfn.STDEV.S(AD27:AD36)</f>
        <v>0.74907350180814036</v>
      </c>
    </row>
    <row r="28" spans="1:32" x14ac:dyDescent="0.3">
      <c r="B28">
        <v>85</v>
      </c>
      <c r="C28">
        <v>15</v>
      </c>
      <c r="D28">
        <v>18</v>
      </c>
      <c r="E28">
        <v>82</v>
      </c>
      <c r="G28">
        <v>72</v>
      </c>
      <c r="H28">
        <v>28</v>
      </c>
      <c r="I28">
        <v>9</v>
      </c>
      <c r="J28">
        <v>91</v>
      </c>
      <c r="L28">
        <v>65</v>
      </c>
      <c r="M28">
        <v>35</v>
      </c>
      <c r="N28">
        <v>20</v>
      </c>
      <c r="O28">
        <v>80</v>
      </c>
      <c r="Q28">
        <f t="shared" si="12"/>
        <v>16.5</v>
      </c>
      <c r="R28">
        <f t="shared" si="13"/>
        <v>18.5</v>
      </c>
      <c r="S28">
        <f t="shared" si="14"/>
        <v>27.5</v>
      </c>
      <c r="T28">
        <f t="shared" si="15"/>
        <v>20.833333333333332</v>
      </c>
      <c r="AC28">
        <f t="shared" si="16"/>
        <v>16.5</v>
      </c>
      <c r="AD28">
        <f t="shared" si="17"/>
        <v>4.3333333333333321</v>
      </c>
    </row>
    <row r="29" spans="1:32" x14ac:dyDescent="0.3">
      <c r="B29">
        <v>83</v>
      </c>
      <c r="C29">
        <v>17</v>
      </c>
      <c r="D29">
        <v>28</v>
      </c>
      <c r="E29">
        <v>72</v>
      </c>
      <c r="G29">
        <v>71</v>
      </c>
      <c r="H29">
        <v>29</v>
      </c>
      <c r="I29">
        <v>10</v>
      </c>
      <c r="J29">
        <v>90</v>
      </c>
      <c r="L29">
        <v>73</v>
      </c>
      <c r="M29">
        <v>27</v>
      </c>
      <c r="N29">
        <v>32</v>
      </c>
      <c r="O29">
        <v>68</v>
      </c>
      <c r="Q29">
        <f t="shared" si="12"/>
        <v>22.5</v>
      </c>
      <c r="R29">
        <f t="shared" si="13"/>
        <v>19.5</v>
      </c>
      <c r="S29">
        <f t="shared" si="14"/>
        <v>29.5</v>
      </c>
      <c r="T29">
        <f t="shared" si="15"/>
        <v>23.833333333333332</v>
      </c>
      <c r="AC29">
        <f t="shared" si="16"/>
        <v>19.5</v>
      </c>
      <c r="AD29">
        <f t="shared" si="17"/>
        <v>4.3333333333333321</v>
      </c>
    </row>
    <row r="30" spans="1:32" x14ac:dyDescent="0.3">
      <c r="B30">
        <v>88</v>
      </c>
      <c r="C30">
        <v>12</v>
      </c>
      <c r="D30">
        <v>27</v>
      </c>
      <c r="E30">
        <v>73</v>
      </c>
      <c r="G30">
        <v>76</v>
      </c>
      <c r="H30">
        <v>24</v>
      </c>
      <c r="I30">
        <v>10</v>
      </c>
      <c r="J30">
        <v>90</v>
      </c>
      <c r="L30">
        <v>80</v>
      </c>
      <c r="M30">
        <v>20</v>
      </c>
      <c r="N30">
        <v>33</v>
      </c>
      <c r="O30">
        <v>67</v>
      </c>
      <c r="Q30">
        <f t="shared" si="12"/>
        <v>19.5</v>
      </c>
      <c r="R30">
        <f t="shared" si="13"/>
        <v>17</v>
      </c>
      <c r="S30">
        <f t="shared" si="14"/>
        <v>26.5</v>
      </c>
      <c r="T30">
        <f t="shared" si="15"/>
        <v>21</v>
      </c>
      <c r="AC30">
        <f t="shared" si="16"/>
        <v>17</v>
      </c>
      <c r="AD30">
        <f t="shared" si="17"/>
        <v>4</v>
      </c>
    </row>
    <row r="31" spans="1:32" x14ac:dyDescent="0.3">
      <c r="B31">
        <v>80</v>
      </c>
      <c r="C31">
        <v>20</v>
      </c>
      <c r="D31">
        <v>19</v>
      </c>
      <c r="E31">
        <v>81</v>
      </c>
      <c r="G31">
        <v>64</v>
      </c>
      <c r="H31">
        <v>36</v>
      </c>
      <c r="I31">
        <v>5</v>
      </c>
      <c r="J31">
        <v>95</v>
      </c>
      <c r="L31">
        <v>72</v>
      </c>
      <c r="M31">
        <v>28</v>
      </c>
      <c r="N31">
        <v>25</v>
      </c>
      <c r="O31">
        <v>75</v>
      </c>
      <c r="Q31">
        <f t="shared" si="12"/>
        <v>19.5</v>
      </c>
      <c r="R31">
        <f t="shared" si="13"/>
        <v>20.5</v>
      </c>
      <c r="S31">
        <f t="shared" si="14"/>
        <v>26.5</v>
      </c>
      <c r="T31">
        <f t="shared" si="15"/>
        <v>22.166666666666668</v>
      </c>
      <c r="AC31">
        <f t="shared" si="16"/>
        <v>19.5</v>
      </c>
      <c r="AD31">
        <f t="shared" si="17"/>
        <v>2.6666666666666679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4"/>
  <sheetViews>
    <sheetView topLeftCell="K1" workbookViewId="0">
      <selection activeCell="AF11" activeCellId="2" sqref="U11:AB11 AE11 AF11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85</v>
      </c>
      <c r="C4">
        <v>15</v>
      </c>
      <c r="D4">
        <v>10</v>
      </c>
      <c r="E4">
        <v>90</v>
      </c>
      <c r="G4">
        <v>72</v>
      </c>
      <c r="H4">
        <v>28</v>
      </c>
      <c r="I4">
        <v>12</v>
      </c>
      <c r="J4">
        <v>88</v>
      </c>
      <c r="L4">
        <v>68</v>
      </c>
      <c r="M4">
        <v>32</v>
      </c>
      <c r="N4">
        <v>25</v>
      </c>
      <c r="O4">
        <v>75</v>
      </c>
      <c r="Q4">
        <f>AVERAGE(C4,D4)</f>
        <v>12.5</v>
      </c>
      <c r="R4">
        <f>AVERAGE(H4,I4)</f>
        <v>20</v>
      </c>
      <c r="S4">
        <f>AVERAGE(M4,N4)</f>
        <v>28.5</v>
      </c>
      <c r="T4">
        <f>AVERAGE(Q4:S4)</f>
        <v>20.333333333333332</v>
      </c>
      <c r="U4">
        <f>AVERAGE(Q4:Q9)</f>
        <v>14.916666666666666</v>
      </c>
      <c r="V4">
        <f>_xlfn.STDEV.S(Q4:Q9)</f>
        <v>2.1775368347439388</v>
      </c>
      <c r="W4">
        <f>AVERAGE(R4:R9)</f>
        <v>20.416666666666668</v>
      </c>
      <c r="X4">
        <f>_xlfn.STDEV.S(R4:R9)</f>
        <v>2.4983327774071045</v>
      </c>
      <c r="Y4">
        <f>AVERAGE(S4:S9)</f>
        <v>26.416666666666668</v>
      </c>
      <c r="Z4">
        <f>_xlfn.STDEV.S(S4:S9)</f>
        <v>1.4288690166235207</v>
      </c>
      <c r="AA4">
        <f>AVERAGE(T4:T9)</f>
        <v>20.583333333333332</v>
      </c>
      <c r="AB4">
        <f>_xlfn.STDEV.S(T4:T9)</f>
        <v>1.0368220676663862</v>
      </c>
      <c r="AC4">
        <f>MIN(Q4:S4)</f>
        <v>12.5</v>
      </c>
      <c r="AD4">
        <f>(T4-AC4)</f>
        <v>7.8333333333333321</v>
      </c>
      <c r="AE4">
        <f>AVERAGE(AD4:AD9)</f>
        <v>5.666666666666667</v>
      </c>
      <c r="AF4">
        <f>_xlfn.STDEV.S(AD4:AD9)</f>
        <v>1.7224014243685055</v>
      </c>
    </row>
    <row r="5" spans="1:32" x14ac:dyDescent="0.3">
      <c r="B5">
        <v>88</v>
      </c>
      <c r="C5">
        <v>12</v>
      </c>
      <c r="D5">
        <v>20</v>
      </c>
      <c r="E5">
        <v>80</v>
      </c>
      <c r="G5">
        <v>71</v>
      </c>
      <c r="H5">
        <v>29</v>
      </c>
      <c r="I5">
        <v>5</v>
      </c>
      <c r="J5">
        <v>95</v>
      </c>
      <c r="L5">
        <v>67</v>
      </c>
      <c r="M5">
        <v>33</v>
      </c>
      <c r="N5">
        <v>18</v>
      </c>
      <c r="O5">
        <v>82</v>
      </c>
      <c r="Q5">
        <f t="shared" ref="Q5:Q9" si="0">AVERAGE(C5,D5)</f>
        <v>16</v>
      </c>
      <c r="R5">
        <f t="shared" ref="R5:R9" si="1">AVERAGE(H5,I5)</f>
        <v>17</v>
      </c>
      <c r="S5">
        <f t="shared" ref="S5:S9" si="2">AVERAGE(M5,N5)</f>
        <v>25.5</v>
      </c>
      <c r="T5">
        <f t="shared" ref="T5:T9" si="3">AVERAGE(Q5:S5)</f>
        <v>19.5</v>
      </c>
      <c r="AC5">
        <f t="shared" ref="AC5:AC9" si="4">MIN(Q5:S5)</f>
        <v>16</v>
      </c>
      <c r="AD5">
        <f t="shared" ref="AD5:AD9" si="5">(T5-AC5)</f>
        <v>3.5</v>
      </c>
    </row>
    <row r="6" spans="1:32" x14ac:dyDescent="0.3">
      <c r="B6">
        <v>92</v>
      </c>
      <c r="C6">
        <v>8</v>
      </c>
      <c r="D6">
        <v>21</v>
      </c>
      <c r="E6">
        <v>79</v>
      </c>
      <c r="G6">
        <v>78</v>
      </c>
      <c r="H6">
        <v>22</v>
      </c>
      <c r="I6">
        <v>15</v>
      </c>
      <c r="J6">
        <v>85</v>
      </c>
      <c r="L6">
        <v>62</v>
      </c>
      <c r="M6">
        <v>38</v>
      </c>
      <c r="N6">
        <v>18</v>
      </c>
      <c r="O6">
        <v>82</v>
      </c>
      <c r="Q6">
        <f t="shared" si="0"/>
        <v>14.5</v>
      </c>
      <c r="R6">
        <f t="shared" si="1"/>
        <v>18.5</v>
      </c>
      <c r="S6">
        <f t="shared" si="2"/>
        <v>28</v>
      </c>
      <c r="T6">
        <f t="shared" si="3"/>
        <v>20.333333333333332</v>
      </c>
      <c r="AC6">
        <f t="shared" si="4"/>
        <v>14.5</v>
      </c>
      <c r="AD6">
        <f t="shared" si="5"/>
        <v>5.8333333333333321</v>
      </c>
    </row>
    <row r="7" spans="1:32" x14ac:dyDescent="0.3">
      <c r="B7">
        <v>81</v>
      </c>
      <c r="C7">
        <v>19</v>
      </c>
      <c r="D7">
        <v>13</v>
      </c>
      <c r="E7">
        <v>87</v>
      </c>
      <c r="G7">
        <v>65</v>
      </c>
      <c r="H7">
        <v>35</v>
      </c>
      <c r="I7">
        <v>7</v>
      </c>
      <c r="J7">
        <v>93</v>
      </c>
      <c r="L7">
        <v>67</v>
      </c>
      <c r="M7">
        <v>33</v>
      </c>
      <c r="N7">
        <v>18</v>
      </c>
      <c r="O7">
        <v>82</v>
      </c>
      <c r="Q7">
        <f t="shared" si="0"/>
        <v>16</v>
      </c>
      <c r="R7">
        <f t="shared" si="1"/>
        <v>21</v>
      </c>
      <c r="S7">
        <f t="shared" si="2"/>
        <v>25.5</v>
      </c>
      <c r="T7">
        <f t="shared" si="3"/>
        <v>20.833333333333332</v>
      </c>
      <c r="AC7">
        <f t="shared" si="4"/>
        <v>16</v>
      </c>
      <c r="AD7">
        <f t="shared" si="5"/>
        <v>4.8333333333333321</v>
      </c>
    </row>
    <row r="8" spans="1:32" x14ac:dyDescent="0.3">
      <c r="B8">
        <v>80</v>
      </c>
      <c r="C8">
        <v>20</v>
      </c>
      <c r="D8">
        <v>16</v>
      </c>
      <c r="E8">
        <v>84</v>
      </c>
      <c r="G8">
        <v>60</v>
      </c>
      <c r="H8">
        <v>40</v>
      </c>
      <c r="I8">
        <v>8</v>
      </c>
      <c r="J8">
        <v>92</v>
      </c>
      <c r="L8">
        <v>66</v>
      </c>
      <c r="M8">
        <v>34</v>
      </c>
      <c r="N8">
        <v>17</v>
      </c>
      <c r="O8">
        <v>83</v>
      </c>
      <c r="Q8">
        <f t="shared" si="0"/>
        <v>18</v>
      </c>
      <c r="R8">
        <f t="shared" si="1"/>
        <v>24</v>
      </c>
      <c r="S8">
        <f t="shared" si="2"/>
        <v>25.5</v>
      </c>
      <c r="T8">
        <f t="shared" si="3"/>
        <v>22.5</v>
      </c>
      <c r="AC8">
        <f t="shared" si="4"/>
        <v>18</v>
      </c>
      <c r="AD8">
        <f t="shared" si="5"/>
        <v>4.5</v>
      </c>
    </row>
    <row r="9" spans="1:32" x14ac:dyDescent="0.3">
      <c r="B9">
        <v>91</v>
      </c>
      <c r="C9">
        <v>9</v>
      </c>
      <c r="D9">
        <v>16</v>
      </c>
      <c r="E9">
        <v>84</v>
      </c>
      <c r="G9">
        <v>66</v>
      </c>
      <c r="H9">
        <v>34</v>
      </c>
      <c r="I9">
        <v>10</v>
      </c>
      <c r="J9">
        <v>90</v>
      </c>
      <c r="L9">
        <v>68</v>
      </c>
      <c r="M9">
        <v>32</v>
      </c>
      <c r="N9">
        <v>19</v>
      </c>
      <c r="O9">
        <v>81</v>
      </c>
      <c r="Q9">
        <f t="shared" si="0"/>
        <v>12.5</v>
      </c>
      <c r="R9">
        <f t="shared" si="1"/>
        <v>22</v>
      </c>
      <c r="S9">
        <f t="shared" si="2"/>
        <v>25.5</v>
      </c>
      <c r="T9">
        <f t="shared" si="3"/>
        <v>20</v>
      </c>
      <c r="AC9">
        <f t="shared" si="4"/>
        <v>12.5</v>
      </c>
      <c r="AD9">
        <f t="shared" si="5"/>
        <v>7.5</v>
      </c>
    </row>
    <row r="10" spans="1:32" x14ac:dyDescent="0.3">
      <c r="A10" t="s">
        <v>37</v>
      </c>
    </row>
    <row r="11" spans="1:32" x14ac:dyDescent="0.3">
      <c r="B11">
        <v>86</v>
      </c>
      <c r="C11">
        <v>14</v>
      </c>
      <c r="D11">
        <v>20</v>
      </c>
      <c r="E11">
        <v>80</v>
      </c>
      <c r="G11">
        <v>75</v>
      </c>
      <c r="H11">
        <v>25</v>
      </c>
      <c r="I11">
        <v>8</v>
      </c>
      <c r="J11">
        <v>92</v>
      </c>
      <c r="L11">
        <v>67</v>
      </c>
      <c r="M11">
        <v>33</v>
      </c>
      <c r="N11">
        <v>27</v>
      </c>
      <c r="O11">
        <v>73</v>
      </c>
      <c r="Q11">
        <f t="shared" ref="Q11:Q14" si="6">AVERAGE(C11,D11)</f>
        <v>17</v>
      </c>
      <c r="R11">
        <f t="shared" ref="R11:R14" si="7">AVERAGE(H11,I11)</f>
        <v>16.5</v>
      </c>
      <c r="S11">
        <f t="shared" ref="S11:S14" si="8">AVERAGE(M11,N11)</f>
        <v>30</v>
      </c>
      <c r="T11">
        <f t="shared" ref="T11:T14" si="9">AVERAGE(Q11:S11)</f>
        <v>21.166666666666668</v>
      </c>
      <c r="U11">
        <f>AVERAGE(Q11:Q16)</f>
        <v>16.5</v>
      </c>
      <c r="V11">
        <f>_xlfn.STDEV.S(Q11:Q16)</f>
        <v>0.70710678118654757</v>
      </c>
      <c r="W11">
        <f>AVERAGE(R11:R16)</f>
        <v>17.25</v>
      </c>
      <c r="X11">
        <f>_xlfn.STDEV.S(R11:R16)</f>
        <v>3.378855822118882</v>
      </c>
      <c r="Y11">
        <f>AVERAGE(S11:S16)</f>
        <v>31.25</v>
      </c>
      <c r="Z11">
        <f>_xlfn.STDEV.S(S11:S16)</f>
        <v>3.1754264805429417</v>
      </c>
      <c r="AA11">
        <f>AVERAGE(T11:T16)</f>
        <v>21.666666666666668</v>
      </c>
      <c r="AB11">
        <f>_xlfn.STDEV.S(T11:T16)</f>
        <v>2.2730302828309759</v>
      </c>
      <c r="AC11">
        <f t="shared" ref="AC11:AC14" si="10">MIN(Q11:S11)</f>
        <v>16.5</v>
      </c>
      <c r="AD11">
        <f t="shared" ref="AD11:AD14" si="11">(T11-AC11)</f>
        <v>4.6666666666666679</v>
      </c>
      <c r="AE11">
        <f>AVERAGE(AD11:AD16)</f>
        <v>5.7916666666666679</v>
      </c>
      <c r="AF11">
        <f>_xlfn.STDEV.S(AD11:AD16)</f>
        <v>1.6007810593582092</v>
      </c>
    </row>
    <row r="12" spans="1:32" x14ac:dyDescent="0.3">
      <c r="B12">
        <v>95</v>
      </c>
      <c r="C12">
        <v>5</v>
      </c>
      <c r="D12">
        <v>28</v>
      </c>
      <c r="E12">
        <v>72</v>
      </c>
      <c r="G12">
        <v>67</v>
      </c>
      <c r="H12">
        <v>33</v>
      </c>
      <c r="I12">
        <v>11</v>
      </c>
      <c r="J12">
        <v>89</v>
      </c>
      <c r="L12">
        <v>65</v>
      </c>
      <c r="M12">
        <v>35</v>
      </c>
      <c r="N12">
        <v>36</v>
      </c>
      <c r="O12">
        <v>64</v>
      </c>
      <c r="Q12">
        <f t="shared" si="6"/>
        <v>16.5</v>
      </c>
      <c r="R12">
        <f t="shared" si="7"/>
        <v>22</v>
      </c>
      <c r="S12">
        <f t="shared" si="8"/>
        <v>35.5</v>
      </c>
      <c r="T12">
        <f t="shared" si="9"/>
        <v>24.666666666666668</v>
      </c>
      <c r="AC12">
        <f t="shared" si="10"/>
        <v>16.5</v>
      </c>
      <c r="AD12">
        <f t="shared" si="11"/>
        <v>8.1666666666666679</v>
      </c>
    </row>
    <row r="13" spans="1:32" x14ac:dyDescent="0.3">
      <c r="B13">
        <v>87</v>
      </c>
      <c r="C13">
        <v>13</v>
      </c>
      <c r="D13">
        <v>18</v>
      </c>
      <c r="E13">
        <v>82</v>
      </c>
      <c r="G13">
        <v>76</v>
      </c>
      <c r="H13">
        <v>24</v>
      </c>
      <c r="I13">
        <v>4</v>
      </c>
      <c r="J13">
        <v>96</v>
      </c>
      <c r="L13">
        <v>70</v>
      </c>
      <c r="M13">
        <v>30</v>
      </c>
      <c r="N13">
        <v>26</v>
      </c>
      <c r="O13">
        <v>74</v>
      </c>
      <c r="Q13">
        <f t="shared" si="6"/>
        <v>15.5</v>
      </c>
      <c r="R13">
        <f t="shared" si="7"/>
        <v>14</v>
      </c>
      <c r="S13">
        <f t="shared" si="8"/>
        <v>28</v>
      </c>
      <c r="T13">
        <f t="shared" si="9"/>
        <v>19.166666666666668</v>
      </c>
      <c r="AC13">
        <f t="shared" si="10"/>
        <v>14</v>
      </c>
      <c r="AD13">
        <f t="shared" si="11"/>
        <v>5.1666666666666679</v>
      </c>
    </row>
    <row r="14" spans="1:32" x14ac:dyDescent="0.3">
      <c r="B14">
        <v>80</v>
      </c>
      <c r="C14">
        <v>20</v>
      </c>
      <c r="D14">
        <v>14</v>
      </c>
      <c r="E14">
        <v>86</v>
      </c>
      <c r="G14">
        <v>71</v>
      </c>
      <c r="H14">
        <v>29</v>
      </c>
      <c r="I14">
        <v>4</v>
      </c>
      <c r="J14">
        <v>96</v>
      </c>
      <c r="L14">
        <v>62</v>
      </c>
      <c r="M14">
        <v>38</v>
      </c>
      <c r="N14">
        <v>25</v>
      </c>
      <c r="O14">
        <v>75</v>
      </c>
      <c r="Q14">
        <f t="shared" si="6"/>
        <v>17</v>
      </c>
      <c r="R14">
        <f t="shared" si="7"/>
        <v>16.5</v>
      </c>
      <c r="S14">
        <f t="shared" si="8"/>
        <v>31.5</v>
      </c>
      <c r="T14">
        <f t="shared" si="9"/>
        <v>21.666666666666668</v>
      </c>
      <c r="AC14">
        <f t="shared" si="10"/>
        <v>16.5</v>
      </c>
      <c r="AD14">
        <f t="shared" si="11"/>
        <v>5.1666666666666679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topLeftCell="O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90</v>
      </c>
      <c r="C4">
        <v>10</v>
      </c>
      <c r="D4">
        <v>15</v>
      </c>
      <c r="E4">
        <v>85</v>
      </c>
      <c r="G4">
        <v>61</v>
      </c>
      <c r="H4">
        <v>39</v>
      </c>
      <c r="I4">
        <v>7</v>
      </c>
      <c r="J4">
        <v>93</v>
      </c>
      <c r="L4">
        <v>72</v>
      </c>
      <c r="M4">
        <v>28</v>
      </c>
      <c r="N4">
        <v>20</v>
      </c>
      <c r="O4">
        <v>80</v>
      </c>
      <c r="Q4">
        <f>AVERAGE(C4,D4)</f>
        <v>12.5</v>
      </c>
      <c r="R4">
        <f>AVERAGE(H4,I4)</f>
        <v>23</v>
      </c>
      <c r="S4">
        <f>AVERAGE(M4,N4)</f>
        <v>24</v>
      </c>
      <c r="T4">
        <f>AVERAGE(Q4:S4)</f>
        <v>19.833333333333332</v>
      </c>
      <c r="U4">
        <f>AVERAGE(Q4:Q10)</f>
        <v>14.214285714285714</v>
      </c>
      <c r="V4">
        <f>_xlfn.STDEV.S(Q4:Q10)</f>
        <v>2.0987524639084736</v>
      </c>
      <c r="W4">
        <f>AVERAGE(R4:R10)</f>
        <v>23</v>
      </c>
      <c r="X4">
        <f>_xlfn.STDEV.S(R4:R10)</f>
        <v>2.5495097567963922</v>
      </c>
      <c r="Y4">
        <f>AVERAGE(S4:S10)</f>
        <v>31.428571428571427</v>
      </c>
      <c r="Z4">
        <f>_xlfn.STDEV.S(S4:S10)</f>
        <v>5.2870011303555522</v>
      </c>
      <c r="AA4">
        <f>AVERAGE(T4:T10)</f>
        <v>22.88095238095238</v>
      </c>
      <c r="AB4">
        <f>_xlfn.STDEV.S(T4:T10)</f>
        <v>2.2601914981845255</v>
      </c>
      <c r="AC4">
        <f>MIN(Q4:S4)</f>
        <v>12.5</v>
      </c>
      <c r="AD4">
        <f>T4-AC4</f>
        <v>7.3333333333333321</v>
      </c>
      <c r="AE4">
        <f>AVERAGE(AD4:AD10)</f>
        <v>8.6666666666666661</v>
      </c>
      <c r="AF4">
        <f>_xlfn.STDEV.S(AD4:AD10)</f>
        <v>2.0971762320196583</v>
      </c>
    </row>
    <row r="5" spans="1:32" x14ac:dyDescent="0.3">
      <c r="B5">
        <v>87</v>
      </c>
      <c r="C5">
        <v>13</v>
      </c>
      <c r="D5">
        <v>15</v>
      </c>
      <c r="E5">
        <v>85</v>
      </c>
      <c r="G5">
        <v>49</v>
      </c>
      <c r="H5">
        <v>51</v>
      </c>
      <c r="I5">
        <v>2</v>
      </c>
      <c r="J5">
        <v>98</v>
      </c>
      <c r="L5">
        <v>58</v>
      </c>
      <c r="M5">
        <v>42</v>
      </c>
      <c r="N5">
        <v>25</v>
      </c>
      <c r="O5">
        <v>75</v>
      </c>
      <c r="Q5">
        <f t="shared" ref="Q5:Q10" si="0">AVERAGE(C5,D5)</f>
        <v>14</v>
      </c>
      <c r="R5">
        <f t="shared" ref="R5:R10" si="1">AVERAGE(H5,I5)</f>
        <v>26.5</v>
      </c>
      <c r="S5">
        <f t="shared" ref="S5:S10" si="2">AVERAGE(M5,N5)</f>
        <v>33.5</v>
      </c>
      <c r="T5">
        <f t="shared" ref="T5:T10" si="3">AVERAGE(Q5:S5)</f>
        <v>24.666666666666668</v>
      </c>
      <c r="AC5">
        <f t="shared" ref="AC5:AC10" si="4">MIN(Q5:S5)</f>
        <v>14</v>
      </c>
      <c r="AD5">
        <f t="shared" ref="AD5:AD10" si="5">T5-AC5</f>
        <v>10.666666666666668</v>
      </c>
    </row>
    <row r="6" spans="1:32" x14ac:dyDescent="0.3">
      <c r="A6" t="s">
        <v>20</v>
      </c>
      <c r="B6">
        <v>84</v>
      </c>
      <c r="C6">
        <v>16</v>
      </c>
      <c r="D6">
        <v>19</v>
      </c>
      <c r="E6">
        <v>81</v>
      </c>
      <c r="G6">
        <v>56</v>
      </c>
      <c r="H6">
        <v>44</v>
      </c>
      <c r="I6">
        <v>8</v>
      </c>
      <c r="J6">
        <v>92</v>
      </c>
      <c r="L6">
        <v>69</v>
      </c>
      <c r="M6">
        <v>31</v>
      </c>
      <c r="N6">
        <v>25</v>
      </c>
      <c r="O6">
        <v>75</v>
      </c>
      <c r="Q6">
        <f t="shared" si="0"/>
        <v>17.5</v>
      </c>
      <c r="R6">
        <f t="shared" si="1"/>
        <v>26</v>
      </c>
      <c r="S6">
        <f t="shared" si="2"/>
        <v>28</v>
      </c>
      <c r="T6">
        <f t="shared" si="3"/>
        <v>23.833333333333332</v>
      </c>
      <c r="AC6">
        <f t="shared" si="4"/>
        <v>17.5</v>
      </c>
      <c r="AD6">
        <f t="shared" si="5"/>
        <v>6.3333333333333321</v>
      </c>
    </row>
    <row r="7" spans="1:32" x14ac:dyDescent="0.3">
      <c r="B7">
        <v>90</v>
      </c>
      <c r="C7">
        <v>10</v>
      </c>
      <c r="D7">
        <v>12</v>
      </c>
      <c r="E7">
        <v>88</v>
      </c>
      <c r="G7">
        <v>67</v>
      </c>
      <c r="H7">
        <v>33</v>
      </c>
      <c r="I7">
        <v>8</v>
      </c>
      <c r="J7">
        <v>92</v>
      </c>
      <c r="L7">
        <v>58</v>
      </c>
      <c r="M7">
        <v>42</v>
      </c>
      <c r="N7">
        <v>23</v>
      </c>
      <c r="O7">
        <v>77</v>
      </c>
      <c r="Q7">
        <f t="shared" si="0"/>
        <v>11</v>
      </c>
      <c r="R7">
        <f t="shared" si="1"/>
        <v>20.5</v>
      </c>
      <c r="S7">
        <f t="shared" si="2"/>
        <v>32.5</v>
      </c>
      <c r="T7">
        <f t="shared" si="3"/>
        <v>21.333333333333332</v>
      </c>
      <c r="AC7">
        <f t="shared" si="4"/>
        <v>11</v>
      </c>
      <c r="AD7">
        <f t="shared" si="5"/>
        <v>10.333333333333332</v>
      </c>
    </row>
    <row r="8" spans="1:32" x14ac:dyDescent="0.3">
      <c r="B8">
        <v>89</v>
      </c>
      <c r="C8">
        <v>11</v>
      </c>
      <c r="D8">
        <v>19</v>
      </c>
      <c r="E8">
        <v>81</v>
      </c>
      <c r="G8">
        <v>62</v>
      </c>
      <c r="H8">
        <v>38</v>
      </c>
      <c r="I8">
        <v>9</v>
      </c>
      <c r="J8">
        <v>91</v>
      </c>
      <c r="L8">
        <v>52</v>
      </c>
      <c r="M8">
        <v>48</v>
      </c>
      <c r="N8">
        <v>34</v>
      </c>
      <c r="O8">
        <v>66</v>
      </c>
      <c r="Q8">
        <f t="shared" si="0"/>
        <v>15</v>
      </c>
      <c r="R8">
        <f t="shared" si="1"/>
        <v>23.5</v>
      </c>
      <c r="S8">
        <f t="shared" si="2"/>
        <v>41</v>
      </c>
      <c r="T8">
        <f t="shared" si="3"/>
        <v>26.5</v>
      </c>
      <c r="AC8">
        <f t="shared" si="4"/>
        <v>15</v>
      </c>
      <c r="AD8">
        <f t="shared" si="5"/>
        <v>11.5</v>
      </c>
    </row>
    <row r="9" spans="1:32" x14ac:dyDescent="0.3">
      <c r="B9">
        <v>88</v>
      </c>
      <c r="C9">
        <v>12</v>
      </c>
      <c r="D9">
        <v>16</v>
      </c>
      <c r="E9">
        <v>84</v>
      </c>
      <c r="G9">
        <v>65</v>
      </c>
      <c r="H9">
        <v>35</v>
      </c>
      <c r="I9">
        <v>8</v>
      </c>
      <c r="J9">
        <v>92</v>
      </c>
      <c r="L9">
        <v>65</v>
      </c>
      <c r="M9">
        <v>35</v>
      </c>
      <c r="N9">
        <v>24</v>
      </c>
      <c r="O9">
        <v>76</v>
      </c>
      <c r="Q9">
        <f t="shared" si="0"/>
        <v>14</v>
      </c>
      <c r="R9">
        <f t="shared" si="1"/>
        <v>21.5</v>
      </c>
      <c r="S9">
        <f t="shared" si="2"/>
        <v>29.5</v>
      </c>
      <c r="T9">
        <f t="shared" si="3"/>
        <v>21.666666666666668</v>
      </c>
      <c r="AC9">
        <f t="shared" si="4"/>
        <v>14</v>
      </c>
      <c r="AD9">
        <f t="shared" si="5"/>
        <v>7.6666666666666679</v>
      </c>
    </row>
    <row r="10" spans="1:32" x14ac:dyDescent="0.3">
      <c r="B10">
        <v>83</v>
      </c>
      <c r="C10">
        <v>17</v>
      </c>
      <c r="D10">
        <v>14</v>
      </c>
      <c r="E10">
        <v>86</v>
      </c>
      <c r="G10">
        <v>64</v>
      </c>
      <c r="H10">
        <v>36</v>
      </c>
      <c r="I10">
        <v>4</v>
      </c>
      <c r="J10">
        <v>96</v>
      </c>
      <c r="L10">
        <v>64</v>
      </c>
      <c r="M10">
        <v>36</v>
      </c>
      <c r="N10">
        <v>27</v>
      </c>
      <c r="O10">
        <v>73</v>
      </c>
      <c r="Q10">
        <f t="shared" si="0"/>
        <v>15.5</v>
      </c>
      <c r="R10">
        <f t="shared" si="1"/>
        <v>20</v>
      </c>
      <c r="S10">
        <f t="shared" si="2"/>
        <v>31.5</v>
      </c>
      <c r="T10">
        <f t="shared" si="3"/>
        <v>22.333333333333332</v>
      </c>
      <c r="AC10">
        <f t="shared" si="4"/>
        <v>15.5</v>
      </c>
      <c r="AD10">
        <f t="shared" si="5"/>
        <v>6.8333333333333321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85</v>
      </c>
      <c r="C4">
        <v>15</v>
      </c>
      <c r="D4">
        <v>20</v>
      </c>
      <c r="E4">
        <v>80</v>
      </c>
      <c r="G4">
        <v>74</v>
      </c>
      <c r="H4">
        <v>26</v>
      </c>
      <c r="I4">
        <v>5</v>
      </c>
      <c r="J4">
        <v>95</v>
      </c>
      <c r="L4">
        <v>68</v>
      </c>
      <c r="M4">
        <v>32</v>
      </c>
      <c r="N4">
        <v>24</v>
      </c>
      <c r="O4">
        <v>76</v>
      </c>
      <c r="Q4">
        <f>AVERAGE(C4,D4)</f>
        <v>17.5</v>
      </c>
      <c r="R4">
        <f>AVERAGE(H4,I4)</f>
        <v>15.5</v>
      </c>
      <c r="S4">
        <f>AVERAGE(M4,N4)</f>
        <v>28</v>
      </c>
      <c r="T4">
        <f>AVERAGE(Q4:S4)</f>
        <v>20.333333333333332</v>
      </c>
      <c r="U4">
        <f>AVERAGE(Q4:Q9)</f>
        <v>16.416666666666668</v>
      </c>
      <c r="V4">
        <f>_xlfn.STDEV.S(Q4:Q9)</f>
        <v>2.8881943609574914</v>
      </c>
      <c r="W4">
        <f>AVERAGE(R4:R9)</f>
        <v>15.416666666666666</v>
      </c>
      <c r="X4">
        <f>_xlfn.STDEV.S(R4:R9)</f>
        <v>1.2812754062521714</v>
      </c>
      <c r="Y4">
        <f>AVERAGE(S4:S9)</f>
        <v>29.916666666666668</v>
      </c>
      <c r="Z4">
        <f>_xlfn.STDEV.S(S4:S9)</f>
        <v>2.437553418218084</v>
      </c>
      <c r="AA4">
        <f>AVERAGE(T4:T9)</f>
        <v>20.583333333333332</v>
      </c>
      <c r="AB4">
        <f>_xlfn.STDEV.S(T4:T9)</f>
        <v>1.3570801990548194</v>
      </c>
      <c r="AC4">
        <f>MIN(Q4:S4)</f>
        <v>15.5</v>
      </c>
      <c r="AD4">
        <f>T4-AC4</f>
        <v>4.8333333333333321</v>
      </c>
      <c r="AE4">
        <f>AVERAGE(AD4:AD9)</f>
        <v>5.916666666666667</v>
      </c>
      <c r="AF4">
        <f>_xlfn.STDEV.S(AD4:AD9)</f>
        <v>1.0527741131569135</v>
      </c>
    </row>
    <row r="5" spans="1:32" x14ac:dyDescent="0.3">
      <c r="B5">
        <v>79</v>
      </c>
      <c r="C5">
        <v>21</v>
      </c>
      <c r="D5">
        <v>16</v>
      </c>
      <c r="E5">
        <v>84</v>
      </c>
      <c r="G5">
        <v>71</v>
      </c>
      <c r="H5">
        <v>29</v>
      </c>
      <c r="I5">
        <v>2</v>
      </c>
      <c r="J5">
        <v>98</v>
      </c>
      <c r="L5">
        <v>64</v>
      </c>
      <c r="M5">
        <v>36</v>
      </c>
      <c r="N5">
        <v>28</v>
      </c>
      <c r="O5">
        <v>72</v>
      </c>
      <c r="Q5">
        <f t="shared" ref="Q5:Q9" si="0">AVERAGE(C5,D5)</f>
        <v>18.5</v>
      </c>
      <c r="R5">
        <f t="shared" ref="R5:R9" si="1">AVERAGE(H5,I5)</f>
        <v>15.5</v>
      </c>
      <c r="S5">
        <f t="shared" ref="S5:S9" si="2">AVERAGE(M5,N5)</f>
        <v>32</v>
      </c>
      <c r="T5">
        <f t="shared" ref="T5:T9" si="3">AVERAGE(Q5:S5)</f>
        <v>22</v>
      </c>
      <c r="AC5">
        <f t="shared" ref="AC5:AC9" si="4">MIN(Q5:S5)</f>
        <v>15.5</v>
      </c>
      <c r="AD5">
        <f t="shared" ref="AD5:AD9" si="5">T5-AC5</f>
        <v>6.5</v>
      </c>
    </row>
    <row r="6" spans="1:32" x14ac:dyDescent="0.3">
      <c r="A6" t="s">
        <v>20</v>
      </c>
      <c r="B6">
        <v>88</v>
      </c>
      <c r="C6">
        <v>12</v>
      </c>
      <c r="D6">
        <v>18</v>
      </c>
      <c r="E6">
        <v>82</v>
      </c>
      <c r="G6">
        <v>78</v>
      </c>
      <c r="H6">
        <v>22</v>
      </c>
      <c r="I6">
        <v>5</v>
      </c>
      <c r="J6">
        <v>95</v>
      </c>
      <c r="L6">
        <v>74</v>
      </c>
      <c r="M6">
        <v>26</v>
      </c>
      <c r="N6">
        <v>27</v>
      </c>
      <c r="O6">
        <v>73</v>
      </c>
      <c r="Q6">
        <f t="shared" si="0"/>
        <v>15</v>
      </c>
      <c r="R6">
        <f t="shared" si="1"/>
        <v>13.5</v>
      </c>
      <c r="S6">
        <f t="shared" si="2"/>
        <v>26.5</v>
      </c>
      <c r="T6">
        <f t="shared" si="3"/>
        <v>18.333333333333332</v>
      </c>
      <c r="AC6">
        <f t="shared" si="4"/>
        <v>13.5</v>
      </c>
      <c r="AD6">
        <f t="shared" si="5"/>
        <v>4.8333333333333321</v>
      </c>
    </row>
    <row r="7" spans="1:32" x14ac:dyDescent="0.3">
      <c r="B7">
        <v>80</v>
      </c>
      <c r="C7">
        <v>20</v>
      </c>
      <c r="D7">
        <v>8</v>
      </c>
      <c r="E7">
        <v>92</v>
      </c>
      <c r="G7">
        <v>77</v>
      </c>
      <c r="H7">
        <v>23</v>
      </c>
      <c r="I7">
        <v>6</v>
      </c>
      <c r="J7">
        <v>94</v>
      </c>
      <c r="L7">
        <v>55</v>
      </c>
      <c r="M7">
        <v>45</v>
      </c>
      <c r="N7">
        <v>20</v>
      </c>
      <c r="O7">
        <v>80</v>
      </c>
      <c r="Q7">
        <f t="shared" si="0"/>
        <v>14</v>
      </c>
      <c r="R7">
        <f t="shared" si="1"/>
        <v>14.5</v>
      </c>
      <c r="S7">
        <f t="shared" si="2"/>
        <v>32.5</v>
      </c>
      <c r="T7">
        <f t="shared" si="3"/>
        <v>20.333333333333332</v>
      </c>
      <c r="AC7">
        <f t="shared" si="4"/>
        <v>14</v>
      </c>
      <c r="AD7">
        <f t="shared" si="5"/>
        <v>6.3333333333333321</v>
      </c>
    </row>
    <row r="8" spans="1:32" x14ac:dyDescent="0.3">
      <c r="B8">
        <v>85</v>
      </c>
      <c r="C8">
        <v>15</v>
      </c>
      <c r="D8">
        <v>11</v>
      </c>
      <c r="E8">
        <v>89</v>
      </c>
      <c r="G8">
        <v>74</v>
      </c>
      <c r="H8">
        <v>26</v>
      </c>
      <c r="I8">
        <v>8</v>
      </c>
      <c r="J8">
        <v>92</v>
      </c>
      <c r="L8">
        <v>74</v>
      </c>
      <c r="M8">
        <v>26</v>
      </c>
      <c r="N8">
        <v>37</v>
      </c>
      <c r="O8">
        <v>63</v>
      </c>
      <c r="Q8">
        <f t="shared" si="0"/>
        <v>13</v>
      </c>
      <c r="R8">
        <f t="shared" si="1"/>
        <v>17</v>
      </c>
      <c r="S8">
        <f t="shared" si="2"/>
        <v>31.5</v>
      </c>
      <c r="T8">
        <f t="shared" si="3"/>
        <v>20.5</v>
      </c>
      <c r="AC8">
        <f t="shared" si="4"/>
        <v>13</v>
      </c>
      <c r="AD8">
        <f t="shared" si="5"/>
        <v>7.5</v>
      </c>
    </row>
    <row r="9" spans="1:32" x14ac:dyDescent="0.3">
      <c r="B9">
        <v>80</v>
      </c>
      <c r="C9">
        <v>20</v>
      </c>
      <c r="D9">
        <v>21</v>
      </c>
      <c r="E9">
        <v>79</v>
      </c>
      <c r="G9">
        <v>75</v>
      </c>
      <c r="H9">
        <v>25</v>
      </c>
      <c r="I9">
        <v>8</v>
      </c>
      <c r="J9">
        <v>92</v>
      </c>
      <c r="L9">
        <v>69</v>
      </c>
      <c r="M9">
        <v>31</v>
      </c>
      <c r="N9">
        <v>27</v>
      </c>
      <c r="O9">
        <v>73</v>
      </c>
      <c r="Q9">
        <f t="shared" si="0"/>
        <v>20.5</v>
      </c>
      <c r="R9">
        <f t="shared" si="1"/>
        <v>16.5</v>
      </c>
      <c r="S9">
        <f t="shared" si="2"/>
        <v>29</v>
      </c>
      <c r="T9">
        <f t="shared" si="3"/>
        <v>22</v>
      </c>
      <c r="AC9">
        <f t="shared" si="4"/>
        <v>16.5</v>
      </c>
      <c r="AD9">
        <f t="shared" si="5"/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Foglio1</vt:lpstr>
      <vt:lpstr>MIT_DIFF_ONLYMIN_STDAUG</vt:lpstr>
      <vt:lpstr>PARBS_STDAUG</vt:lpstr>
      <vt:lpstr>MIT_DIFF_ONLYMIN_NOAUG</vt:lpstr>
      <vt:lpstr>MIT_PARBS_DIFF_ONLYMIN_STDAUG</vt:lpstr>
      <vt:lpstr>MIT_PARBS_STDAUG</vt:lpstr>
      <vt:lpstr>MIT_DIFF_STDAUG</vt:lpstr>
      <vt:lpstr>MIT_DIFF_NOAUG</vt:lpstr>
      <vt:lpstr>MIT_STDAUG</vt:lpstr>
      <vt:lpstr>MIT_NOAUG</vt:lpstr>
      <vt:lpstr>MIT_PARBS_NOAUG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2026-03-18T18:50:27Z</dcterms:modified>
</cp:coreProperties>
</file>