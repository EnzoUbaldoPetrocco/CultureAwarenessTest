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RTandDIM\LF\0.05\"/>
    </mc:Choice>
  </mc:AlternateContent>
  <xr:revisionPtr revIDLastSave="0" documentId="13_ncr:1_{1E666B25-95D9-4C6A-80A1-0CD3233739C1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oglio1" sheetId="1" r:id="rId1"/>
    <sheet name="DIFF_ONLYMIN" sheetId="21" r:id="rId2"/>
    <sheet name="DIFF" sheetId="8" r:id="rId3"/>
    <sheet name="STD_BAL_ADV_NOCLSDIV" sheetId="7" r:id="rId4"/>
    <sheet name="STD_BAL_ADV_CLSDIV" sheetId="6" r:id="rId5"/>
    <sheet name="STD_BAL_STDAUG" sheetId="5" r:id="rId6"/>
    <sheet name="STD_BAL_NOAUG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5" l="1"/>
  <c r="AE21" i="5"/>
  <c r="AD21" i="5"/>
  <c r="AC21" i="5"/>
  <c r="AB21" i="5"/>
  <c r="AA21" i="5"/>
  <c r="Z21" i="5"/>
  <c r="Y21" i="5"/>
  <c r="X21" i="5"/>
  <c r="W21" i="5"/>
  <c r="AF16" i="5"/>
  <c r="AE16" i="5"/>
  <c r="AD16" i="5"/>
  <c r="AC16" i="5"/>
  <c r="Q21" i="5"/>
  <c r="R21" i="5"/>
  <c r="S21" i="5"/>
  <c r="T21" i="5"/>
  <c r="V21" i="5" s="1"/>
  <c r="U21" i="5"/>
  <c r="Q22" i="5"/>
  <c r="R22" i="5"/>
  <c r="S22" i="5"/>
  <c r="T22" i="5"/>
  <c r="U22" i="5"/>
  <c r="V22" i="5"/>
  <c r="AC3" i="21"/>
  <c r="AD3" i="21"/>
  <c r="Q3" i="21"/>
  <c r="R3" i="21"/>
  <c r="S3" i="21"/>
  <c r="T3" i="21"/>
  <c r="S2" i="21"/>
  <c r="Z2" i="21" s="1"/>
  <c r="R2" i="21"/>
  <c r="W2" i="21" s="1"/>
  <c r="Q2" i="21"/>
  <c r="AF9" i="8"/>
  <c r="AE9" i="8"/>
  <c r="AB9" i="8"/>
  <c r="AA9" i="8"/>
  <c r="Z9" i="8"/>
  <c r="Y9" i="8"/>
  <c r="X9" i="8"/>
  <c r="W9" i="8"/>
  <c r="V9" i="8"/>
  <c r="U9" i="8"/>
  <c r="AC11" i="8"/>
  <c r="AD11" i="8" s="1"/>
  <c r="AC9" i="8"/>
  <c r="AD9" i="8" s="1"/>
  <c r="AC10" i="8"/>
  <c r="AD10" i="8"/>
  <c r="Q9" i="8"/>
  <c r="R9" i="8"/>
  <c r="S9" i="8"/>
  <c r="T9" i="8"/>
  <c r="Q10" i="8"/>
  <c r="T10" i="8" s="1"/>
  <c r="R10" i="8"/>
  <c r="S10" i="8"/>
  <c r="Q11" i="8"/>
  <c r="R11" i="8"/>
  <c r="S11" i="8"/>
  <c r="T11" i="8"/>
  <c r="Q5" i="8"/>
  <c r="R5" i="8"/>
  <c r="W4" i="8" s="1"/>
  <c r="S5" i="8"/>
  <c r="Y4" i="8" s="1"/>
  <c r="Q6" i="8"/>
  <c r="R6" i="8"/>
  <c r="S6" i="8"/>
  <c r="AC6" i="8" s="1"/>
  <c r="T6" i="8"/>
  <c r="AD6" i="8" s="1"/>
  <c r="Q7" i="8"/>
  <c r="R7" i="8"/>
  <c r="S7" i="8"/>
  <c r="T7" i="8" s="1"/>
  <c r="S4" i="8"/>
  <c r="Z4" i="8" s="1"/>
  <c r="R4" i="8"/>
  <c r="X4" i="8" s="1"/>
  <c r="Q4" i="8"/>
  <c r="T4" i="8" s="1"/>
  <c r="V36" i="7"/>
  <c r="U36" i="7"/>
  <c r="T36" i="7"/>
  <c r="S36" i="7"/>
  <c r="R36" i="7"/>
  <c r="Q36" i="7"/>
  <c r="S35" i="7"/>
  <c r="R35" i="7"/>
  <c r="Q35" i="7"/>
  <c r="U35" i="7" s="1"/>
  <c r="U34" i="7"/>
  <c r="T34" i="7"/>
  <c r="V34" i="7" s="1"/>
  <c r="S34" i="7"/>
  <c r="R34" i="7"/>
  <c r="Q34" i="7"/>
  <c r="S33" i="7"/>
  <c r="R33" i="7"/>
  <c r="Q33" i="7"/>
  <c r="U33" i="7" s="1"/>
  <c r="S32" i="7"/>
  <c r="R32" i="7"/>
  <c r="Q32" i="7"/>
  <c r="T32" i="7" s="1"/>
  <c r="S31" i="7"/>
  <c r="R31" i="7"/>
  <c r="Q31" i="7"/>
  <c r="U31" i="7" s="1"/>
  <c r="S14" i="7"/>
  <c r="R14" i="7"/>
  <c r="Q14" i="7"/>
  <c r="S13" i="7"/>
  <c r="R13" i="7"/>
  <c r="Q13" i="7"/>
  <c r="U13" i="7" s="1"/>
  <c r="S12" i="7"/>
  <c r="R12" i="7"/>
  <c r="Q12" i="7"/>
  <c r="U12" i="7" s="1"/>
  <c r="AB11" i="7"/>
  <c r="AA11" i="7"/>
  <c r="S11" i="7"/>
  <c r="R11" i="7"/>
  <c r="Q11" i="7"/>
  <c r="S9" i="7"/>
  <c r="R9" i="7"/>
  <c r="Q9" i="7"/>
  <c r="U9" i="7" s="1"/>
  <c r="S8" i="7"/>
  <c r="R8" i="7"/>
  <c r="Q8" i="7"/>
  <c r="U8" i="7" s="1"/>
  <c r="S7" i="7"/>
  <c r="R7" i="7"/>
  <c r="Q7" i="7"/>
  <c r="U7" i="7" s="1"/>
  <c r="S6" i="7"/>
  <c r="AA6" i="7" s="1"/>
  <c r="R6" i="7"/>
  <c r="Z6" i="7" s="1"/>
  <c r="Q6" i="7"/>
  <c r="W6" i="7" s="1"/>
  <c r="S4" i="7"/>
  <c r="R4" i="7"/>
  <c r="Q4" i="7"/>
  <c r="S3" i="7"/>
  <c r="AB3" i="7" s="1"/>
  <c r="R3" i="7"/>
  <c r="Z3" i="7" s="1"/>
  <c r="Q3" i="7"/>
  <c r="X3" i="7" s="1"/>
  <c r="AF11" i="6"/>
  <c r="AE11" i="6"/>
  <c r="AD11" i="6"/>
  <c r="AC11" i="6"/>
  <c r="AB11" i="6"/>
  <c r="AA11" i="6"/>
  <c r="Z11" i="6"/>
  <c r="Y11" i="6"/>
  <c r="X11" i="6"/>
  <c r="W11" i="6"/>
  <c r="AF6" i="6"/>
  <c r="AE6" i="6"/>
  <c r="AD6" i="6"/>
  <c r="AC6" i="6"/>
  <c r="AB6" i="6"/>
  <c r="AA6" i="6"/>
  <c r="Z6" i="6"/>
  <c r="Y6" i="6"/>
  <c r="X6" i="6"/>
  <c r="W6" i="6"/>
  <c r="AF3" i="6"/>
  <c r="AE3" i="6"/>
  <c r="AD3" i="6"/>
  <c r="AC3" i="6"/>
  <c r="AB3" i="6"/>
  <c r="AA3" i="6"/>
  <c r="Z3" i="6"/>
  <c r="Y3" i="6"/>
  <c r="X3" i="6"/>
  <c r="W3" i="6"/>
  <c r="Q4" i="6"/>
  <c r="R4" i="6"/>
  <c r="S4" i="6"/>
  <c r="T4" i="6"/>
  <c r="V4" i="6" s="1"/>
  <c r="U4" i="6"/>
  <c r="Q6" i="6"/>
  <c r="R6" i="6"/>
  <c r="S6" i="6"/>
  <c r="T6" i="6"/>
  <c r="U6" i="6"/>
  <c r="V6" i="6"/>
  <c r="Q7" i="6"/>
  <c r="T7" i="6" s="1"/>
  <c r="R7" i="6"/>
  <c r="S7" i="6"/>
  <c r="Q8" i="6"/>
  <c r="R8" i="6"/>
  <c r="S8" i="6"/>
  <c r="T8" i="6"/>
  <c r="U8" i="6"/>
  <c r="V8" i="6"/>
  <c r="Q9" i="6"/>
  <c r="R9" i="6"/>
  <c r="S9" i="6"/>
  <c r="T9" i="6"/>
  <c r="U9" i="6"/>
  <c r="V9" i="6"/>
  <c r="Q11" i="6"/>
  <c r="R11" i="6"/>
  <c r="S11" i="6"/>
  <c r="T11" i="6"/>
  <c r="U11" i="6"/>
  <c r="V11" i="6"/>
  <c r="Q12" i="6"/>
  <c r="R12" i="6"/>
  <c r="S12" i="6"/>
  <c r="T12" i="6"/>
  <c r="V12" i="6" s="1"/>
  <c r="U12" i="6"/>
  <c r="Q13" i="6"/>
  <c r="R13" i="6"/>
  <c r="S13" i="6"/>
  <c r="T13" i="6"/>
  <c r="U13" i="6"/>
  <c r="V13" i="6"/>
  <c r="Q14" i="6"/>
  <c r="R14" i="6"/>
  <c r="S14" i="6"/>
  <c r="T14" i="6"/>
  <c r="U14" i="6"/>
  <c r="V14" i="6"/>
  <c r="V3" i="6"/>
  <c r="U3" i="6"/>
  <c r="T3" i="6"/>
  <c r="S3" i="6"/>
  <c r="R3" i="6"/>
  <c r="Q3" i="6"/>
  <c r="V18" i="5"/>
  <c r="V17" i="5"/>
  <c r="V16" i="5"/>
  <c r="AB16" i="5"/>
  <c r="AA16" i="5"/>
  <c r="Z16" i="5"/>
  <c r="Y16" i="5"/>
  <c r="X16" i="5"/>
  <c r="W16" i="5"/>
  <c r="AF3" i="2"/>
  <c r="AE3" i="2"/>
  <c r="AD3" i="2"/>
  <c r="AC3" i="2"/>
  <c r="AB3" i="2"/>
  <c r="AA3" i="2"/>
  <c r="Z3" i="2"/>
  <c r="Y3" i="2"/>
  <c r="X3" i="2"/>
  <c r="W3" i="2"/>
  <c r="Q4" i="2"/>
  <c r="T4" i="2" s="1"/>
  <c r="R4" i="2"/>
  <c r="S4" i="2"/>
  <c r="Q5" i="2"/>
  <c r="R5" i="2"/>
  <c r="S5" i="2"/>
  <c r="T5" i="2"/>
  <c r="U5" i="2"/>
  <c r="V5" i="2"/>
  <c r="V3" i="2"/>
  <c r="U3" i="2"/>
  <c r="T3" i="2"/>
  <c r="S3" i="2"/>
  <c r="R3" i="2"/>
  <c r="Q3" i="2"/>
  <c r="W31" i="6"/>
  <c r="T32" i="6"/>
  <c r="U33" i="6"/>
  <c r="Q31" i="6"/>
  <c r="T31" i="6" s="1"/>
  <c r="X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U34" i="6" s="1"/>
  <c r="Q35" i="6"/>
  <c r="U35" i="6" s="1"/>
  <c r="R35" i="6"/>
  <c r="S35" i="6"/>
  <c r="Q36" i="6"/>
  <c r="U36" i="6" s="1"/>
  <c r="R36" i="6"/>
  <c r="S36" i="6"/>
  <c r="U86" i="5"/>
  <c r="S4" i="5"/>
  <c r="S5" i="5"/>
  <c r="S6" i="5"/>
  <c r="S7" i="5"/>
  <c r="S8" i="5"/>
  <c r="S9" i="5"/>
  <c r="S10" i="5"/>
  <c r="S11" i="5"/>
  <c r="S12" i="5"/>
  <c r="S16" i="5"/>
  <c r="S17" i="5"/>
  <c r="S18" i="5"/>
  <c r="S28" i="5"/>
  <c r="S29" i="5"/>
  <c r="S30" i="5"/>
  <c r="S34" i="5"/>
  <c r="S35" i="5"/>
  <c r="S36" i="5"/>
  <c r="S37" i="5"/>
  <c r="S38" i="5"/>
  <c r="S39" i="5"/>
  <c r="S40" i="5"/>
  <c r="S41" i="5"/>
  <c r="S42" i="5"/>
  <c r="S46" i="5"/>
  <c r="S47" i="5"/>
  <c r="S48" i="5"/>
  <c r="S49" i="5"/>
  <c r="S50" i="5"/>
  <c r="S51" i="5"/>
  <c r="S52" i="5"/>
  <c r="S53" i="5"/>
  <c r="S54" i="5"/>
  <c r="S58" i="5"/>
  <c r="S59" i="5"/>
  <c r="S63" i="5"/>
  <c r="S64" i="5"/>
  <c r="S65" i="5"/>
  <c r="S66" i="5"/>
  <c r="S67" i="5"/>
  <c r="S68" i="5"/>
  <c r="S69" i="5"/>
  <c r="S73" i="5"/>
  <c r="S74" i="5"/>
  <c r="S75" i="5"/>
  <c r="S79" i="5"/>
  <c r="S80" i="5"/>
  <c r="S81" i="5"/>
  <c r="S82" i="5"/>
  <c r="S83" i="5"/>
  <c r="S84" i="5"/>
  <c r="S85" i="5"/>
  <c r="S86" i="5"/>
  <c r="S87" i="5"/>
  <c r="S88" i="5"/>
  <c r="S92" i="5"/>
  <c r="AN13" i="5" s="1"/>
  <c r="S93" i="5"/>
  <c r="S94" i="5"/>
  <c r="S95" i="5"/>
  <c r="S96" i="5"/>
  <c r="S97" i="5"/>
  <c r="S101" i="5"/>
  <c r="S102" i="5"/>
  <c r="S103" i="5"/>
  <c r="S104" i="5"/>
  <c r="S105" i="5"/>
  <c r="S106" i="5"/>
  <c r="S107" i="5"/>
  <c r="S108" i="5"/>
  <c r="S109" i="5"/>
  <c r="S3" i="5"/>
  <c r="R4" i="5"/>
  <c r="R5" i="5"/>
  <c r="R6" i="5"/>
  <c r="R7" i="5"/>
  <c r="R8" i="5"/>
  <c r="R9" i="5"/>
  <c r="R10" i="5"/>
  <c r="R11" i="5"/>
  <c r="R12" i="5"/>
  <c r="R16" i="5"/>
  <c r="R17" i="5"/>
  <c r="R18" i="5"/>
  <c r="R28" i="5"/>
  <c r="R29" i="5"/>
  <c r="R30" i="5"/>
  <c r="R34" i="5"/>
  <c r="R35" i="5"/>
  <c r="R36" i="5"/>
  <c r="R37" i="5"/>
  <c r="R38" i="5"/>
  <c r="R39" i="5"/>
  <c r="R40" i="5"/>
  <c r="R41" i="5"/>
  <c r="R42" i="5"/>
  <c r="R46" i="5"/>
  <c r="R47" i="5"/>
  <c r="R48" i="5"/>
  <c r="R49" i="5"/>
  <c r="R50" i="5"/>
  <c r="R51" i="5"/>
  <c r="R52" i="5"/>
  <c r="R53" i="5"/>
  <c r="R54" i="5"/>
  <c r="R58" i="5"/>
  <c r="R59" i="5"/>
  <c r="R63" i="5"/>
  <c r="R64" i="5"/>
  <c r="R65" i="5"/>
  <c r="R66" i="5"/>
  <c r="R67" i="5"/>
  <c r="R68" i="5"/>
  <c r="R69" i="5"/>
  <c r="R73" i="5"/>
  <c r="R74" i="5"/>
  <c r="R75" i="5"/>
  <c r="R79" i="5"/>
  <c r="R80" i="5"/>
  <c r="R81" i="5"/>
  <c r="R82" i="5"/>
  <c r="R83" i="5"/>
  <c r="R84" i="5"/>
  <c r="R85" i="5"/>
  <c r="R86" i="5"/>
  <c r="R87" i="5"/>
  <c r="R88" i="5"/>
  <c r="R92" i="5"/>
  <c r="AK13" i="5" s="1"/>
  <c r="R93" i="5"/>
  <c r="R94" i="5"/>
  <c r="R95" i="5"/>
  <c r="R96" i="5"/>
  <c r="R97" i="5"/>
  <c r="R101" i="5"/>
  <c r="R102" i="5"/>
  <c r="R103" i="5"/>
  <c r="R104" i="5"/>
  <c r="R105" i="5"/>
  <c r="R106" i="5"/>
  <c r="R107" i="5"/>
  <c r="R108" i="5"/>
  <c r="R109" i="5"/>
  <c r="R3" i="5"/>
  <c r="Q4" i="5"/>
  <c r="T4" i="5" s="1"/>
  <c r="Q5" i="5"/>
  <c r="Q6" i="5"/>
  <c r="Q7" i="5"/>
  <c r="Q8" i="5"/>
  <c r="Q9" i="5"/>
  <c r="T9" i="5" s="1"/>
  <c r="Q10" i="5"/>
  <c r="T10" i="5" s="1"/>
  <c r="Q11" i="5"/>
  <c r="T11" i="5" s="1"/>
  <c r="Q12" i="5"/>
  <c r="U12" i="5" s="1"/>
  <c r="Q16" i="5"/>
  <c r="Q17" i="5"/>
  <c r="T17" i="5" s="1"/>
  <c r="Q18" i="5"/>
  <c r="T18" i="5" s="1"/>
  <c r="Q28" i="5"/>
  <c r="Q29" i="5"/>
  <c r="Q30" i="5"/>
  <c r="Q34" i="5"/>
  <c r="T34" i="5" s="1"/>
  <c r="AD34" i="5" s="1"/>
  <c r="Q35" i="5"/>
  <c r="T35" i="5" s="1"/>
  <c r="Q36" i="5"/>
  <c r="T36" i="5" s="1"/>
  <c r="Q37" i="5"/>
  <c r="U37" i="5" s="1"/>
  <c r="Q38" i="5"/>
  <c r="T38" i="5" s="1"/>
  <c r="Q39" i="5"/>
  <c r="T39" i="5" s="1"/>
  <c r="Q40" i="5"/>
  <c r="U40" i="5" s="1"/>
  <c r="Q41" i="5"/>
  <c r="T41" i="5" s="1"/>
  <c r="Q42" i="5"/>
  <c r="U42" i="5" s="1"/>
  <c r="Q46" i="5"/>
  <c r="U46" i="5" s="1"/>
  <c r="Q47" i="5"/>
  <c r="U47" i="5" s="1"/>
  <c r="Q48" i="5"/>
  <c r="T48" i="5" s="1"/>
  <c r="Q49" i="5"/>
  <c r="Q50" i="5"/>
  <c r="Q51" i="5"/>
  <c r="Q52" i="5"/>
  <c r="Q53" i="5"/>
  <c r="T53" i="5" s="1"/>
  <c r="Q54" i="5"/>
  <c r="T54" i="5" s="1"/>
  <c r="Q58" i="5"/>
  <c r="T58" i="5" s="1"/>
  <c r="AD58" i="5" s="1"/>
  <c r="Q59" i="5"/>
  <c r="U59" i="5" s="1"/>
  <c r="Q63" i="5"/>
  <c r="U63" i="5" s="1"/>
  <c r="Q64" i="5"/>
  <c r="T64" i="5" s="1"/>
  <c r="Q65" i="5"/>
  <c r="T65" i="5" s="1"/>
  <c r="Q66" i="5"/>
  <c r="U66" i="5" s="1"/>
  <c r="Q67" i="5"/>
  <c r="U67" i="5" s="1"/>
  <c r="Q68" i="5"/>
  <c r="U68" i="5" s="1"/>
  <c r="Q69" i="5"/>
  <c r="U69" i="5" s="1"/>
  <c r="Q73" i="5"/>
  <c r="T73" i="5" s="1"/>
  <c r="Q74" i="5"/>
  <c r="Q75" i="5"/>
  <c r="Q79" i="5"/>
  <c r="Q80" i="5"/>
  <c r="T80" i="5" s="1"/>
  <c r="Q81" i="5"/>
  <c r="T81" i="5" s="1"/>
  <c r="Q82" i="5"/>
  <c r="T82" i="5" s="1"/>
  <c r="Q83" i="5"/>
  <c r="T83" i="5" s="1"/>
  <c r="Q84" i="5"/>
  <c r="U84" i="5" s="1"/>
  <c r="Q85" i="5"/>
  <c r="T85" i="5" s="1"/>
  <c r="Q86" i="5"/>
  <c r="T86" i="5" s="1"/>
  <c r="Q87" i="5"/>
  <c r="U87" i="5" s="1"/>
  <c r="Q88" i="5"/>
  <c r="U88" i="5" s="1"/>
  <c r="Q92" i="5"/>
  <c r="U92" i="5" s="1"/>
  <c r="Q93" i="5"/>
  <c r="U93" i="5" s="1"/>
  <c r="Q94" i="5"/>
  <c r="U94" i="5" s="1"/>
  <c r="Q95" i="5"/>
  <c r="T95" i="5" s="1"/>
  <c r="Q96" i="5"/>
  <c r="Q97" i="5"/>
  <c r="Q101" i="5"/>
  <c r="Q102" i="5"/>
  <c r="Q103" i="5"/>
  <c r="T103" i="5" s="1"/>
  <c r="Q104" i="5"/>
  <c r="T104" i="5" s="1"/>
  <c r="Q105" i="5"/>
  <c r="T105" i="5" s="1"/>
  <c r="Q106" i="5"/>
  <c r="U106" i="5" s="1"/>
  <c r="Q107" i="5"/>
  <c r="U107" i="5" s="1"/>
  <c r="Q108" i="5"/>
  <c r="T108" i="5" s="1"/>
  <c r="Q109" i="5"/>
  <c r="T109" i="5" s="1"/>
  <c r="Q3" i="5"/>
  <c r="T3" i="5" s="1"/>
  <c r="AC2" i="21" l="1"/>
  <c r="U2" i="21"/>
  <c r="X2" i="21"/>
  <c r="T2" i="21"/>
  <c r="V2" i="21"/>
  <c r="Y2" i="21"/>
  <c r="AC7" i="8"/>
  <c r="T5" i="8"/>
  <c r="AC4" i="8"/>
  <c r="V4" i="8"/>
  <c r="U4" i="8"/>
  <c r="AB4" i="8"/>
  <c r="AA4" i="8"/>
  <c r="AD4" i="8"/>
  <c r="AD7" i="8"/>
  <c r="AC5" i="8"/>
  <c r="AD5" i="8" s="1"/>
  <c r="W3" i="7"/>
  <c r="T8" i="7"/>
  <c r="V8" i="7" s="1"/>
  <c r="Y11" i="7"/>
  <c r="W11" i="7"/>
  <c r="T13" i="7"/>
  <c r="V13" i="7" s="1"/>
  <c r="X11" i="7"/>
  <c r="U4" i="7"/>
  <c r="AB6" i="7"/>
  <c r="Z11" i="7"/>
  <c r="U32" i="7"/>
  <c r="V32" i="7" s="1"/>
  <c r="X6" i="7"/>
  <c r="T31" i="7"/>
  <c r="T33" i="7"/>
  <c r="V33" i="7" s="1"/>
  <c r="T3" i="7"/>
  <c r="T4" i="7"/>
  <c r="V4" i="7" s="1"/>
  <c r="U3" i="7"/>
  <c r="T9" i="7"/>
  <c r="V9" i="7" s="1"/>
  <c r="T14" i="7"/>
  <c r="Y3" i="7"/>
  <c r="U14" i="7"/>
  <c r="T6" i="7"/>
  <c r="T7" i="7"/>
  <c r="V7" i="7" s="1"/>
  <c r="T35" i="7"/>
  <c r="V35" i="7" s="1"/>
  <c r="AA3" i="7"/>
  <c r="U6" i="7"/>
  <c r="T11" i="7"/>
  <c r="T12" i="7"/>
  <c r="V12" i="7" s="1"/>
  <c r="U11" i="7"/>
  <c r="Y6" i="7"/>
  <c r="V7" i="6"/>
  <c r="U7" i="6"/>
  <c r="AN12" i="5"/>
  <c r="AL12" i="5"/>
  <c r="AJ12" i="5"/>
  <c r="V4" i="2"/>
  <c r="U4" i="2"/>
  <c r="AK12" i="5"/>
  <c r="T87" i="5"/>
  <c r="V87" i="5" s="1"/>
  <c r="T84" i="5"/>
  <c r="V84" i="5" s="1"/>
  <c r="T59" i="5"/>
  <c r="V59" i="5" s="1"/>
  <c r="T16" i="5"/>
  <c r="T12" i="5"/>
  <c r="V12" i="5" s="1"/>
  <c r="U3" i="5"/>
  <c r="V3" i="5" s="1"/>
  <c r="U109" i="5"/>
  <c r="V109" i="5" s="1"/>
  <c r="U108" i="5"/>
  <c r="V108" i="5" s="1"/>
  <c r="T92" i="5"/>
  <c r="AD92" i="5" s="1"/>
  <c r="AI13" i="5"/>
  <c r="T63" i="5"/>
  <c r="V63" i="5" s="1"/>
  <c r="U36" i="5"/>
  <c r="V36" i="5" s="1"/>
  <c r="U35" i="5"/>
  <c r="V35" i="5" s="1"/>
  <c r="U34" i="5"/>
  <c r="V34" i="5" s="1"/>
  <c r="AE34" i="5" s="1"/>
  <c r="T69" i="5"/>
  <c r="V69" i="5" s="1"/>
  <c r="T67" i="5"/>
  <c r="V67" i="5" s="1"/>
  <c r="U65" i="5"/>
  <c r="V65" i="5" s="1"/>
  <c r="T46" i="5"/>
  <c r="V46" i="5" s="1"/>
  <c r="AE46" i="5" s="1"/>
  <c r="T68" i="5"/>
  <c r="V68" i="5" s="1"/>
  <c r="V86" i="5"/>
  <c r="U64" i="5"/>
  <c r="V64" i="5" s="1"/>
  <c r="T47" i="5"/>
  <c r="V47" i="5" s="1"/>
  <c r="U39" i="5"/>
  <c r="V39" i="5" s="1"/>
  <c r="T42" i="5"/>
  <c r="V42" i="5" s="1"/>
  <c r="T40" i="5"/>
  <c r="V40" i="5" s="1"/>
  <c r="T107" i="5"/>
  <c r="V107" i="5" s="1"/>
  <c r="T37" i="5"/>
  <c r="V37" i="5" s="1"/>
  <c r="T106" i="5"/>
  <c r="V106" i="5" s="1"/>
  <c r="U18" i="5"/>
  <c r="T94" i="5"/>
  <c r="V94" i="5" s="1"/>
  <c r="T93" i="5"/>
  <c r="V93" i="5" s="1"/>
  <c r="U85" i="5"/>
  <c r="V85" i="5" s="1"/>
  <c r="AL13" i="5"/>
  <c r="U81" i="5"/>
  <c r="V81" i="5" s="1"/>
  <c r="U17" i="5"/>
  <c r="U83" i="5"/>
  <c r="V83" i="5" s="1"/>
  <c r="T66" i="5"/>
  <c r="V66" i="5" s="1"/>
  <c r="U82" i="5"/>
  <c r="V82" i="5" s="1"/>
  <c r="U16" i="5"/>
  <c r="U41" i="5"/>
  <c r="V41" i="5" s="1"/>
  <c r="T88" i="5"/>
  <c r="V88" i="5" s="1"/>
  <c r="U38" i="5"/>
  <c r="V38" i="5" s="1"/>
  <c r="AI12" i="5"/>
  <c r="T30" i="5"/>
  <c r="U30" i="5"/>
  <c r="T102" i="5"/>
  <c r="U102" i="5"/>
  <c r="U8" i="5"/>
  <c r="T8" i="5"/>
  <c r="T79" i="5"/>
  <c r="U79" i="5"/>
  <c r="T51" i="5"/>
  <c r="U51" i="5"/>
  <c r="AM13" i="5"/>
  <c r="T75" i="5"/>
  <c r="U75" i="5"/>
  <c r="T50" i="5"/>
  <c r="U50" i="5"/>
  <c r="T6" i="5"/>
  <c r="U6" i="5"/>
  <c r="T49" i="5"/>
  <c r="U49" i="5"/>
  <c r="AC34" i="5"/>
  <c r="U105" i="5"/>
  <c r="V105" i="5" s="1"/>
  <c r="U104" i="5"/>
  <c r="V104" i="5" s="1"/>
  <c r="U58" i="5"/>
  <c r="V58" i="5" s="1"/>
  <c r="U11" i="5"/>
  <c r="V11" i="5" s="1"/>
  <c r="U103" i="5"/>
  <c r="V103" i="5" s="1"/>
  <c r="U54" i="5"/>
  <c r="V54" i="5" s="1"/>
  <c r="U10" i="5"/>
  <c r="V10" i="5" s="1"/>
  <c r="AC58" i="5"/>
  <c r="U53" i="5"/>
  <c r="V53" i="5" s="1"/>
  <c r="U9" i="5"/>
  <c r="V9" i="5" s="1"/>
  <c r="U52" i="5"/>
  <c r="T52" i="5"/>
  <c r="V52" i="5" s="1"/>
  <c r="T29" i="5"/>
  <c r="U29" i="5"/>
  <c r="T97" i="5"/>
  <c r="U97" i="5"/>
  <c r="T74" i="5"/>
  <c r="U74" i="5"/>
  <c r="AD73" i="5"/>
  <c r="AC73" i="5"/>
  <c r="U80" i="5"/>
  <c r="V80" i="5" s="1"/>
  <c r="T101" i="5"/>
  <c r="U101" i="5"/>
  <c r="T7" i="5"/>
  <c r="U7" i="5"/>
  <c r="T28" i="5"/>
  <c r="U28" i="5"/>
  <c r="T96" i="5"/>
  <c r="U96" i="5"/>
  <c r="T5" i="5"/>
  <c r="U5" i="5"/>
  <c r="AD3" i="5"/>
  <c r="AC3" i="5"/>
  <c r="AM12" i="5"/>
  <c r="U95" i="5"/>
  <c r="V95" i="5" s="1"/>
  <c r="U73" i="5"/>
  <c r="V73" i="5" s="1"/>
  <c r="U48" i="5"/>
  <c r="V48" i="5" s="1"/>
  <c r="U4" i="5"/>
  <c r="V4" i="5" s="1"/>
  <c r="AJ13" i="5"/>
  <c r="V33" i="6"/>
  <c r="V34" i="6"/>
  <c r="V31" i="6"/>
  <c r="V32" i="6"/>
  <c r="T36" i="6"/>
  <c r="V36" i="6" s="1"/>
  <c r="T35" i="6"/>
  <c r="V35" i="6" s="1"/>
  <c r="AD2" i="21" l="1"/>
  <c r="AB2" i="21"/>
  <c r="AA2" i="21"/>
  <c r="AF4" i="8"/>
  <c r="AE4" i="8"/>
  <c r="V6" i="7"/>
  <c r="AD6" i="7"/>
  <c r="AC6" i="7"/>
  <c r="V14" i="7"/>
  <c r="AC3" i="7"/>
  <c r="V3" i="7"/>
  <c r="AD3" i="7"/>
  <c r="W31" i="7"/>
  <c r="V31" i="7"/>
  <c r="X31" i="7"/>
  <c r="AD11" i="7"/>
  <c r="AC11" i="7"/>
  <c r="V11" i="7"/>
  <c r="AC92" i="5"/>
  <c r="V92" i="5"/>
  <c r="AD63" i="5"/>
  <c r="AC63" i="5"/>
  <c r="AD46" i="5"/>
  <c r="AF46" i="5"/>
  <c r="AC46" i="5"/>
  <c r="AF34" i="5"/>
  <c r="V29" i="5"/>
  <c r="V8" i="5"/>
  <c r="V50" i="5"/>
  <c r="AE92" i="5"/>
  <c r="AF92" i="5"/>
  <c r="V75" i="5"/>
  <c r="AF63" i="5"/>
  <c r="AE63" i="5"/>
  <c r="AF3" i="5"/>
  <c r="AE3" i="5"/>
  <c r="V51" i="5"/>
  <c r="V5" i="5"/>
  <c r="AF73" i="5"/>
  <c r="AE73" i="5"/>
  <c r="AD79" i="5"/>
  <c r="AC79" i="5"/>
  <c r="V79" i="5"/>
  <c r="V96" i="5"/>
  <c r="AD28" i="5"/>
  <c r="V28" i="5"/>
  <c r="AC28" i="5"/>
  <c r="V49" i="5"/>
  <c r="V74" i="5"/>
  <c r="AF58" i="5"/>
  <c r="AE58" i="5"/>
  <c r="V102" i="5"/>
  <c r="V7" i="5"/>
  <c r="V97" i="5"/>
  <c r="AC101" i="5"/>
  <c r="AD101" i="5"/>
  <c r="V101" i="5"/>
  <c r="V6" i="5"/>
  <c r="V30" i="5"/>
  <c r="Z31" i="6"/>
  <c r="Y31" i="6"/>
  <c r="AF2" i="21" l="1"/>
  <c r="AE2" i="21"/>
  <c r="AF11" i="7"/>
  <c r="AE11" i="7"/>
  <c r="Y31" i="7"/>
  <c r="Z31" i="7"/>
  <c r="AF3" i="7"/>
  <c r="AE3" i="7"/>
  <c r="AF6" i="7"/>
  <c r="AE6" i="7"/>
  <c r="AF79" i="5"/>
  <c r="AE79" i="5"/>
  <c r="AE101" i="5"/>
  <c r="AF101" i="5"/>
  <c r="AE28" i="5"/>
  <c r="AF28" i="5"/>
</calcChain>
</file>

<file path=xl/sharedStrings.xml><?xml version="1.0" encoding="utf-8"?>
<sst xmlns="http://schemas.openxmlformats.org/spreadsheetml/2006/main" count="201" uniqueCount="62">
  <si>
    <t>Dati originali</t>
  </si>
  <si>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</si>
  <si>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</si>
  <si>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</si>
  <si>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</si>
  <si>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</si>
  <si>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</si>
  <si>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</si>
  <si>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</si>
  <si>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</si>
  <si>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</si>
  <si>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</si>
  <si>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</si>
  <si>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</si>
  <si>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</si>
  <si>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</si>
  <si>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</si>
  <si>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</si>
  <si>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</si>
  <si>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</si>
  <si>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</si>
  <si>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g=0.0001</t>
  </si>
  <si>
    <t>g=0.1</t>
  </si>
  <si>
    <t>c0</t>
  </si>
  <si>
    <t>c1</t>
  </si>
  <si>
    <t>c2</t>
  </si>
  <si>
    <t>g=0.05</t>
  </si>
  <si>
    <t>g=0.006</t>
  </si>
  <si>
    <t>g=0.00158</t>
  </si>
  <si>
    <t>g=0.00079</t>
  </si>
  <si>
    <t>g=0.012</t>
  </si>
  <si>
    <t>g=0.000199</t>
  </si>
  <si>
    <t>g=0.025</t>
  </si>
  <si>
    <t>g=0.003</t>
  </si>
  <si>
    <t>g=0.00039</t>
  </si>
  <si>
    <t>ERR_0_i</t>
  </si>
  <si>
    <t>ERR_1_i</t>
  </si>
  <si>
    <t>ERR_2_i</t>
  </si>
  <si>
    <t>LIST of Best ERR 10%</t>
  </si>
  <si>
    <t>n=11 -&gt; 1.1 -&gt; 2</t>
  </si>
  <si>
    <t>BEST</t>
  </si>
  <si>
    <t>LIST of BEST ERR 20%</t>
  </si>
  <si>
    <t>n=11 -&gt; 2.2 -&gt; 3</t>
  </si>
  <si>
    <t>tau=10%</t>
  </si>
  <si>
    <t>ADV</t>
  </si>
  <si>
    <t>ERR0_STD</t>
  </si>
  <si>
    <t>ERR1_STD</t>
  </si>
  <si>
    <t>ERR2_STD</t>
  </si>
  <si>
    <t>DIFF</t>
  </si>
  <si>
    <t>CLSDIV</t>
  </si>
  <si>
    <t>NOCLSDIV</t>
  </si>
  <si>
    <t>DIFF Without retest</t>
  </si>
  <si>
    <t>ERR_0</t>
  </si>
  <si>
    <t>ERR_1</t>
  </si>
  <si>
    <t>ERR_2</t>
  </si>
  <si>
    <t>IMB</t>
  </si>
  <si>
    <t>ONLYMIN</t>
  </si>
  <si>
    <t>ERRO0</t>
  </si>
  <si>
    <t>ep=0.0001</t>
  </si>
  <si>
    <t>ep=0.01</t>
  </si>
  <si>
    <t>ep=0.1</t>
  </si>
  <si>
    <t>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</si>
</sst>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opLeftCell="A15" workbookViewId="0">
      <selection activeCell="A18" sqref="A18:XFD36"/>
    </sheetView>
  </sheetViews>
  <sheetFormatPr defaultRowHeight="14.4" x14ac:dyDescent="0.3"/>
  <cols>
    <col min="1" max="1" width="9.88671875" customWidth="1"/>
  </cols>
  <sheetData>
    <row r="1" spans="1:27" x14ac:dyDescent="0.3">
      <c r="A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17</v>
      </c>
      <c r="O1" t="s">
        <v>19</v>
      </c>
      <c r="P1" t="s">
        <v>20</v>
      </c>
    </row>
    <row r="2" spans="1:27" x14ac:dyDescent="0.3">
      <c r="B2" t="s">
        <v>3</v>
      </c>
    </row>
    <row r="3" spans="1:27" x14ac:dyDescent="0.3">
      <c r="C3" t="s">
        <v>4</v>
      </c>
      <c r="G3">
        <v>23.666666666666668</v>
      </c>
      <c r="H3">
        <v>2.0816659994661331</v>
      </c>
      <c r="I3">
        <v>14.833333333333334</v>
      </c>
      <c r="J3">
        <v>2.46644143115812</v>
      </c>
      <c r="K3">
        <v>30.666666666666668</v>
      </c>
      <c r="L3">
        <v>5.7735026918962511</v>
      </c>
      <c r="M3">
        <v>23.055555555555554</v>
      </c>
      <c r="N3">
        <v>1.9317042945237457</v>
      </c>
      <c r="O3">
        <v>8.2222222222222214</v>
      </c>
      <c r="P3">
        <v>3.8345408726083114</v>
      </c>
    </row>
    <row r="4" spans="1:27" x14ac:dyDescent="0.3">
      <c r="C4" t="s">
        <v>2</v>
      </c>
      <c r="F4" t="s">
        <v>21</v>
      </c>
      <c r="G4">
        <v>17</v>
      </c>
      <c r="H4">
        <v>1.5</v>
      </c>
      <c r="I4">
        <v>12.833333333333334</v>
      </c>
      <c r="J4">
        <v>3.0138568866708555</v>
      </c>
      <c r="K4">
        <v>29.5</v>
      </c>
      <c r="L4">
        <v>3.9686269665968861</v>
      </c>
      <c r="M4">
        <v>19.777777777777775</v>
      </c>
      <c r="N4">
        <v>2.0838888148345602</v>
      </c>
      <c r="O4">
        <v>6.9444444444444438</v>
      </c>
      <c r="P4">
        <v>2.523959264800121</v>
      </c>
      <c r="Q4" t="s">
        <v>61</v>
      </c>
      <c r="R4">
        <v>17.75</v>
      </c>
      <c r="S4">
        <v>5.3033008588991066</v>
      </c>
      <c r="T4">
        <v>10.75</v>
      </c>
      <c r="U4">
        <v>1.0606601717798212</v>
      </c>
      <c r="V4">
        <v>34</v>
      </c>
      <c r="W4">
        <v>2.1213203435596424</v>
      </c>
      <c r="X4">
        <v>20.833333333333332</v>
      </c>
      <c r="Y4">
        <v>0.70710678118654757</v>
      </c>
      <c r="Z4">
        <v>10.083333333333332</v>
      </c>
      <c r="AA4">
        <v>1.7677669529663689</v>
      </c>
    </row>
    <row r="5" spans="1:27" x14ac:dyDescent="0.3">
      <c r="C5" t="s">
        <v>44</v>
      </c>
    </row>
    <row r="6" spans="1:27" x14ac:dyDescent="0.3">
      <c r="D6" t="s">
        <v>49</v>
      </c>
    </row>
    <row r="7" spans="1:27" x14ac:dyDescent="0.3">
      <c r="E7" t="s">
        <v>43</v>
      </c>
      <c r="F7" t="s">
        <v>60</v>
      </c>
      <c r="G7">
        <v>22.375</v>
      </c>
      <c r="H7">
        <v>3.5207716957129347</v>
      </c>
      <c r="I7">
        <v>13.625</v>
      </c>
      <c r="J7">
        <v>2.462214450449026</v>
      </c>
      <c r="K7">
        <v>31.75</v>
      </c>
      <c r="L7">
        <v>1.5</v>
      </c>
      <c r="M7">
        <v>22.583333333333332</v>
      </c>
      <c r="N7">
        <v>1.8383769008638104</v>
      </c>
      <c r="O7">
        <v>8.9583333333333321</v>
      </c>
      <c r="P7">
        <v>2.0744254001387374</v>
      </c>
    </row>
    <row r="8" spans="1:27" x14ac:dyDescent="0.3">
      <c r="D8" t="s">
        <v>50</v>
      </c>
    </row>
    <row r="9" spans="1:27" x14ac:dyDescent="0.3">
      <c r="E9" t="s">
        <v>43</v>
      </c>
      <c r="F9" t="s">
        <v>60</v>
      </c>
      <c r="G9">
        <v>22.5</v>
      </c>
      <c r="H9">
        <v>1.6832508230603465</v>
      </c>
      <c r="I9">
        <v>13.25</v>
      </c>
      <c r="J9">
        <v>2.1015867021530821</v>
      </c>
      <c r="K9">
        <v>35.375</v>
      </c>
      <c r="L9">
        <v>2.6575364531836625</v>
      </c>
      <c r="M9">
        <v>23.708333333333332</v>
      </c>
      <c r="N9">
        <v>0.43832593994609698</v>
      </c>
      <c r="O9">
        <v>10.458333333333332</v>
      </c>
      <c r="P9">
        <v>1.8627687476998984</v>
      </c>
    </row>
    <row r="10" spans="1:27" x14ac:dyDescent="0.3">
      <c r="C10" t="s">
        <v>48</v>
      </c>
      <c r="G10">
        <v>20.625</v>
      </c>
      <c r="H10">
        <v>3.8160843806184368</v>
      </c>
      <c r="I10">
        <v>9.25</v>
      </c>
      <c r="J10">
        <v>0.8660254037844386</v>
      </c>
      <c r="K10">
        <v>28.875</v>
      </c>
      <c r="L10">
        <v>2.8394541729001368</v>
      </c>
      <c r="M10">
        <v>19.583333333333332</v>
      </c>
      <c r="N10">
        <v>0.8660254037844386</v>
      </c>
      <c r="O10">
        <v>10.333333333333332</v>
      </c>
      <c r="P10">
        <v>0</v>
      </c>
    </row>
    <row r="11" spans="1:27" x14ac:dyDescent="0.3">
      <c r="C11" t="s">
        <v>61</v>
      </c>
      <c r="G11">
        <v>17.666666666666668</v>
      </c>
      <c r="H11">
        <v>2.3629078131263004</v>
      </c>
      <c r="I11">
        <v>12.333333333333334</v>
      </c>
      <c r="J11">
        <v>2.5166114784235849</v>
      </c>
      <c r="K11">
        <v>29.166666666666668</v>
      </c>
      <c r="L11">
        <v>5.2993710318615417</v>
      </c>
      <c r="M11">
        <v>19.722222222222225</v>
      </c>
      <c r="N11">
        <v>0.41943524640393165</v>
      </c>
      <c r="O11">
        <v>7.3888888888888902</v>
      </c>
      <c r="P11">
        <v>2.7504208432192381</v>
      </c>
    </row>
    <row r="12" spans="1:27" x14ac:dyDescent="0.3">
      <c r="D12" t="s">
        <v>56</v>
      </c>
    </row>
    <row r="13" spans="1:27" x14ac:dyDescent="0.3">
      <c r="E13" t="s">
        <v>61</v>
      </c>
      <c r="G13">
        <v>19.5</v>
      </c>
      <c r="H13">
        <v>0</v>
      </c>
      <c r="I13">
        <v>10.75</v>
      </c>
      <c r="J13">
        <v>2.4748737341529163</v>
      </c>
      <c r="K13">
        <v>29</v>
      </c>
      <c r="L13">
        <v>5.6568542494923806</v>
      </c>
      <c r="M13">
        <v>19.75</v>
      </c>
      <c r="N13">
        <v>2.7105759945484338</v>
      </c>
      <c r="O13">
        <v>9</v>
      </c>
      <c r="P13">
        <v>0.2357022603955175</v>
      </c>
    </row>
    <row r="15" spans="1:27" x14ac:dyDescent="0.3">
      <c r="B15" t="s">
        <v>55</v>
      </c>
    </row>
    <row r="16" spans="1:27" x14ac:dyDescent="0.3">
      <c r="C16" t="s">
        <v>4</v>
      </c>
      <c r="G16">
        <v>22.15</v>
      </c>
      <c r="H16">
        <v>1.8566696588844833</v>
      </c>
      <c r="I16">
        <v>15</v>
      </c>
      <c r="J16">
        <v>1.986062547968831</v>
      </c>
      <c r="K16">
        <v>30.5</v>
      </c>
      <c r="L16">
        <v>2.8674417556808756</v>
      </c>
      <c r="M16">
        <v>22.549999999999997</v>
      </c>
      <c r="N16">
        <v>1.0454191669220056</v>
      </c>
      <c r="O16">
        <v>7.5500000000000016</v>
      </c>
      <c r="P16">
        <v>2.3014354082336492</v>
      </c>
    </row>
    <row r="17" spans="3:16" x14ac:dyDescent="0.3">
      <c r="C17" t="s">
        <v>2</v>
      </c>
      <c r="F17" t="s">
        <v>21</v>
      </c>
      <c r="G17">
        <v>19</v>
      </c>
      <c r="H17">
        <v>2.2360679774997898</v>
      </c>
      <c r="I17">
        <v>11.1875</v>
      </c>
      <c r="J17">
        <v>2.2350695099449847</v>
      </c>
      <c r="K17">
        <v>26.6875</v>
      </c>
      <c r="L17">
        <v>3.0930509672028177</v>
      </c>
      <c r="M17">
        <v>18.958333333333332</v>
      </c>
      <c r="N17">
        <v>0.7955730688858863</v>
      </c>
      <c r="O17">
        <v>7.7708333333333339</v>
      </c>
      <c r="P17">
        <v>2.3936713848004882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CA3F-CF30-4A83-B818-DAEC92077AB2}">
  <dimension ref="B1:AF3"/>
  <sheetViews>
    <sheetView topLeftCell="L1" workbookViewId="0">
      <selection activeCell="AF2" activeCellId="2" sqref="U2:AB2 AE2 AF2"/>
    </sheetView>
  </sheetViews>
  <sheetFormatPr defaultRowHeight="14.4" x14ac:dyDescent="0.3"/>
  <sheetData>
    <row r="1" spans="2:32" x14ac:dyDescent="0.3">
      <c r="Q1" t="s">
        <v>12</v>
      </c>
      <c r="R1" t="s">
        <v>13</v>
      </c>
      <c r="S1" t="s">
        <v>14</v>
      </c>
      <c r="T1" t="s">
        <v>16</v>
      </c>
      <c r="U1" t="s">
        <v>52</v>
      </c>
      <c r="V1" t="s">
        <v>45</v>
      </c>
      <c r="W1" t="s">
        <v>53</v>
      </c>
      <c r="X1" t="s">
        <v>46</v>
      </c>
      <c r="Y1" t="s">
        <v>54</v>
      </c>
      <c r="Z1" t="s">
        <v>47</v>
      </c>
      <c r="AA1" t="s">
        <v>1</v>
      </c>
      <c r="AB1" t="s">
        <v>17</v>
      </c>
      <c r="AC1" t="s">
        <v>18</v>
      </c>
      <c r="AD1" t="s">
        <v>15</v>
      </c>
      <c r="AE1" t="s">
        <v>19</v>
      </c>
      <c r="AF1" t="s">
        <v>20</v>
      </c>
    </row>
    <row r="2" spans="2:32" x14ac:dyDescent="0.3">
      <c r="B2">
        <v>81</v>
      </c>
      <c r="C2">
        <v>19</v>
      </c>
      <c r="D2">
        <v>20</v>
      </c>
      <c r="E2">
        <v>80</v>
      </c>
      <c r="G2">
        <v>92</v>
      </c>
      <c r="H2">
        <v>8</v>
      </c>
      <c r="I2">
        <v>17</v>
      </c>
      <c r="J2">
        <v>83</v>
      </c>
      <c r="L2">
        <v>82</v>
      </c>
      <c r="M2">
        <v>18</v>
      </c>
      <c r="N2">
        <v>48</v>
      </c>
      <c r="O2">
        <v>52</v>
      </c>
      <c r="Q2">
        <f t="shared" ref="Q2" si="0">AVERAGE(C2,D2)</f>
        <v>19.5</v>
      </c>
      <c r="R2">
        <f t="shared" ref="R2" si="1">AVERAGE(H2,I2)</f>
        <v>12.5</v>
      </c>
      <c r="S2">
        <f t="shared" ref="S2" si="2">AVERAGE(M2,N2)</f>
        <v>33</v>
      </c>
      <c r="T2">
        <f t="shared" ref="T2" si="3">AVERAGE(Q2:S2)</f>
        <v>21.666666666666668</v>
      </c>
      <c r="U2">
        <f>AVERAGE(Q2:Q5)</f>
        <v>19.5</v>
      </c>
      <c r="V2">
        <f>_xlfn.STDEV.S(Q2:Q5)</f>
        <v>0</v>
      </c>
      <c r="W2">
        <f>AVERAGE(R2:R5)</f>
        <v>10.75</v>
      </c>
      <c r="X2">
        <f>_xlfn.STDEV.S(R2:R5)</f>
        <v>2.4748737341529163</v>
      </c>
      <c r="Y2">
        <f>AVERAGE(S2:S5)</f>
        <v>29</v>
      </c>
      <c r="Z2">
        <f>_xlfn.STDEV.S(S2:S5)</f>
        <v>5.6568542494923806</v>
      </c>
      <c r="AA2">
        <f>AVERAGE(T2:T5)</f>
        <v>19.75</v>
      </c>
      <c r="AB2">
        <f>_xlfn.STDEV.S(T2:T5)</f>
        <v>2.7105759945484338</v>
      </c>
      <c r="AC2">
        <f t="shared" ref="AC2" si="4">MIN(Q2:S2)</f>
        <v>12.5</v>
      </c>
      <c r="AD2">
        <f t="shared" ref="AD2" si="5">(T2-AC2)</f>
        <v>9.1666666666666679</v>
      </c>
      <c r="AE2">
        <f>AVERAGE(AD2:AD5)</f>
        <v>9</v>
      </c>
      <c r="AF2">
        <f>_xlfn.STDEV.S(AD2:AD5)</f>
        <v>0.2357022603955175</v>
      </c>
    </row>
    <row r="3" spans="2:32" x14ac:dyDescent="0.3">
      <c r="B3">
        <v>81</v>
      </c>
      <c r="C3">
        <v>19</v>
      </c>
      <c r="D3">
        <v>20</v>
      </c>
      <c r="E3">
        <v>80</v>
      </c>
      <c r="G3">
        <v>91</v>
      </c>
      <c r="H3">
        <v>9</v>
      </c>
      <c r="I3">
        <v>9</v>
      </c>
      <c r="J3">
        <v>91</v>
      </c>
      <c r="L3">
        <v>82</v>
      </c>
      <c r="M3">
        <v>18</v>
      </c>
      <c r="N3">
        <v>32</v>
      </c>
      <c r="O3">
        <v>68</v>
      </c>
      <c r="Q3">
        <f t="shared" ref="Q3" si="6">AVERAGE(C3,D3)</f>
        <v>19.5</v>
      </c>
      <c r="R3">
        <f t="shared" ref="R3" si="7">AVERAGE(H3,I3)</f>
        <v>9</v>
      </c>
      <c r="S3">
        <f t="shared" ref="S3" si="8">AVERAGE(M3,N3)</f>
        <v>25</v>
      </c>
      <c r="T3">
        <f t="shared" ref="T3" si="9">AVERAGE(Q3:S3)</f>
        <v>17.833333333333332</v>
      </c>
      <c r="AC3">
        <f t="shared" ref="AC3" si="10">MIN(Q3:S3)</f>
        <v>9</v>
      </c>
      <c r="AD3">
        <f t="shared" ref="AD3" si="11">(T3-AC3)</f>
        <v>8.8333333333333321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1"/>
  <sheetViews>
    <sheetView tabSelected="1" topLeftCell="K1" workbookViewId="0">
      <selection activeCell="AF9" activeCellId="2" sqref="U9:AB9 AE9 AF9"/>
    </sheetView>
  </sheetViews>
  <sheetFormatPr defaultRowHeight="14.4" x14ac:dyDescent="0.3"/>
  <sheetData>
    <row r="2" spans="1:32" x14ac:dyDescent="0.3">
      <c r="A2" t="s">
        <v>51</v>
      </c>
      <c r="Q2" t="s">
        <v>12</v>
      </c>
      <c r="R2" t="s">
        <v>13</v>
      </c>
      <c r="S2" t="s">
        <v>14</v>
      </c>
      <c r="T2" t="s">
        <v>16</v>
      </c>
      <c r="U2" t="s">
        <v>52</v>
      </c>
      <c r="V2" t="s">
        <v>45</v>
      </c>
      <c r="W2" t="s">
        <v>53</v>
      </c>
      <c r="X2" t="s">
        <v>46</v>
      </c>
      <c r="Y2" t="s">
        <v>54</v>
      </c>
      <c r="Z2" t="s">
        <v>47</v>
      </c>
      <c r="AA2" t="s">
        <v>1</v>
      </c>
      <c r="AB2" t="s">
        <v>17</v>
      </c>
      <c r="AC2" t="s">
        <v>18</v>
      </c>
      <c r="AD2" t="s">
        <v>15</v>
      </c>
      <c r="AE2" t="s">
        <v>19</v>
      </c>
      <c r="AF2" t="s">
        <v>20</v>
      </c>
    </row>
    <row r="3" spans="1:32" x14ac:dyDescent="0.3">
      <c r="A3" t="s">
        <v>23</v>
      </c>
      <c r="F3" t="s">
        <v>24</v>
      </c>
      <c r="K3" t="s">
        <v>25</v>
      </c>
    </row>
    <row r="4" spans="1:32" x14ac:dyDescent="0.3">
      <c r="B4">
        <v>65</v>
      </c>
      <c r="C4">
        <v>35</v>
      </c>
      <c r="D4">
        <v>12</v>
      </c>
      <c r="E4">
        <v>88</v>
      </c>
      <c r="G4">
        <v>91</v>
      </c>
      <c r="H4">
        <v>9</v>
      </c>
      <c r="I4">
        <v>12</v>
      </c>
      <c r="J4">
        <v>88</v>
      </c>
      <c r="L4">
        <v>80</v>
      </c>
      <c r="M4">
        <v>20</v>
      </c>
      <c r="N4">
        <v>37</v>
      </c>
      <c r="O4">
        <v>63</v>
      </c>
      <c r="Q4">
        <f>AVERAGE(C4:D4)</f>
        <v>23.5</v>
      </c>
      <c r="R4">
        <f>AVERAGE(H4:I4)</f>
        <v>10.5</v>
      </c>
      <c r="S4">
        <f>AVERAGE(M4:N4)</f>
        <v>28.5</v>
      </c>
      <c r="T4">
        <f>AVERAGE(Q4:S4)</f>
        <v>20.833333333333332</v>
      </c>
      <c r="U4">
        <f>AVERAGE(Q4:Q7)</f>
        <v>20.625</v>
      </c>
      <c r="V4">
        <f>_xlfn.STDEV.S(Q4:Q7)</f>
        <v>3.8160843806184368</v>
      </c>
      <c r="W4">
        <f>AVERAGE(R4:R7)</f>
        <v>9.25</v>
      </c>
      <c r="X4">
        <f>_xlfn.STDEV.S(R4:R7)</f>
        <v>0.8660254037844386</v>
      </c>
      <c r="Y4">
        <f>AVERAGE(S4:S7)</f>
        <v>28.875</v>
      </c>
      <c r="Z4">
        <f>_xlfn.STDEV.S(S4:S7)</f>
        <v>2.8394541729001368</v>
      </c>
      <c r="AA4">
        <f>AVERAGE(T4:T7)</f>
        <v>19.583333333333332</v>
      </c>
      <c r="AB4">
        <f>_xlfn.STDEV.S(T4:T7)</f>
        <v>0.8660254037844386</v>
      </c>
      <c r="AC4">
        <f>MIN(Q4:S4)</f>
        <v>10.5</v>
      </c>
      <c r="AD4">
        <f>T4-AC4</f>
        <v>10.333333333333332</v>
      </c>
      <c r="AE4">
        <f>AVERAGE(AD4:AD7)</f>
        <v>10.333333333333332</v>
      </c>
      <c r="AF4">
        <f>_xlfn.STDEV.S(AD4:AD7)</f>
        <v>0</v>
      </c>
    </row>
    <row r="5" spans="1:32" x14ac:dyDescent="0.3">
      <c r="B5">
        <v>85</v>
      </c>
      <c r="C5">
        <v>15</v>
      </c>
      <c r="D5">
        <v>29</v>
      </c>
      <c r="E5">
        <v>71</v>
      </c>
      <c r="G5">
        <v>91</v>
      </c>
      <c r="H5">
        <v>9</v>
      </c>
      <c r="I5">
        <v>9</v>
      </c>
      <c r="J5">
        <v>91</v>
      </c>
      <c r="L5">
        <v>89</v>
      </c>
      <c r="M5">
        <v>11</v>
      </c>
      <c r="N5">
        <v>43</v>
      </c>
      <c r="O5">
        <v>57</v>
      </c>
      <c r="Q5">
        <f t="shared" ref="Q5:Q7" si="0">AVERAGE(C5:D5)</f>
        <v>22</v>
      </c>
      <c r="R5">
        <f t="shared" ref="R5:R7" si="1">AVERAGE(H5:I5)</f>
        <v>9</v>
      </c>
      <c r="S5">
        <f t="shared" ref="S5:S7" si="2">AVERAGE(M5:N5)</f>
        <v>27</v>
      </c>
      <c r="T5">
        <f t="shared" ref="T5:T7" si="3">AVERAGE(Q5:S5)</f>
        <v>19.333333333333332</v>
      </c>
      <c r="AC5">
        <f t="shared" ref="AC5:AC7" si="4">MIN(Q5:S5)</f>
        <v>9</v>
      </c>
      <c r="AD5">
        <f t="shared" ref="AD5:AD7" si="5">T5-AC5</f>
        <v>10.333333333333332</v>
      </c>
    </row>
    <row r="6" spans="1:32" x14ac:dyDescent="0.3">
      <c r="B6">
        <v>69</v>
      </c>
      <c r="C6">
        <v>31</v>
      </c>
      <c r="D6">
        <v>13</v>
      </c>
      <c r="E6">
        <v>87</v>
      </c>
      <c r="G6">
        <v>91</v>
      </c>
      <c r="H6">
        <v>9</v>
      </c>
      <c r="I6">
        <v>9</v>
      </c>
      <c r="J6">
        <v>91</v>
      </c>
      <c r="L6">
        <v>82</v>
      </c>
      <c r="M6">
        <v>18</v>
      </c>
      <c r="N6">
        <v>36</v>
      </c>
      <c r="O6">
        <v>64</v>
      </c>
      <c r="Q6">
        <f t="shared" si="0"/>
        <v>22</v>
      </c>
      <c r="R6">
        <f t="shared" si="1"/>
        <v>9</v>
      </c>
      <c r="S6">
        <f t="shared" si="2"/>
        <v>27</v>
      </c>
      <c r="T6">
        <f t="shared" si="3"/>
        <v>19.333333333333332</v>
      </c>
      <c r="AC6">
        <f t="shared" si="4"/>
        <v>9</v>
      </c>
      <c r="AD6">
        <f t="shared" si="5"/>
        <v>10.333333333333332</v>
      </c>
    </row>
    <row r="7" spans="1:32" x14ac:dyDescent="0.3">
      <c r="B7">
        <v>90</v>
      </c>
      <c r="C7">
        <v>10</v>
      </c>
      <c r="D7">
        <v>20</v>
      </c>
      <c r="E7">
        <v>80</v>
      </c>
      <c r="G7">
        <v>89</v>
      </c>
      <c r="H7">
        <v>11</v>
      </c>
      <c r="I7">
        <v>6</v>
      </c>
      <c r="J7">
        <v>94</v>
      </c>
      <c r="L7">
        <v>69</v>
      </c>
      <c r="M7">
        <v>31</v>
      </c>
      <c r="N7">
        <v>35</v>
      </c>
      <c r="O7">
        <v>65</v>
      </c>
      <c r="Q7">
        <f t="shared" si="0"/>
        <v>15</v>
      </c>
      <c r="R7">
        <f t="shared" si="1"/>
        <v>8.5</v>
      </c>
      <c r="S7">
        <f t="shared" si="2"/>
        <v>33</v>
      </c>
      <c r="T7">
        <f t="shared" si="3"/>
        <v>18.833333333333332</v>
      </c>
      <c r="AC7">
        <f t="shared" si="4"/>
        <v>8.5</v>
      </c>
      <c r="AD7">
        <f t="shared" si="5"/>
        <v>10.333333333333332</v>
      </c>
    </row>
    <row r="8" spans="1:32" x14ac:dyDescent="0.3">
      <c r="A8" t="s">
        <v>61</v>
      </c>
    </row>
    <row r="9" spans="1:32" x14ac:dyDescent="0.3">
      <c r="B9">
        <v>80</v>
      </c>
      <c r="C9">
        <v>20</v>
      </c>
      <c r="D9">
        <v>10</v>
      </c>
      <c r="E9">
        <v>90</v>
      </c>
      <c r="G9">
        <v>95</v>
      </c>
      <c r="H9">
        <v>5</v>
      </c>
      <c r="I9">
        <v>15</v>
      </c>
      <c r="J9">
        <v>85</v>
      </c>
      <c r="L9">
        <v>75</v>
      </c>
      <c r="M9">
        <v>25</v>
      </c>
      <c r="N9">
        <v>43</v>
      </c>
      <c r="O9">
        <v>57</v>
      </c>
      <c r="Q9">
        <f t="shared" ref="Q9:Q11" si="6">AVERAGE(C9:D9)</f>
        <v>15</v>
      </c>
      <c r="R9">
        <f t="shared" ref="R9:R11" si="7">AVERAGE(H9:I9)</f>
        <v>10</v>
      </c>
      <c r="S9">
        <f t="shared" ref="S9:S11" si="8">AVERAGE(M9:N9)</f>
        <v>34</v>
      </c>
      <c r="T9">
        <f t="shared" ref="T9:T11" si="9">AVERAGE(Q9:S9)</f>
        <v>19.666666666666668</v>
      </c>
      <c r="U9">
        <f>AVERAGE(Q9:Q12)</f>
        <v>17.666666666666668</v>
      </c>
      <c r="V9">
        <f>_xlfn.STDEV.S(Q9:Q12)</f>
        <v>2.3629078131263004</v>
      </c>
      <c r="W9">
        <f>AVERAGE(R9:R12)</f>
        <v>12.333333333333334</v>
      </c>
      <c r="X9">
        <f>_xlfn.STDEV.S(R9:R12)</f>
        <v>2.5166114784235849</v>
      </c>
      <c r="Y9">
        <f>AVERAGE(S9:S12)</f>
        <v>29.166666666666668</v>
      </c>
      <c r="Z9">
        <f>_xlfn.STDEV.S(S9:S12)</f>
        <v>5.2993710318615417</v>
      </c>
      <c r="AA9">
        <f>AVERAGE(T9:T12)</f>
        <v>19.722222222222225</v>
      </c>
      <c r="AB9">
        <f>_xlfn.STDEV.S(T9:T12)</f>
        <v>0.41943524640393165</v>
      </c>
      <c r="AC9">
        <f t="shared" ref="AC9:AC10" si="10">MIN(Q9:S9)</f>
        <v>10</v>
      </c>
      <c r="AD9">
        <f t="shared" ref="AD9:AD10" si="11">T9-AC9</f>
        <v>9.6666666666666679</v>
      </c>
      <c r="AE9">
        <f>AVERAGE(AD9:AD12)</f>
        <v>7.3888888888888893</v>
      </c>
      <c r="AF9">
        <f>_xlfn.STDEV.S(AD9:AD12)</f>
        <v>2.7504208432192381</v>
      </c>
    </row>
    <row r="10" spans="1:32" x14ac:dyDescent="0.3">
      <c r="B10">
        <v>77</v>
      </c>
      <c r="C10">
        <v>23</v>
      </c>
      <c r="D10">
        <v>14</v>
      </c>
      <c r="E10">
        <v>86</v>
      </c>
      <c r="G10">
        <v>92</v>
      </c>
      <c r="H10">
        <v>8</v>
      </c>
      <c r="I10">
        <v>16</v>
      </c>
      <c r="J10">
        <v>84</v>
      </c>
      <c r="L10">
        <v>87</v>
      </c>
      <c r="M10">
        <v>13</v>
      </c>
      <c r="N10">
        <v>47</v>
      </c>
      <c r="O10">
        <v>53</v>
      </c>
      <c r="Q10">
        <f t="shared" si="6"/>
        <v>18.5</v>
      </c>
      <c r="R10">
        <f t="shared" si="7"/>
        <v>12</v>
      </c>
      <c r="S10">
        <f t="shared" si="8"/>
        <v>30</v>
      </c>
      <c r="T10">
        <f t="shared" si="9"/>
        <v>20.166666666666668</v>
      </c>
      <c r="AC10">
        <f t="shared" si="10"/>
        <v>12</v>
      </c>
      <c r="AD10">
        <f t="shared" si="11"/>
        <v>8.1666666666666679</v>
      </c>
    </row>
    <row r="11" spans="1:32" x14ac:dyDescent="0.3">
      <c r="B11">
        <v>81</v>
      </c>
      <c r="C11">
        <v>19</v>
      </c>
      <c r="D11">
        <v>20</v>
      </c>
      <c r="E11">
        <v>80</v>
      </c>
      <c r="G11">
        <v>91</v>
      </c>
      <c r="H11">
        <v>9</v>
      </c>
      <c r="I11">
        <v>21</v>
      </c>
      <c r="J11">
        <v>79</v>
      </c>
      <c r="L11">
        <v>81</v>
      </c>
      <c r="M11">
        <v>19</v>
      </c>
      <c r="N11">
        <v>28</v>
      </c>
      <c r="O11">
        <v>72</v>
      </c>
      <c r="Q11">
        <f t="shared" si="6"/>
        <v>19.5</v>
      </c>
      <c r="R11">
        <f t="shared" si="7"/>
        <v>15</v>
      </c>
      <c r="S11">
        <f t="shared" si="8"/>
        <v>23.5</v>
      </c>
      <c r="T11">
        <f t="shared" si="9"/>
        <v>19.333333333333332</v>
      </c>
      <c r="AC11">
        <f t="shared" ref="AC11" si="12">MIN(Q11:S11)</f>
        <v>15</v>
      </c>
      <c r="AD11">
        <f t="shared" ref="AD11" si="13">T11-AC11</f>
        <v>4.3333333333333321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F36"/>
  <sheetViews>
    <sheetView topLeftCell="Q1" workbookViewId="0">
      <selection activeCell="W11" sqref="W11:AF11"/>
    </sheetView>
  </sheetViews>
  <sheetFormatPr defaultRowHeight="14.4" x14ac:dyDescent="0.3"/>
  <cols>
    <col min="28" max="28" width="11.21875" customWidth="1"/>
    <col min="32" max="32" width="20.88671875" customWidth="1"/>
  </cols>
  <sheetData>
    <row r="1" spans="1:32" x14ac:dyDescent="0.3">
      <c r="A1" t="s">
        <v>58</v>
      </c>
    </row>
    <row r="2" spans="1:32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</v>
      </c>
      <c r="X2" t="s">
        <v>45</v>
      </c>
      <c r="Y2" t="s">
        <v>7</v>
      </c>
      <c r="Z2" t="s">
        <v>46</v>
      </c>
      <c r="AA2" t="s">
        <v>9</v>
      </c>
      <c r="AB2" t="s">
        <v>47</v>
      </c>
      <c r="AC2" t="s">
        <v>1</v>
      </c>
      <c r="AD2" t="s">
        <v>17</v>
      </c>
      <c r="AE2" t="s">
        <v>19</v>
      </c>
      <c r="AF2" t="s">
        <v>20</v>
      </c>
    </row>
    <row r="3" spans="1:32" x14ac:dyDescent="0.3">
      <c r="B3">
        <v>68</v>
      </c>
      <c r="C3">
        <v>32</v>
      </c>
      <c r="D3">
        <v>16</v>
      </c>
      <c r="E3">
        <v>84</v>
      </c>
      <c r="G3">
        <v>86</v>
      </c>
      <c r="H3">
        <v>14</v>
      </c>
      <c r="I3">
        <v>16</v>
      </c>
      <c r="J3">
        <v>84</v>
      </c>
      <c r="L3">
        <v>64</v>
      </c>
      <c r="M3">
        <v>36</v>
      </c>
      <c r="N3">
        <v>49</v>
      </c>
      <c r="O3">
        <v>51</v>
      </c>
      <c r="Q3">
        <f>AVERAGE(C3:D3)</f>
        <v>24</v>
      </c>
      <c r="R3">
        <f>AVERAGE(H3:I3)</f>
        <v>15</v>
      </c>
      <c r="S3">
        <f>AVERAGE(M3:N3)</f>
        <v>42.5</v>
      </c>
      <c r="T3">
        <f>AVERAGE(Q3:S3)</f>
        <v>27.166666666666668</v>
      </c>
      <c r="U3">
        <f>MIN(Q3:S3)</f>
        <v>15</v>
      </c>
      <c r="V3">
        <f>T3-U3</f>
        <v>12.166666666666668</v>
      </c>
      <c r="W3">
        <f>AVERAGE(Q3:Q4)</f>
        <v>20.75</v>
      </c>
      <c r="X3">
        <f>_xlfn.STDEV.S(Q3:Q4)</f>
        <v>4.5961940777125587</v>
      </c>
      <c r="Y3">
        <f>AVERAGE(R3:R4)</f>
        <v>13.5</v>
      </c>
      <c r="Z3">
        <f>_xlfn.STDEV.S(R3:R4)</f>
        <v>2.1213203435596424</v>
      </c>
      <c r="AA3">
        <f>AVERAGE(S3:S4)</f>
        <v>37.5</v>
      </c>
      <c r="AB3">
        <f>_xlfn.STDEV.S(S3:S4)</f>
        <v>7.0710678118654755</v>
      </c>
      <c r="AC3">
        <f>AVERAGE(T3:T4)</f>
        <v>23.916666666666668</v>
      </c>
      <c r="AD3">
        <f>_xlfn.STDEV.S(T3:T4)</f>
        <v>4.5961940777125587</v>
      </c>
      <c r="AE3">
        <f>AVERAGE(V3:V4)</f>
        <v>10.416666666666668</v>
      </c>
      <c r="AF3">
        <f>_xlfn.STDEV.S(V3:V4)</f>
        <v>2.4748737341529106</v>
      </c>
    </row>
    <row r="4" spans="1:32" x14ac:dyDescent="0.3">
      <c r="B4">
        <v>76</v>
      </c>
      <c r="C4">
        <v>24</v>
      </c>
      <c r="D4">
        <v>11</v>
      </c>
      <c r="E4">
        <v>89</v>
      </c>
      <c r="G4">
        <v>89</v>
      </c>
      <c r="H4">
        <v>11</v>
      </c>
      <c r="I4">
        <v>13</v>
      </c>
      <c r="J4">
        <v>87</v>
      </c>
      <c r="L4">
        <v>73</v>
      </c>
      <c r="M4">
        <v>27</v>
      </c>
      <c r="N4">
        <v>38</v>
      </c>
      <c r="O4">
        <v>62</v>
      </c>
      <c r="Q4">
        <f t="shared" ref="Q4:Q14" si="0">AVERAGE(C4:D4)</f>
        <v>17.5</v>
      </c>
      <c r="R4">
        <f t="shared" ref="R4:R14" si="1">AVERAGE(H4:I4)</f>
        <v>12</v>
      </c>
      <c r="S4">
        <f t="shared" ref="S4:S14" si="2">AVERAGE(M4:N4)</f>
        <v>32.5</v>
      </c>
      <c r="T4">
        <f t="shared" ref="T4:T14" si="3">AVERAGE(Q4:S4)</f>
        <v>20.666666666666668</v>
      </c>
      <c r="U4">
        <f t="shared" ref="U4:U14" si="4">MIN(Q4:S4)</f>
        <v>12</v>
      </c>
      <c r="V4">
        <f t="shared" ref="V4:V14" si="5">T4-U4</f>
        <v>8.6666666666666679</v>
      </c>
    </row>
    <row r="5" spans="1:32" x14ac:dyDescent="0.3">
      <c r="A5" t="s">
        <v>59</v>
      </c>
    </row>
    <row r="6" spans="1:32" x14ac:dyDescent="0.3">
      <c r="B6">
        <v>71</v>
      </c>
      <c r="C6">
        <v>29</v>
      </c>
      <c r="D6">
        <v>15</v>
      </c>
      <c r="E6">
        <v>85</v>
      </c>
      <c r="G6">
        <v>90</v>
      </c>
      <c r="H6">
        <v>10</v>
      </c>
      <c r="I6">
        <v>27</v>
      </c>
      <c r="J6">
        <v>73</v>
      </c>
      <c r="L6">
        <v>83</v>
      </c>
      <c r="M6">
        <v>17</v>
      </c>
      <c r="N6">
        <v>42</v>
      </c>
      <c r="O6">
        <v>58</v>
      </c>
      <c r="Q6">
        <f t="shared" si="0"/>
        <v>22</v>
      </c>
      <c r="R6">
        <f t="shared" si="1"/>
        <v>18.5</v>
      </c>
      <c r="S6">
        <f t="shared" si="2"/>
        <v>29.5</v>
      </c>
      <c r="T6">
        <f t="shared" si="3"/>
        <v>23.333333333333332</v>
      </c>
      <c r="U6">
        <f t="shared" si="4"/>
        <v>18.5</v>
      </c>
      <c r="V6">
        <f t="shared" si="5"/>
        <v>4.8333333333333321</v>
      </c>
      <c r="W6">
        <f>AVERAGE(Q6:Q9)</f>
        <v>23.375</v>
      </c>
      <c r="X6">
        <f>_xlfn.STDEV.S(Q6:Q9)</f>
        <v>1.8874586088176875</v>
      </c>
      <c r="Y6">
        <f>AVERAGE(R6:R9)</f>
        <v>16.125</v>
      </c>
      <c r="Z6">
        <f>_xlfn.STDEV.S(R6:R9)</f>
        <v>3.1457643480294792</v>
      </c>
      <c r="AA6">
        <f>AVERAGE(S6:S9)</f>
        <v>33</v>
      </c>
      <c r="AB6">
        <f>_xlfn.STDEV.S(S6:S9)</f>
        <v>5.6124860801609122</v>
      </c>
      <c r="AC6">
        <f>AVERAGE(T6:T9)</f>
        <v>24.166666666666664</v>
      </c>
      <c r="AD6">
        <f>_xlfn.STDEV.S(T6:T9)</f>
        <v>2.1559564346591391</v>
      </c>
      <c r="AE6">
        <f>AVERAGE(V6:V9)</f>
        <v>8.0416666666666661</v>
      </c>
      <c r="AF6">
        <f>_xlfn.STDEV.S(V6:V9)</f>
        <v>3.4463480402905917</v>
      </c>
    </row>
    <row r="7" spans="1:32" x14ac:dyDescent="0.3">
      <c r="B7">
        <v>71</v>
      </c>
      <c r="C7">
        <v>29</v>
      </c>
      <c r="D7">
        <v>15</v>
      </c>
      <c r="E7">
        <v>85</v>
      </c>
      <c r="G7">
        <v>90</v>
      </c>
      <c r="H7">
        <v>10</v>
      </c>
      <c r="I7">
        <v>13</v>
      </c>
      <c r="J7">
        <v>87</v>
      </c>
      <c r="L7">
        <v>63</v>
      </c>
      <c r="M7">
        <v>37</v>
      </c>
      <c r="N7">
        <v>37</v>
      </c>
      <c r="O7">
        <v>63</v>
      </c>
      <c r="Q7">
        <f t="shared" si="0"/>
        <v>22</v>
      </c>
      <c r="R7">
        <f t="shared" si="1"/>
        <v>11.5</v>
      </c>
      <c r="S7">
        <f t="shared" si="2"/>
        <v>37</v>
      </c>
      <c r="T7">
        <f t="shared" si="3"/>
        <v>23.5</v>
      </c>
      <c r="U7">
        <f t="shared" si="4"/>
        <v>11.5</v>
      </c>
      <c r="V7">
        <f t="shared" si="5"/>
        <v>12</v>
      </c>
    </row>
    <row r="8" spans="1:32" x14ac:dyDescent="0.3">
      <c r="B8">
        <v>64</v>
      </c>
      <c r="C8">
        <v>36</v>
      </c>
      <c r="D8">
        <v>16</v>
      </c>
      <c r="E8">
        <v>84</v>
      </c>
      <c r="G8">
        <v>87</v>
      </c>
      <c r="H8">
        <v>13</v>
      </c>
      <c r="I8">
        <v>22</v>
      </c>
      <c r="J8">
        <v>78</v>
      </c>
      <c r="L8">
        <v>80</v>
      </c>
      <c r="M8">
        <v>20</v>
      </c>
      <c r="N8">
        <v>57</v>
      </c>
      <c r="O8">
        <v>43</v>
      </c>
      <c r="Q8">
        <f t="shared" si="0"/>
        <v>26</v>
      </c>
      <c r="R8">
        <f t="shared" si="1"/>
        <v>17.5</v>
      </c>
      <c r="S8">
        <f t="shared" si="2"/>
        <v>38.5</v>
      </c>
      <c r="T8">
        <f t="shared" si="3"/>
        <v>27.333333333333332</v>
      </c>
      <c r="U8">
        <f t="shared" si="4"/>
        <v>17.5</v>
      </c>
      <c r="V8">
        <f t="shared" si="5"/>
        <v>9.8333333333333321</v>
      </c>
    </row>
    <row r="9" spans="1:32" x14ac:dyDescent="0.3">
      <c r="B9">
        <v>67</v>
      </c>
      <c r="C9">
        <v>33</v>
      </c>
      <c r="D9">
        <v>14</v>
      </c>
      <c r="E9">
        <v>86</v>
      </c>
      <c r="G9">
        <v>80</v>
      </c>
      <c r="H9">
        <v>20</v>
      </c>
      <c r="I9">
        <v>14</v>
      </c>
      <c r="J9">
        <v>86</v>
      </c>
      <c r="L9">
        <v>87</v>
      </c>
      <c r="M9">
        <v>13</v>
      </c>
      <c r="N9">
        <v>41</v>
      </c>
      <c r="O9">
        <v>59</v>
      </c>
      <c r="Q9">
        <f t="shared" si="0"/>
        <v>23.5</v>
      </c>
      <c r="R9">
        <f t="shared" si="1"/>
        <v>17</v>
      </c>
      <c r="S9">
        <f t="shared" si="2"/>
        <v>27</v>
      </c>
      <c r="T9">
        <f t="shared" si="3"/>
        <v>22.5</v>
      </c>
      <c r="U9">
        <f t="shared" si="4"/>
        <v>17</v>
      </c>
      <c r="V9">
        <f t="shared" si="5"/>
        <v>5.5</v>
      </c>
    </row>
    <row r="10" spans="1:32" x14ac:dyDescent="0.3">
      <c r="A10" t="s">
        <v>60</v>
      </c>
    </row>
    <row r="11" spans="1:32" x14ac:dyDescent="0.3">
      <c r="B11">
        <v>72</v>
      </c>
      <c r="C11">
        <v>28</v>
      </c>
      <c r="D11">
        <v>15</v>
      </c>
      <c r="E11">
        <v>85</v>
      </c>
      <c r="G11">
        <v>90</v>
      </c>
      <c r="H11">
        <v>10</v>
      </c>
      <c r="I11">
        <v>12</v>
      </c>
      <c r="J11">
        <v>88</v>
      </c>
      <c r="L11">
        <v>73</v>
      </c>
      <c r="M11">
        <v>27</v>
      </c>
      <c r="N11">
        <v>50</v>
      </c>
      <c r="O11">
        <v>50</v>
      </c>
      <c r="Q11">
        <f t="shared" si="0"/>
        <v>21.5</v>
      </c>
      <c r="R11">
        <f t="shared" si="1"/>
        <v>11</v>
      </c>
      <c r="S11">
        <f t="shared" si="2"/>
        <v>38.5</v>
      </c>
      <c r="T11">
        <f t="shared" si="3"/>
        <v>23.666666666666668</v>
      </c>
      <c r="U11">
        <f t="shared" si="4"/>
        <v>11</v>
      </c>
      <c r="V11">
        <f t="shared" si="5"/>
        <v>12.666666666666668</v>
      </c>
      <c r="W11">
        <f>AVERAGE(Q11:Q14)</f>
        <v>22.5</v>
      </c>
      <c r="X11">
        <f>_xlfn.STDEV.S(Q11:Q14)</f>
        <v>1.6832508230603465</v>
      </c>
      <c r="Y11">
        <f>AVERAGE(R11:R14)</f>
        <v>13.25</v>
      </c>
      <c r="Z11">
        <f>_xlfn.STDEV.S(R11:R14)</f>
        <v>2.1015867021530821</v>
      </c>
      <c r="AA11">
        <f>AVERAGE(S11:S14)</f>
        <v>35.375</v>
      </c>
      <c r="AB11">
        <f>_xlfn.STDEV.S(S11:S14)</f>
        <v>2.6575364531836625</v>
      </c>
      <c r="AC11">
        <f>AVERAGE(T11:T14)</f>
        <v>23.708333333333332</v>
      </c>
      <c r="AD11">
        <f>_xlfn.STDEV.S(T11:T14)</f>
        <v>0.43832593994609698</v>
      </c>
      <c r="AE11">
        <f>AVERAGE(V11:V14)</f>
        <v>10.458333333333332</v>
      </c>
      <c r="AF11">
        <f>_xlfn.STDEV.S(V11:V14)</f>
        <v>1.8627687476998984</v>
      </c>
    </row>
    <row r="12" spans="1:32" x14ac:dyDescent="0.3">
      <c r="B12">
        <v>71</v>
      </c>
      <c r="C12">
        <v>29</v>
      </c>
      <c r="D12">
        <v>14</v>
      </c>
      <c r="E12">
        <v>86</v>
      </c>
      <c r="G12">
        <v>87</v>
      </c>
      <c r="H12">
        <v>13</v>
      </c>
      <c r="I12">
        <v>11</v>
      </c>
      <c r="J12">
        <v>89</v>
      </c>
      <c r="L12">
        <v>68</v>
      </c>
      <c r="M12">
        <v>32</v>
      </c>
      <c r="N12">
        <v>41</v>
      </c>
      <c r="O12">
        <v>59</v>
      </c>
      <c r="Q12">
        <f t="shared" si="0"/>
        <v>21.5</v>
      </c>
      <c r="R12">
        <f t="shared" si="1"/>
        <v>12</v>
      </c>
      <c r="S12">
        <f t="shared" si="2"/>
        <v>36.5</v>
      </c>
      <c r="T12">
        <f t="shared" si="3"/>
        <v>23.333333333333332</v>
      </c>
      <c r="U12">
        <f t="shared" si="4"/>
        <v>12</v>
      </c>
      <c r="V12">
        <f t="shared" si="5"/>
        <v>11.333333333333332</v>
      </c>
    </row>
    <row r="13" spans="1:32" x14ac:dyDescent="0.3">
      <c r="B13">
        <v>73</v>
      </c>
      <c r="C13">
        <v>27</v>
      </c>
      <c r="D13">
        <v>23</v>
      </c>
      <c r="E13">
        <v>77</v>
      </c>
      <c r="G13">
        <v>84</v>
      </c>
      <c r="H13">
        <v>16</v>
      </c>
      <c r="I13">
        <v>15</v>
      </c>
      <c r="J13">
        <v>85</v>
      </c>
      <c r="L13">
        <v>72</v>
      </c>
      <c r="M13">
        <v>28</v>
      </c>
      <c r="N13">
        <v>37</v>
      </c>
      <c r="O13">
        <v>63</v>
      </c>
      <c r="Q13">
        <f t="shared" si="0"/>
        <v>25</v>
      </c>
      <c r="R13">
        <f t="shared" si="1"/>
        <v>15.5</v>
      </c>
      <c r="S13">
        <f t="shared" si="2"/>
        <v>32.5</v>
      </c>
      <c r="T13">
        <f t="shared" si="3"/>
        <v>24.333333333333332</v>
      </c>
      <c r="U13">
        <f t="shared" si="4"/>
        <v>15.5</v>
      </c>
      <c r="V13">
        <f t="shared" si="5"/>
        <v>8.8333333333333321</v>
      </c>
    </row>
    <row r="14" spans="1:32" x14ac:dyDescent="0.3">
      <c r="B14">
        <v>68</v>
      </c>
      <c r="C14">
        <v>32</v>
      </c>
      <c r="D14">
        <v>12</v>
      </c>
      <c r="E14">
        <v>88</v>
      </c>
      <c r="G14">
        <v>86</v>
      </c>
      <c r="H14">
        <v>14</v>
      </c>
      <c r="I14">
        <v>15</v>
      </c>
      <c r="J14">
        <v>85</v>
      </c>
      <c r="L14">
        <v>79</v>
      </c>
      <c r="M14">
        <v>21</v>
      </c>
      <c r="N14">
        <v>47</v>
      </c>
      <c r="O14">
        <v>53</v>
      </c>
      <c r="Q14">
        <f t="shared" si="0"/>
        <v>22</v>
      </c>
      <c r="R14">
        <f t="shared" si="1"/>
        <v>14.5</v>
      </c>
      <c r="S14">
        <f t="shared" si="2"/>
        <v>34</v>
      </c>
      <c r="T14">
        <f t="shared" si="3"/>
        <v>23.5</v>
      </c>
      <c r="U14">
        <f t="shared" si="4"/>
        <v>14.5</v>
      </c>
      <c r="V14">
        <f t="shared" si="5"/>
        <v>9</v>
      </c>
    </row>
    <row r="31" spans="17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7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7:2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7:2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7:2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7:2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F36"/>
  <sheetViews>
    <sheetView topLeftCell="M1" workbookViewId="0">
      <selection activeCell="V23" sqref="A1:XFD1048576"/>
    </sheetView>
  </sheetViews>
  <sheetFormatPr defaultRowHeight="14.4" x14ac:dyDescent="0.3"/>
  <cols>
    <col min="28" max="28" width="11.21875" customWidth="1"/>
    <col min="32" max="32" width="20.88671875" customWidth="1"/>
  </cols>
  <sheetData>
    <row r="1" spans="1:32" x14ac:dyDescent="0.3">
      <c r="A1" t="s">
        <v>58</v>
      </c>
    </row>
    <row r="2" spans="1:32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</v>
      </c>
      <c r="X2" t="s">
        <v>45</v>
      </c>
      <c r="Y2" t="s">
        <v>7</v>
      </c>
      <c r="Z2" t="s">
        <v>46</v>
      </c>
      <c r="AA2" t="s">
        <v>9</v>
      </c>
      <c r="AB2" t="s">
        <v>47</v>
      </c>
      <c r="AC2" t="s">
        <v>1</v>
      </c>
      <c r="AD2" t="s">
        <v>17</v>
      </c>
      <c r="AE2" t="s">
        <v>19</v>
      </c>
      <c r="AF2" t="s">
        <v>20</v>
      </c>
    </row>
    <row r="3" spans="1:32" x14ac:dyDescent="0.3">
      <c r="B3">
        <v>64</v>
      </c>
      <c r="C3">
        <v>36</v>
      </c>
      <c r="D3">
        <v>10</v>
      </c>
      <c r="E3">
        <v>90</v>
      </c>
      <c r="G3">
        <v>86</v>
      </c>
      <c r="H3">
        <v>14</v>
      </c>
      <c r="I3">
        <v>6</v>
      </c>
      <c r="J3">
        <v>94</v>
      </c>
      <c r="L3">
        <v>72</v>
      </c>
      <c r="M3">
        <v>28</v>
      </c>
      <c r="N3">
        <v>35</v>
      </c>
      <c r="O3">
        <v>65</v>
      </c>
      <c r="Q3">
        <f>AVERAGE(C3:D3)</f>
        <v>23</v>
      </c>
      <c r="R3">
        <f>AVERAGE(H3:I3)</f>
        <v>10</v>
      </c>
      <c r="S3">
        <f>AVERAGE(M3:N3)</f>
        <v>31.5</v>
      </c>
      <c r="T3">
        <f>AVERAGE(Q3:S3)</f>
        <v>21.5</v>
      </c>
      <c r="U3">
        <f>MIN(Q3:S3)</f>
        <v>10</v>
      </c>
      <c r="V3">
        <f>T3-U3</f>
        <v>11.5</v>
      </c>
      <c r="W3">
        <f>AVERAGE(Q3:Q4)</f>
        <v>24</v>
      </c>
      <c r="X3">
        <f>_xlfn.STDEV.S(Q3:Q4)</f>
        <v>1.4142135623730951</v>
      </c>
      <c r="Y3">
        <f>AVERAGE(R3:R4)</f>
        <v>13</v>
      </c>
      <c r="Z3">
        <f>_xlfn.STDEV.S(R3:R4)</f>
        <v>4.2426406871192848</v>
      </c>
      <c r="AA3">
        <f>AVERAGE(S3:S4)</f>
        <v>32.5</v>
      </c>
      <c r="AB3">
        <f>_xlfn.STDEV.S(S3:S4)</f>
        <v>1.4142135623730951</v>
      </c>
      <c r="AC3">
        <f>AVERAGE(T3:T4)</f>
        <v>23.166666666666664</v>
      </c>
      <c r="AD3">
        <f>_xlfn.STDEV.S(T3:T4)</f>
        <v>2.3570226039551576</v>
      </c>
      <c r="AE3">
        <f>AVERAGE(V3:V4)</f>
        <v>10.166666666666666</v>
      </c>
      <c r="AF3">
        <f>_xlfn.STDEV.S(V3:V4)</f>
        <v>1.8856180831641309</v>
      </c>
    </row>
    <row r="4" spans="1:32" x14ac:dyDescent="0.3">
      <c r="B4">
        <v>68</v>
      </c>
      <c r="C4">
        <v>32</v>
      </c>
      <c r="D4">
        <v>18</v>
      </c>
      <c r="E4">
        <v>82</v>
      </c>
      <c r="G4">
        <v>83</v>
      </c>
      <c r="H4">
        <v>17</v>
      </c>
      <c r="I4">
        <v>15</v>
      </c>
      <c r="J4">
        <v>85</v>
      </c>
      <c r="L4">
        <v>79</v>
      </c>
      <c r="M4">
        <v>21</v>
      </c>
      <c r="N4">
        <v>46</v>
      </c>
      <c r="O4">
        <v>54</v>
      </c>
      <c r="Q4">
        <f t="shared" ref="Q4:Q14" si="0">AVERAGE(C4:D4)</f>
        <v>25</v>
      </c>
      <c r="R4">
        <f t="shared" ref="R4:R14" si="1">AVERAGE(H4:I4)</f>
        <v>16</v>
      </c>
      <c r="S4">
        <f t="shared" ref="S4:S14" si="2">AVERAGE(M4:N4)</f>
        <v>33.5</v>
      </c>
      <c r="T4">
        <f t="shared" ref="T4:T14" si="3">AVERAGE(Q4:S4)</f>
        <v>24.833333333333332</v>
      </c>
      <c r="U4">
        <f t="shared" ref="U4:U14" si="4">MIN(Q4:S4)</f>
        <v>16</v>
      </c>
      <c r="V4">
        <f t="shared" ref="V4:V14" si="5">T4-U4</f>
        <v>8.8333333333333321</v>
      </c>
    </row>
    <row r="5" spans="1:32" x14ac:dyDescent="0.3">
      <c r="A5" t="s">
        <v>59</v>
      </c>
    </row>
    <row r="6" spans="1:32" x14ac:dyDescent="0.3">
      <c r="B6">
        <v>71</v>
      </c>
      <c r="C6">
        <v>29</v>
      </c>
      <c r="D6">
        <v>16</v>
      </c>
      <c r="E6">
        <v>84</v>
      </c>
      <c r="G6">
        <v>91</v>
      </c>
      <c r="H6">
        <v>9</v>
      </c>
      <c r="I6">
        <v>14</v>
      </c>
      <c r="J6">
        <v>86</v>
      </c>
      <c r="L6">
        <v>68</v>
      </c>
      <c r="M6">
        <v>32</v>
      </c>
      <c r="N6">
        <v>37</v>
      </c>
      <c r="O6">
        <v>63</v>
      </c>
      <c r="Q6">
        <f t="shared" si="0"/>
        <v>22.5</v>
      </c>
      <c r="R6">
        <f t="shared" si="1"/>
        <v>11.5</v>
      </c>
      <c r="S6">
        <f t="shared" si="2"/>
        <v>34.5</v>
      </c>
      <c r="T6">
        <f t="shared" si="3"/>
        <v>22.833333333333332</v>
      </c>
      <c r="U6">
        <f t="shared" si="4"/>
        <v>11.5</v>
      </c>
      <c r="V6">
        <f t="shared" si="5"/>
        <v>11.333333333333332</v>
      </c>
      <c r="W6">
        <f>AVERAGE(Q6:Q9)</f>
        <v>24.375</v>
      </c>
      <c r="X6">
        <f>_xlfn.STDEV.S(Q6:Q9)</f>
        <v>1.25</v>
      </c>
      <c r="Y6">
        <f>AVERAGE(R6:R9)</f>
        <v>13.625</v>
      </c>
      <c r="Z6">
        <f>_xlfn.STDEV.S(R6:R9)</f>
        <v>1.9311050377094112</v>
      </c>
      <c r="AA6">
        <f>AVERAGE(S6:S9)</f>
        <v>34.5</v>
      </c>
      <c r="AB6">
        <f>_xlfn.STDEV.S(S6:S9)</f>
        <v>2.2730302828309759</v>
      </c>
      <c r="AC6">
        <f>AVERAGE(T6:T9)</f>
        <v>24.166666666666668</v>
      </c>
      <c r="AD6">
        <f>_xlfn.STDEV.S(T6:T9)</f>
        <v>1.4593250596181897</v>
      </c>
      <c r="AE6">
        <f>AVERAGE(V6:V9)</f>
        <v>10.541666666666668</v>
      </c>
      <c r="AF6">
        <f>_xlfn.STDEV.S(V6:V9)</f>
        <v>0.6854979266251694</v>
      </c>
    </row>
    <row r="7" spans="1:32" x14ac:dyDescent="0.3">
      <c r="B7">
        <v>63</v>
      </c>
      <c r="C7">
        <v>37</v>
      </c>
      <c r="D7">
        <v>13</v>
      </c>
      <c r="E7">
        <v>87</v>
      </c>
      <c r="G7">
        <v>87</v>
      </c>
      <c r="H7">
        <v>13</v>
      </c>
      <c r="I7">
        <v>18</v>
      </c>
      <c r="J7">
        <v>82</v>
      </c>
      <c r="L7">
        <v>69</v>
      </c>
      <c r="M7">
        <v>31</v>
      </c>
      <c r="N7">
        <v>39</v>
      </c>
      <c r="O7">
        <v>61</v>
      </c>
      <c r="Q7">
        <f t="shared" si="0"/>
        <v>25</v>
      </c>
      <c r="R7">
        <f t="shared" si="1"/>
        <v>15.5</v>
      </c>
      <c r="S7">
        <f t="shared" si="2"/>
        <v>35</v>
      </c>
      <c r="T7">
        <f t="shared" si="3"/>
        <v>25.166666666666668</v>
      </c>
      <c r="U7">
        <f t="shared" si="4"/>
        <v>15.5</v>
      </c>
      <c r="V7">
        <f t="shared" si="5"/>
        <v>9.6666666666666679</v>
      </c>
    </row>
    <row r="8" spans="1:32" x14ac:dyDescent="0.3">
      <c r="B8">
        <v>63</v>
      </c>
      <c r="C8">
        <v>37</v>
      </c>
      <c r="D8">
        <v>13</v>
      </c>
      <c r="E8">
        <v>87</v>
      </c>
      <c r="G8">
        <v>89</v>
      </c>
      <c r="H8">
        <v>11</v>
      </c>
      <c r="I8">
        <v>14</v>
      </c>
      <c r="J8">
        <v>86</v>
      </c>
      <c r="L8">
        <v>74</v>
      </c>
      <c r="M8">
        <v>26</v>
      </c>
      <c r="N8">
        <v>37</v>
      </c>
      <c r="O8">
        <v>63</v>
      </c>
      <c r="Q8">
        <f t="shared" si="0"/>
        <v>25</v>
      </c>
      <c r="R8">
        <f t="shared" si="1"/>
        <v>12.5</v>
      </c>
      <c r="S8">
        <f t="shared" si="2"/>
        <v>31.5</v>
      </c>
      <c r="T8">
        <f t="shared" si="3"/>
        <v>23</v>
      </c>
      <c r="U8">
        <f t="shared" si="4"/>
        <v>12.5</v>
      </c>
      <c r="V8">
        <f t="shared" si="5"/>
        <v>10.5</v>
      </c>
    </row>
    <row r="9" spans="1:32" x14ac:dyDescent="0.3">
      <c r="B9">
        <v>60</v>
      </c>
      <c r="C9">
        <v>40</v>
      </c>
      <c r="D9">
        <v>10</v>
      </c>
      <c r="E9">
        <v>90</v>
      </c>
      <c r="G9">
        <v>87</v>
      </c>
      <c r="H9">
        <v>13</v>
      </c>
      <c r="I9">
        <v>17</v>
      </c>
      <c r="J9">
        <v>83</v>
      </c>
      <c r="L9">
        <v>65</v>
      </c>
      <c r="M9">
        <v>35</v>
      </c>
      <c r="N9">
        <v>39</v>
      </c>
      <c r="O9">
        <v>61</v>
      </c>
      <c r="Q9">
        <f t="shared" si="0"/>
        <v>25</v>
      </c>
      <c r="R9">
        <f t="shared" si="1"/>
        <v>15</v>
      </c>
      <c r="S9">
        <f t="shared" si="2"/>
        <v>37</v>
      </c>
      <c r="T9">
        <f t="shared" si="3"/>
        <v>25.666666666666668</v>
      </c>
      <c r="U9">
        <f t="shared" si="4"/>
        <v>15</v>
      </c>
      <c r="V9">
        <f t="shared" si="5"/>
        <v>10.666666666666668</v>
      </c>
    </row>
    <row r="10" spans="1:32" x14ac:dyDescent="0.3">
      <c r="A10" t="s">
        <v>60</v>
      </c>
    </row>
    <row r="11" spans="1:32" x14ac:dyDescent="0.3">
      <c r="B11">
        <v>74</v>
      </c>
      <c r="C11">
        <v>26</v>
      </c>
      <c r="D11">
        <v>13</v>
      </c>
      <c r="E11">
        <v>87</v>
      </c>
      <c r="G11">
        <v>89</v>
      </c>
      <c r="H11">
        <v>11</v>
      </c>
      <c r="I11">
        <v>16</v>
      </c>
      <c r="J11">
        <v>84</v>
      </c>
      <c r="L11">
        <v>69</v>
      </c>
      <c r="M11">
        <v>31</v>
      </c>
      <c r="N11">
        <v>34</v>
      </c>
      <c r="O11">
        <v>66</v>
      </c>
      <c r="Q11">
        <f t="shared" si="0"/>
        <v>19.5</v>
      </c>
      <c r="R11">
        <f t="shared" si="1"/>
        <v>13.5</v>
      </c>
      <c r="S11">
        <f t="shared" si="2"/>
        <v>32.5</v>
      </c>
      <c r="T11">
        <f t="shared" si="3"/>
        <v>21.833333333333332</v>
      </c>
      <c r="U11">
        <f t="shared" si="4"/>
        <v>13.5</v>
      </c>
      <c r="V11">
        <f t="shared" si="5"/>
        <v>8.3333333333333321</v>
      </c>
      <c r="W11">
        <f>AVERAGE(Q11:Q14)</f>
        <v>22.375</v>
      </c>
      <c r="X11">
        <f>_xlfn.STDEV.S(Q11:Q14)</f>
        <v>3.5207716957129347</v>
      </c>
      <c r="Y11">
        <f>AVERAGE(R11:R14)</f>
        <v>13.625</v>
      </c>
      <c r="Z11">
        <f>_xlfn.STDEV.S(R11:R14)</f>
        <v>2.462214450449026</v>
      </c>
      <c r="AA11">
        <f>AVERAGE(S11:S14)</f>
        <v>31.75</v>
      </c>
      <c r="AB11">
        <f>_xlfn.STDEV.S(S11:S14)</f>
        <v>1.5</v>
      </c>
      <c r="AC11">
        <f>AVERAGE(T11:T14)</f>
        <v>22.583333333333332</v>
      </c>
      <c r="AD11">
        <f>_xlfn.STDEV.S(T11:T14)</f>
        <v>1.8383769008638104</v>
      </c>
      <c r="AE11">
        <f>AVERAGE(V11:V14)</f>
        <v>8.9583333333333321</v>
      </c>
      <c r="AF11">
        <f>_xlfn.STDEV.S(V11:V14)</f>
        <v>2.0744254001387374</v>
      </c>
    </row>
    <row r="12" spans="1:32" x14ac:dyDescent="0.3">
      <c r="B12">
        <v>67</v>
      </c>
      <c r="C12">
        <v>33</v>
      </c>
      <c r="D12">
        <v>10</v>
      </c>
      <c r="E12">
        <v>90</v>
      </c>
      <c r="G12">
        <v>82</v>
      </c>
      <c r="H12">
        <v>18</v>
      </c>
      <c r="I12">
        <v>15</v>
      </c>
      <c r="J12">
        <v>85</v>
      </c>
      <c r="L12">
        <v>81</v>
      </c>
      <c r="M12">
        <v>19</v>
      </c>
      <c r="N12">
        <v>42</v>
      </c>
      <c r="O12">
        <v>58</v>
      </c>
      <c r="Q12">
        <f t="shared" si="0"/>
        <v>21.5</v>
      </c>
      <c r="R12">
        <f t="shared" si="1"/>
        <v>16.5</v>
      </c>
      <c r="S12">
        <f t="shared" si="2"/>
        <v>30.5</v>
      </c>
      <c r="T12">
        <f t="shared" si="3"/>
        <v>22.833333333333332</v>
      </c>
      <c r="U12">
        <f t="shared" si="4"/>
        <v>16.5</v>
      </c>
      <c r="V12">
        <f t="shared" si="5"/>
        <v>6.3333333333333321</v>
      </c>
    </row>
    <row r="13" spans="1:32" x14ac:dyDescent="0.3">
      <c r="B13">
        <v>75</v>
      </c>
      <c r="C13">
        <v>25</v>
      </c>
      <c r="D13">
        <v>17</v>
      </c>
      <c r="E13">
        <v>83</v>
      </c>
      <c r="G13">
        <v>91</v>
      </c>
      <c r="H13">
        <v>9</v>
      </c>
      <c r="I13">
        <v>12</v>
      </c>
      <c r="J13">
        <v>88</v>
      </c>
      <c r="L13">
        <v>84</v>
      </c>
      <c r="M13">
        <v>16</v>
      </c>
      <c r="N13">
        <v>45</v>
      </c>
      <c r="O13">
        <v>55</v>
      </c>
      <c r="Q13">
        <f t="shared" si="0"/>
        <v>21</v>
      </c>
      <c r="R13">
        <f t="shared" si="1"/>
        <v>10.5</v>
      </c>
      <c r="S13">
        <f t="shared" si="2"/>
        <v>30.5</v>
      </c>
      <c r="T13">
        <f t="shared" si="3"/>
        <v>20.666666666666668</v>
      </c>
      <c r="U13">
        <f t="shared" si="4"/>
        <v>10.5</v>
      </c>
      <c r="V13">
        <f t="shared" si="5"/>
        <v>10.166666666666668</v>
      </c>
    </row>
    <row r="14" spans="1:32" x14ac:dyDescent="0.3">
      <c r="B14">
        <v>64</v>
      </c>
      <c r="C14">
        <v>36</v>
      </c>
      <c r="D14">
        <v>19</v>
      </c>
      <c r="E14">
        <v>81</v>
      </c>
      <c r="G14">
        <v>88</v>
      </c>
      <c r="H14">
        <v>12</v>
      </c>
      <c r="I14">
        <v>16</v>
      </c>
      <c r="J14">
        <v>84</v>
      </c>
      <c r="L14">
        <v>58</v>
      </c>
      <c r="M14">
        <v>42</v>
      </c>
      <c r="N14">
        <v>25</v>
      </c>
      <c r="O14">
        <v>75</v>
      </c>
      <c r="Q14">
        <f t="shared" si="0"/>
        <v>27.5</v>
      </c>
      <c r="R14">
        <f t="shared" si="1"/>
        <v>14</v>
      </c>
      <c r="S14">
        <f t="shared" si="2"/>
        <v>33.5</v>
      </c>
      <c r="T14">
        <f t="shared" si="3"/>
        <v>25</v>
      </c>
      <c r="U14">
        <f t="shared" si="4"/>
        <v>14</v>
      </c>
      <c r="V14">
        <f t="shared" si="5"/>
        <v>11</v>
      </c>
    </row>
    <row r="31" spans="17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7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7:2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7:2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7:2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7:2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1:AR109"/>
  <sheetViews>
    <sheetView topLeftCell="M11" workbookViewId="0">
      <selection activeCell="W21" sqref="W21:AF21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1" spans="1:44" x14ac:dyDescent="0.3">
      <c r="A1" t="s">
        <v>22</v>
      </c>
    </row>
    <row r="2" spans="1:44" x14ac:dyDescent="0.3">
      <c r="A2" t="s">
        <v>23</v>
      </c>
      <c r="F2" t="s">
        <v>24</v>
      </c>
      <c r="K2" t="s">
        <v>25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57</v>
      </c>
      <c r="X2" t="s">
        <v>45</v>
      </c>
      <c r="Y2" t="s">
        <v>7</v>
      </c>
      <c r="Z2" t="s">
        <v>46</v>
      </c>
      <c r="AA2" t="s">
        <v>9</v>
      </c>
      <c r="AB2" t="s">
        <v>47</v>
      </c>
      <c r="AC2" t="s">
        <v>1</v>
      </c>
      <c r="AD2" t="s">
        <v>17</v>
      </c>
      <c r="AE2" t="s">
        <v>19</v>
      </c>
      <c r="AF2" t="s">
        <v>20</v>
      </c>
      <c r="AH2" t="s">
        <v>38</v>
      </c>
      <c r="AI2" t="s">
        <v>1</v>
      </c>
      <c r="AJ2" t="s">
        <v>19</v>
      </c>
      <c r="AL2" t="s">
        <v>41</v>
      </c>
      <c r="AM2" t="s">
        <v>1</v>
      </c>
      <c r="AN2" t="s">
        <v>19</v>
      </c>
    </row>
    <row r="3" spans="1:44" x14ac:dyDescent="0.3">
      <c r="Q3" t="e">
        <f>AVERAGE(C3,D3)</f>
        <v>#DIV/0!</v>
      </c>
      <c r="R3" t="e">
        <f>AVERAGE(H3:I3)</f>
        <v>#DIV/0!</v>
      </c>
      <c r="S3" t="e">
        <f>AVERAGE(M3,N3)</f>
        <v>#DIV/0!</v>
      </c>
      <c r="T3" t="e">
        <f>AVERAGE(Q3:S3)</f>
        <v>#DIV/0!</v>
      </c>
      <c r="U3" t="e">
        <f>MIN(Q3:S3)</f>
        <v>#DIV/0!</v>
      </c>
      <c r="V3" t="e">
        <f>(1/3)*(T3-U3)</f>
        <v>#DIV/0!</v>
      </c>
      <c r="AC3" t="e">
        <f>AVERAGE(T3:T12)</f>
        <v>#DIV/0!</v>
      </c>
      <c r="AD3" t="e">
        <f>_xlfn.STDEV.S(T3:T12)</f>
        <v>#DIV/0!</v>
      </c>
      <c r="AE3" t="e">
        <f>AVERAGE(V3:V12)</f>
        <v>#DIV/0!</v>
      </c>
      <c r="AF3" t="e">
        <f>_xlfn.STDEV.S(V3:V12)</f>
        <v>#DIV/0!</v>
      </c>
      <c r="AH3" t="s">
        <v>39</v>
      </c>
      <c r="AL3" t="s">
        <v>42</v>
      </c>
    </row>
    <row r="4" spans="1:44" x14ac:dyDescent="0.3">
      <c r="Q4" t="e">
        <f t="shared" ref="Q4:Q67" si="0">AVERAGE(C4,D4)</f>
        <v>#DIV/0!</v>
      </c>
      <c r="R4" t="e">
        <f t="shared" ref="R4:R67" si="1">AVERAGE(H4:I4)</f>
        <v>#DIV/0!</v>
      </c>
      <c r="S4" t="e">
        <f t="shared" ref="S4:S67" si="2">AVERAGE(M4,N4)</f>
        <v>#DIV/0!</v>
      </c>
      <c r="T4" t="e">
        <f t="shared" ref="T4:T67" si="3">AVERAGE(Q4:S4)</f>
        <v>#DIV/0!</v>
      </c>
      <c r="U4" t="e">
        <f t="shared" ref="U4:U67" si="4">MIN(Q4:S4)</f>
        <v>#DIV/0!</v>
      </c>
      <c r="V4" t="e">
        <f t="shared" ref="V4:V67" si="5">(1/3)*(T4-U4)</f>
        <v>#DIV/0!</v>
      </c>
      <c r="AH4" t="s">
        <v>33</v>
      </c>
      <c r="AI4">
        <v>19.472222222222225</v>
      </c>
      <c r="AJ4">
        <v>1.3518518518518519</v>
      </c>
      <c r="AL4" t="s">
        <v>33</v>
      </c>
      <c r="AM4">
        <v>19.472222222222225</v>
      </c>
      <c r="AN4">
        <v>1.3518518518518519</v>
      </c>
    </row>
    <row r="5" spans="1:44" x14ac:dyDescent="0.3">
      <c r="Q5" t="e">
        <f t="shared" si="0"/>
        <v>#DIV/0!</v>
      </c>
      <c r="R5" t="e">
        <f t="shared" si="1"/>
        <v>#DIV/0!</v>
      </c>
      <c r="S5" t="e">
        <f t="shared" si="2"/>
        <v>#DIV/0!</v>
      </c>
      <c r="T5" t="e">
        <f t="shared" si="3"/>
        <v>#DIV/0!</v>
      </c>
      <c r="U5" t="e">
        <f t="shared" si="4"/>
        <v>#DIV/0!</v>
      </c>
      <c r="V5" t="e">
        <f t="shared" si="5"/>
        <v>#DIV/0!</v>
      </c>
      <c r="AH5" t="s">
        <v>34</v>
      </c>
      <c r="AI5">
        <v>19.925925925925927</v>
      </c>
      <c r="AJ5">
        <v>1.7530864197530864</v>
      </c>
      <c r="AL5" t="s">
        <v>34</v>
      </c>
      <c r="AM5">
        <v>19.925925925925927</v>
      </c>
      <c r="AN5">
        <v>1.7530864197530864</v>
      </c>
    </row>
    <row r="6" spans="1:44" x14ac:dyDescent="0.3">
      <c r="Q6" t="e">
        <f t="shared" si="0"/>
        <v>#DIV/0!</v>
      </c>
      <c r="R6" t="e">
        <f t="shared" si="1"/>
        <v>#DIV/0!</v>
      </c>
      <c r="S6" t="e">
        <f t="shared" si="2"/>
        <v>#DIV/0!</v>
      </c>
      <c r="T6" t="e">
        <f t="shared" si="3"/>
        <v>#DIV/0!</v>
      </c>
      <c r="U6" t="e">
        <f t="shared" si="4"/>
        <v>#DIV/0!</v>
      </c>
      <c r="V6" t="e">
        <f t="shared" si="5"/>
        <v>#DIV/0!</v>
      </c>
      <c r="AL6" t="s">
        <v>31</v>
      </c>
      <c r="AM6">
        <v>20.333333333333332</v>
      </c>
      <c r="AN6">
        <v>1.7777777777777779</v>
      </c>
    </row>
    <row r="7" spans="1:44" x14ac:dyDescent="0.3">
      <c r="Q7" t="e">
        <f t="shared" si="0"/>
        <v>#DIV/0!</v>
      </c>
      <c r="R7" t="e">
        <f t="shared" si="1"/>
        <v>#DIV/0!</v>
      </c>
      <c r="S7" t="e">
        <f t="shared" si="2"/>
        <v>#DIV/0!</v>
      </c>
      <c r="T7" t="e">
        <f t="shared" si="3"/>
        <v>#DIV/0!</v>
      </c>
      <c r="U7" t="e">
        <f t="shared" si="4"/>
        <v>#DIV/0!</v>
      </c>
      <c r="V7" t="e">
        <f t="shared" si="5"/>
        <v>#DIV/0!</v>
      </c>
      <c r="AH7" t="s">
        <v>40</v>
      </c>
      <c r="AL7" t="s">
        <v>40</v>
      </c>
    </row>
    <row r="8" spans="1:44" x14ac:dyDescent="0.3">
      <c r="Q8" t="e">
        <f t="shared" si="0"/>
        <v>#DIV/0!</v>
      </c>
      <c r="R8" t="e">
        <f t="shared" si="1"/>
        <v>#DIV/0!</v>
      </c>
      <c r="S8" t="e">
        <f t="shared" si="2"/>
        <v>#DIV/0!</v>
      </c>
      <c r="T8" t="e">
        <f t="shared" si="3"/>
        <v>#DIV/0!</v>
      </c>
      <c r="U8" t="e">
        <f t="shared" si="4"/>
        <v>#DIV/0!</v>
      </c>
      <c r="V8" t="e">
        <f t="shared" si="5"/>
        <v>#DIV/0!</v>
      </c>
      <c r="AH8" t="s">
        <v>33</v>
      </c>
      <c r="AI8">
        <v>19.472222222222225</v>
      </c>
      <c r="AJ8">
        <v>1.3518518518518519</v>
      </c>
      <c r="AL8" t="s">
        <v>33</v>
      </c>
      <c r="AM8">
        <v>19.472222222222225</v>
      </c>
      <c r="AN8">
        <v>1.3518518518518519</v>
      </c>
    </row>
    <row r="9" spans="1:44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</row>
    <row r="10" spans="1:44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1" spans="1:44" x14ac:dyDescent="0.3">
      <c r="Q11" t="e">
        <f t="shared" si="0"/>
        <v>#DIV/0!</v>
      </c>
      <c r="R11" t="e">
        <f t="shared" si="1"/>
        <v>#DIV/0!</v>
      </c>
      <c r="S11" t="e">
        <f t="shared" si="2"/>
        <v>#DIV/0!</v>
      </c>
      <c r="T11" t="e">
        <f t="shared" si="3"/>
        <v>#DIV/0!</v>
      </c>
      <c r="U11" t="e">
        <f t="shared" si="4"/>
        <v>#DIV/0!</v>
      </c>
      <c r="V11" t="e">
        <f t="shared" si="5"/>
        <v>#DIV/0!</v>
      </c>
      <c r="AI11" t="s">
        <v>5</v>
      </c>
      <c r="AJ11" t="s">
        <v>45</v>
      </c>
      <c r="AK11" t="s">
        <v>7</v>
      </c>
      <c r="AL11" t="s">
        <v>46</v>
      </c>
      <c r="AM11" t="s">
        <v>9</v>
      </c>
      <c r="AN11" t="s">
        <v>47</v>
      </c>
      <c r="AO11" t="s">
        <v>1</v>
      </c>
      <c r="AP11" t="s">
        <v>17</v>
      </c>
      <c r="AQ11" t="s">
        <v>19</v>
      </c>
      <c r="AR11" t="s">
        <v>20</v>
      </c>
    </row>
    <row r="12" spans="1:44" x14ac:dyDescent="0.3">
      <c r="Q12" t="e">
        <f t="shared" si="0"/>
        <v>#DIV/0!</v>
      </c>
      <c r="R12" t="e">
        <f t="shared" si="1"/>
        <v>#DIV/0!</v>
      </c>
      <c r="S12" t="e">
        <f t="shared" si="2"/>
        <v>#DIV/0!</v>
      </c>
      <c r="T12" t="e">
        <f t="shared" si="3"/>
        <v>#DIV/0!</v>
      </c>
      <c r="U12" t="e">
        <f t="shared" si="4"/>
        <v>#DIV/0!</v>
      </c>
      <c r="V12" t="e">
        <f t="shared" si="5"/>
        <v>#DIV/0!</v>
      </c>
      <c r="AH12" t="s">
        <v>21</v>
      </c>
      <c r="AI12">
        <f>AVERAGE(Q16:Q24)</f>
        <v>17.3</v>
      </c>
      <c r="AJ12">
        <f>_xlfn.STDEV.S(Q16:Q24)</f>
        <v>2.8853076092506997</v>
      </c>
      <c r="AK12">
        <f>AVERAGE(R16:R24)</f>
        <v>12</v>
      </c>
      <c r="AL12">
        <f>_xlfn.STDEV.S(R16:R24)</f>
        <v>2.4748737341529163</v>
      </c>
      <c r="AM12">
        <f>AVERAGE(S16:S24)</f>
        <v>31.3</v>
      </c>
      <c r="AN12">
        <f>_xlfn.STDEV.S(S16:S24)</f>
        <v>3.8826537316634413</v>
      </c>
      <c r="AO12">
        <v>20.537037037037035</v>
      </c>
      <c r="AP12">
        <v>1.3405476124459617</v>
      </c>
      <c r="AQ12">
        <v>2.216049382716049</v>
      </c>
      <c r="AR12">
        <v>0.74558600515545947</v>
      </c>
    </row>
    <row r="13" spans="1:44" x14ac:dyDescent="0.3">
      <c r="AH13" t="s">
        <v>33</v>
      </c>
      <c r="AI13" t="e">
        <f>AVERAGE(Q92:Q97)</f>
        <v>#DIV/0!</v>
      </c>
      <c r="AJ13" t="e">
        <f>_xlfn.STDEV.S(Q92:Q97)</f>
        <v>#DIV/0!</v>
      </c>
      <c r="AK13" t="e">
        <f>AVERAGE(R92:R97)</f>
        <v>#DIV/0!</v>
      </c>
      <c r="AL13" t="e">
        <f>_xlfn.STDEV.S(R92:R97)</f>
        <v>#DIV/0!</v>
      </c>
      <c r="AM13" t="e">
        <f>AVERAGE(S92:S97)</f>
        <v>#DIV/0!</v>
      </c>
      <c r="AN13" t="e">
        <f>_xlfn.STDEV.S(S92:S97)</f>
        <v>#DIV/0!</v>
      </c>
      <c r="AO13">
        <v>19.472222222222225</v>
      </c>
      <c r="AP13">
        <v>1.7808133805360669</v>
      </c>
      <c r="AQ13">
        <v>1.3518518518518519</v>
      </c>
      <c r="AR13">
        <v>0.51480149196723157</v>
      </c>
    </row>
    <row r="14" spans="1:44" x14ac:dyDescent="0.3">
      <c r="A14" t="s">
        <v>21</v>
      </c>
    </row>
    <row r="15" spans="1:44" x14ac:dyDescent="0.3">
      <c r="A15" t="s">
        <v>23</v>
      </c>
    </row>
    <row r="16" spans="1:44" x14ac:dyDescent="0.3">
      <c r="B16">
        <v>75</v>
      </c>
      <c r="C16">
        <v>25</v>
      </c>
      <c r="D16">
        <v>12</v>
      </c>
      <c r="E16">
        <v>88</v>
      </c>
      <c r="G16">
        <v>92</v>
      </c>
      <c r="H16">
        <v>8</v>
      </c>
      <c r="I16">
        <v>24</v>
      </c>
      <c r="J16">
        <v>76</v>
      </c>
      <c r="L16">
        <v>84</v>
      </c>
      <c r="M16">
        <v>16</v>
      </c>
      <c r="N16">
        <v>46</v>
      </c>
      <c r="O16">
        <v>54</v>
      </c>
      <c r="Q16">
        <f t="shared" si="0"/>
        <v>18.5</v>
      </c>
      <c r="R16">
        <f t="shared" si="1"/>
        <v>16</v>
      </c>
      <c r="S16">
        <f t="shared" si="2"/>
        <v>31</v>
      </c>
      <c r="T16">
        <f t="shared" si="3"/>
        <v>21.833333333333332</v>
      </c>
      <c r="U16">
        <f t="shared" si="4"/>
        <v>16</v>
      </c>
      <c r="V16">
        <f>(T16-U16)</f>
        <v>5.8333333333333321</v>
      </c>
      <c r="W16">
        <f>AVERAGE(Q16:Q18)</f>
        <v>17</v>
      </c>
      <c r="X16">
        <f>_xlfn.STDEV.S(Q16:Q18)</f>
        <v>1.5</v>
      </c>
      <c r="Y16">
        <f>AVERAGE(R16:R18)</f>
        <v>12.833333333333334</v>
      </c>
      <c r="Z16">
        <f>_xlfn.STDEV.S(R16:R18)</f>
        <v>3.0138568866708555</v>
      </c>
      <c r="AA16">
        <f>AVERAGE(S16:S18)</f>
        <v>29.5</v>
      </c>
      <c r="AB16">
        <f>_xlfn.STDEV.S(S16:S18)</f>
        <v>3.9686269665968861</v>
      </c>
      <c r="AC16">
        <f>AVERAGE(T16:T18)</f>
        <v>19.777777777777775</v>
      </c>
      <c r="AD16">
        <f>_xlfn.STDEV.S(T16:T18)</f>
        <v>2.0838888148345602</v>
      </c>
      <c r="AE16">
        <f>AVERAGE(V16:V18)</f>
        <v>6.9444444444444438</v>
      </c>
      <c r="AF16">
        <f>_xlfn.STDEV.S(V16:V18)</f>
        <v>2.523959264800121</v>
      </c>
    </row>
    <row r="17" spans="1:32" x14ac:dyDescent="0.3">
      <c r="B17">
        <v>79</v>
      </c>
      <c r="C17">
        <v>21</v>
      </c>
      <c r="D17">
        <v>10</v>
      </c>
      <c r="E17">
        <v>90</v>
      </c>
      <c r="G17">
        <v>87</v>
      </c>
      <c r="H17">
        <v>13</v>
      </c>
      <c r="I17">
        <v>12</v>
      </c>
      <c r="J17">
        <v>88</v>
      </c>
      <c r="L17">
        <v>71</v>
      </c>
      <c r="M17">
        <v>29</v>
      </c>
      <c r="N17">
        <v>21</v>
      </c>
      <c r="O17">
        <v>79</v>
      </c>
      <c r="Q17">
        <f t="shared" si="0"/>
        <v>15.5</v>
      </c>
      <c r="R17">
        <f t="shared" si="1"/>
        <v>12.5</v>
      </c>
      <c r="S17">
        <f t="shared" si="2"/>
        <v>25</v>
      </c>
      <c r="T17">
        <f t="shared" si="3"/>
        <v>17.666666666666668</v>
      </c>
      <c r="U17">
        <f t="shared" si="4"/>
        <v>12.5</v>
      </c>
      <c r="V17">
        <f>(T17-U17)</f>
        <v>5.1666666666666679</v>
      </c>
    </row>
    <row r="18" spans="1:32" x14ac:dyDescent="0.3">
      <c r="B18">
        <v>81</v>
      </c>
      <c r="C18">
        <v>19</v>
      </c>
      <c r="D18">
        <v>15</v>
      </c>
      <c r="E18">
        <v>85</v>
      </c>
      <c r="G18">
        <v>93</v>
      </c>
      <c r="H18">
        <v>7</v>
      </c>
      <c r="I18">
        <v>13</v>
      </c>
      <c r="J18">
        <v>87</v>
      </c>
      <c r="L18">
        <v>72</v>
      </c>
      <c r="M18">
        <v>28</v>
      </c>
      <c r="N18">
        <v>37</v>
      </c>
      <c r="O18">
        <v>63</v>
      </c>
      <c r="Q18">
        <f t="shared" si="0"/>
        <v>17</v>
      </c>
      <c r="R18">
        <f t="shared" si="1"/>
        <v>10</v>
      </c>
      <c r="S18">
        <f t="shared" si="2"/>
        <v>32.5</v>
      </c>
      <c r="T18">
        <f t="shared" si="3"/>
        <v>19.833333333333332</v>
      </c>
      <c r="U18">
        <f t="shared" si="4"/>
        <v>10</v>
      </c>
      <c r="V18">
        <f>(T18-U18)</f>
        <v>9.8333333333333321</v>
      </c>
    </row>
    <row r="20" spans="1:32" x14ac:dyDescent="0.3">
      <c r="A20" t="s">
        <v>61</v>
      </c>
    </row>
    <row r="21" spans="1:32" x14ac:dyDescent="0.3">
      <c r="B21">
        <v>68</v>
      </c>
      <c r="C21">
        <v>32</v>
      </c>
      <c r="D21">
        <v>11</v>
      </c>
      <c r="E21">
        <v>89</v>
      </c>
      <c r="G21">
        <v>89</v>
      </c>
      <c r="H21">
        <v>11</v>
      </c>
      <c r="I21">
        <v>9</v>
      </c>
      <c r="J21">
        <v>91</v>
      </c>
      <c r="L21">
        <v>77</v>
      </c>
      <c r="M21">
        <v>23</v>
      </c>
      <c r="N21">
        <v>42</v>
      </c>
      <c r="O21">
        <v>58</v>
      </c>
      <c r="Q21">
        <f t="shared" ref="Q21:Q22" si="6">AVERAGE(C21,D21)</f>
        <v>21.5</v>
      </c>
      <c r="R21">
        <f t="shared" ref="R21:R22" si="7">AVERAGE(H21:I21)</f>
        <v>10</v>
      </c>
      <c r="S21">
        <f t="shared" ref="S21:S22" si="8">AVERAGE(M21,N21)</f>
        <v>32.5</v>
      </c>
      <c r="T21">
        <f t="shared" ref="T21:T22" si="9">AVERAGE(Q21:S21)</f>
        <v>21.333333333333332</v>
      </c>
      <c r="U21">
        <f t="shared" ref="U21:U22" si="10">MIN(Q21:S21)</f>
        <v>10</v>
      </c>
      <c r="V21">
        <f t="shared" ref="V21:V22" si="11">(T21-U21)</f>
        <v>11.333333333333332</v>
      </c>
      <c r="W21">
        <f>AVERAGE(Q21:Q23)</f>
        <v>17.75</v>
      </c>
      <c r="X21">
        <f>_xlfn.STDEV.S(Q21:Q23)</f>
        <v>5.3033008588991066</v>
      </c>
      <c r="Y21">
        <f>AVERAGE(R21:R23)</f>
        <v>10.75</v>
      </c>
      <c r="Z21">
        <f>_xlfn.STDEV.S(R21:R23)</f>
        <v>1.0606601717798212</v>
      </c>
      <c r="AA21">
        <f>AVERAGE(S21:S23)</f>
        <v>34</v>
      </c>
      <c r="AB21">
        <f>_xlfn.STDEV.S(S21:S23)</f>
        <v>2.1213203435596424</v>
      </c>
      <c r="AC21">
        <f>AVERAGE(T21:T23)</f>
        <v>20.833333333333332</v>
      </c>
      <c r="AD21">
        <f>_xlfn.STDEV.S(T21:T23)</f>
        <v>0.70710678118654757</v>
      </c>
      <c r="AE21">
        <f>AVERAGE(V21:V23)</f>
        <v>10.083333333333332</v>
      </c>
      <c r="AF21">
        <f>_xlfn.STDEV.S(V21:V23)</f>
        <v>1.7677669529663689</v>
      </c>
    </row>
    <row r="22" spans="1:32" x14ac:dyDescent="0.3">
      <c r="B22">
        <v>81</v>
      </c>
      <c r="C22">
        <v>19</v>
      </c>
      <c r="D22">
        <v>9</v>
      </c>
      <c r="E22">
        <v>91</v>
      </c>
      <c r="G22">
        <v>95</v>
      </c>
      <c r="H22">
        <v>5</v>
      </c>
      <c r="I22">
        <v>18</v>
      </c>
      <c r="J22">
        <v>82</v>
      </c>
      <c r="L22">
        <v>82</v>
      </c>
      <c r="M22">
        <v>18</v>
      </c>
      <c r="N22">
        <v>53</v>
      </c>
      <c r="O22">
        <v>47</v>
      </c>
      <c r="Q22">
        <f t="shared" si="6"/>
        <v>14</v>
      </c>
      <c r="R22">
        <f t="shared" si="7"/>
        <v>11.5</v>
      </c>
      <c r="S22">
        <f t="shared" si="8"/>
        <v>35.5</v>
      </c>
      <c r="T22">
        <f t="shared" si="9"/>
        <v>20.333333333333332</v>
      </c>
      <c r="U22">
        <f t="shared" si="10"/>
        <v>11.5</v>
      </c>
      <c r="V22">
        <f t="shared" si="11"/>
        <v>8.8333333333333321</v>
      </c>
    </row>
    <row r="26" spans="1:32" x14ac:dyDescent="0.3">
      <c r="A26" t="s">
        <v>26</v>
      </c>
    </row>
    <row r="27" spans="1:32" x14ac:dyDescent="0.3">
      <c r="A27" t="s">
        <v>23</v>
      </c>
    </row>
    <row r="28" spans="1:32" x14ac:dyDescent="0.3">
      <c r="Q28" t="e">
        <f t="shared" si="0"/>
        <v>#DIV/0!</v>
      </c>
      <c r="R28" t="e">
        <f t="shared" si="1"/>
        <v>#DIV/0!</v>
      </c>
      <c r="S28" t="e">
        <f t="shared" si="2"/>
        <v>#DIV/0!</v>
      </c>
      <c r="T28" t="e">
        <f t="shared" si="3"/>
        <v>#DIV/0!</v>
      </c>
      <c r="U28" t="e">
        <f t="shared" si="4"/>
        <v>#DIV/0!</v>
      </c>
      <c r="V28" t="e">
        <f t="shared" si="5"/>
        <v>#DIV/0!</v>
      </c>
      <c r="AC28" t="e">
        <f>AVERAGE(T28:T30)</f>
        <v>#DIV/0!</v>
      </c>
      <c r="AD28" t="e">
        <f>_xlfn.STDEV.S(T28:T30)</f>
        <v>#DIV/0!</v>
      </c>
      <c r="AE28" t="e">
        <f>AVERAGE(V28:V30)</f>
        <v>#DIV/0!</v>
      </c>
      <c r="AF28" t="e">
        <f>_xlfn.STDEV.S(V28:V30)</f>
        <v>#DIV/0!</v>
      </c>
    </row>
    <row r="29" spans="1:32" x14ac:dyDescent="0.3">
      <c r="Q29" t="e">
        <f t="shared" si="0"/>
        <v>#DIV/0!</v>
      </c>
      <c r="R29" t="e">
        <f t="shared" si="1"/>
        <v>#DIV/0!</v>
      </c>
      <c r="S29" t="e">
        <f t="shared" si="2"/>
        <v>#DIV/0!</v>
      </c>
      <c r="T29" t="e">
        <f t="shared" si="3"/>
        <v>#DIV/0!</v>
      </c>
      <c r="U29" t="e">
        <f t="shared" si="4"/>
        <v>#DIV/0!</v>
      </c>
      <c r="V29" t="e">
        <f t="shared" si="5"/>
        <v>#DIV/0!</v>
      </c>
    </row>
    <row r="30" spans="1:32" x14ac:dyDescent="0.3">
      <c r="Q30" t="e">
        <f t="shared" si="0"/>
        <v>#DIV/0!</v>
      </c>
      <c r="R30" t="e">
        <f t="shared" si="1"/>
        <v>#DIV/0!</v>
      </c>
      <c r="S30" t="e">
        <f t="shared" si="2"/>
        <v>#DIV/0!</v>
      </c>
      <c r="T30" t="e">
        <f t="shared" si="3"/>
        <v>#DIV/0!</v>
      </c>
      <c r="U30" t="e">
        <f t="shared" si="4"/>
        <v>#DIV/0!</v>
      </c>
      <c r="V30" t="e">
        <f t="shared" si="5"/>
        <v>#DIV/0!</v>
      </c>
    </row>
    <row r="32" spans="1:32" x14ac:dyDescent="0.3">
      <c r="A32" t="s">
        <v>27</v>
      </c>
    </row>
    <row r="33" spans="1:32" x14ac:dyDescent="0.3">
      <c r="A33" t="s">
        <v>23</v>
      </c>
    </row>
    <row r="34" spans="1:32" x14ac:dyDescent="0.3">
      <c r="Q34" t="e">
        <f t="shared" si="0"/>
        <v>#DIV/0!</v>
      </c>
      <c r="R34" t="e">
        <f t="shared" si="1"/>
        <v>#DIV/0!</v>
      </c>
      <c r="S34" t="e">
        <f t="shared" si="2"/>
        <v>#DIV/0!</v>
      </c>
      <c r="T34" t="e">
        <f t="shared" si="3"/>
        <v>#DIV/0!</v>
      </c>
      <c r="U34" t="e">
        <f t="shared" si="4"/>
        <v>#DIV/0!</v>
      </c>
      <c r="V34" t="e">
        <f t="shared" si="5"/>
        <v>#DIV/0!</v>
      </c>
      <c r="AC34" t="e">
        <f>AVERAGE(T34:T42)</f>
        <v>#DIV/0!</v>
      </c>
      <c r="AD34" t="e">
        <f>_xlfn.STDEV.S(T34:T42)</f>
        <v>#DIV/0!</v>
      </c>
      <c r="AE34" t="e">
        <f>AVERAGE(V34:V42)</f>
        <v>#DIV/0!</v>
      </c>
      <c r="AF34" t="e">
        <f>_xlfn.STDEV.S(V34:V42)</f>
        <v>#DIV/0!</v>
      </c>
    </row>
    <row r="35" spans="1:32" x14ac:dyDescent="0.3">
      <c r="Q35" t="e">
        <f t="shared" si="0"/>
        <v>#DIV/0!</v>
      </c>
      <c r="R35" t="e">
        <f t="shared" si="1"/>
        <v>#DIV/0!</v>
      </c>
      <c r="S35" t="e">
        <f t="shared" si="2"/>
        <v>#DIV/0!</v>
      </c>
      <c r="T35" t="e">
        <f t="shared" si="3"/>
        <v>#DIV/0!</v>
      </c>
      <c r="U35" t="e">
        <f t="shared" si="4"/>
        <v>#DIV/0!</v>
      </c>
      <c r="V35" t="e">
        <f t="shared" si="5"/>
        <v>#DIV/0!</v>
      </c>
    </row>
    <row r="36" spans="1:32" x14ac:dyDescent="0.3">
      <c r="Q36" t="e">
        <f t="shared" si="0"/>
        <v>#DIV/0!</v>
      </c>
      <c r="R36" t="e">
        <f t="shared" si="1"/>
        <v>#DIV/0!</v>
      </c>
      <c r="S36" t="e">
        <f t="shared" si="2"/>
        <v>#DIV/0!</v>
      </c>
      <c r="T36" t="e">
        <f t="shared" si="3"/>
        <v>#DIV/0!</v>
      </c>
      <c r="U36" t="e">
        <f t="shared" si="4"/>
        <v>#DIV/0!</v>
      </c>
      <c r="V36" t="e">
        <f t="shared" si="5"/>
        <v>#DIV/0!</v>
      </c>
    </row>
    <row r="37" spans="1:32" x14ac:dyDescent="0.3">
      <c r="Q37" t="e">
        <f t="shared" si="0"/>
        <v>#DIV/0!</v>
      </c>
      <c r="R37" t="e">
        <f t="shared" si="1"/>
        <v>#DIV/0!</v>
      </c>
      <c r="S37" t="e">
        <f t="shared" si="2"/>
        <v>#DIV/0!</v>
      </c>
      <c r="T37" t="e">
        <f t="shared" si="3"/>
        <v>#DIV/0!</v>
      </c>
      <c r="U37" t="e">
        <f t="shared" si="4"/>
        <v>#DIV/0!</v>
      </c>
      <c r="V37" t="e">
        <f t="shared" si="5"/>
        <v>#DIV/0!</v>
      </c>
    </row>
    <row r="38" spans="1:32" x14ac:dyDescent="0.3">
      <c r="Q38" t="e">
        <f t="shared" si="0"/>
        <v>#DIV/0!</v>
      </c>
      <c r="R38" t="e">
        <f t="shared" si="1"/>
        <v>#DIV/0!</v>
      </c>
      <c r="S38" t="e">
        <f t="shared" si="2"/>
        <v>#DIV/0!</v>
      </c>
      <c r="T38" t="e">
        <f t="shared" si="3"/>
        <v>#DIV/0!</v>
      </c>
      <c r="U38" t="e">
        <f t="shared" si="4"/>
        <v>#DIV/0!</v>
      </c>
      <c r="V38" t="e">
        <f t="shared" si="5"/>
        <v>#DIV/0!</v>
      </c>
    </row>
    <row r="39" spans="1:32" x14ac:dyDescent="0.3">
      <c r="Q39" t="e">
        <f t="shared" si="0"/>
        <v>#DIV/0!</v>
      </c>
      <c r="R39" t="e">
        <f t="shared" si="1"/>
        <v>#DIV/0!</v>
      </c>
      <c r="S39" t="e">
        <f t="shared" si="2"/>
        <v>#DIV/0!</v>
      </c>
      <c r="T39" t="e">
        <f t="shared" si="3"/>
        <v>#DIV/0!</v>
      </c>
      <c r="U39" t="e">
        <f t="shared" si="4"/>
        <v>#DIV/0!</v>
      </c>
      <c r="V39" t="e">
        <f t="shared" si="5"/>
        <v>#DIV/0!</v>
      </c>
    </row>
    <row r="40" spans="1:32" x14ac:dyDescent="0.3">
      <c r="Q40" t="e">
        <f t="shared" si="0"/>
        <v>#DIV/0!</v>
      </c>
      <c r="R40" t="e">
        <f t="shared" si="1"/>
        <v>#DIV/0!</v>
      </c>
      <c r="S40" t="e">
        <f t="shared" si="2"/>
        <v>#DIV/0!</v>
      </c>
      <c r="T40" t="e">
        <f t="shared" si="3"/>
        <v>#DIV/0!</v>
      </c>
      <c r="U40" t="e">
        <f t="shared" si="4"/>
        <v>#DIV/0!</v>
      </c>
      <c r="V40" t="e">
        <f t="shared" si="5"/>
        <v>#DIV/0!</v>
      </c>
    </row>
    <row r="41" spans="1:32" x14ac:dyDescent="0.3">
      <c r="Q41" t="e">
        <f t="shared" si="0"/>
        <v>#DIV/0!</v>
      </c>
      <c r="R41" t="e">
        <f t="shared" si="1"/>
        <v>#DIV/0!</v>
      </c>
      <c r="S41" t="e">
        <f t="shared" si="2"/>
        <v>#DIV/0!</v>
      </c>
      <c r="T41" t="e">
        <f t="shared" si="3"/>
        <v>#DIV/0!</v>
      </c>
      <c r="U41" t="e">
        <f t="shared" si="4"/>
        <v>#DIV/0!</v>
      </c>
      <c r="V41" t="e">
        <f t="shared" si="5"/>
        <v>#DIV/0!</v>
      </c>
    </row>
    <row r="42" spans="1:32" x14ac:dyDescent="0.3">
      <c r="Q42" t="e">
        <f t="shared" si="0"/>
        <v>#DIV/0!</v>
      </c>
      <c r="R42" t="e">
        <f t="shared" si="1"/>
        <v>#DIV/0!</v>
      </c>
      <c r="S42" t="e">
        <f t="shared" si="2"/>
        <v>#DIV/0!</v>
      </c>
      <c r="T42" t="e">
        <f t="shared" si="3"/>
        <v>#DIV/0!</v>
      </c>
      <c r="U42" t="e">
        <f t="shared" si="4"/>
        <v>#DIV/0!</v>
      </c>
      <c r="V42" t="e">
        <f t="shared" si="5"/>
        <v>#DIV/0!</v>
      </c>
    </row>
    <row r="44" spans="1:32" x14ac:dyDescent="0.3">
      <c r="A44" t="s">
        <v>28</v>
      </c>
    </row>
    <row r="45" spans="1:32" x14ac:dyDescent="0.3">
      <c r="A45" t="s">
        <v>23</v>
      </c>
    </row>
    <row r="46" spans="1:32" x14ac:dyDescent="0.3">
      <c r="Q46" t="e">
        <f t="shared" si="0"/>
        <v>#DIV/0!</v>
      </c>
      <c r="R46" t="e">
        <f t="shared" si="1"/>
        <v>#DIV/0!</v>
      </c>
      <c r="S46" t="e">
        <f t="shared" si="2"/>
        <v>#DIV/0!</v>
      </c>
      <c r="T46" t="e">
        <f t="shared" si="3"/>
        <v>#DIV/0!</v>
      </c>
      <c r="U46" t="e">
        <f t="shared" si="4"/>
        <v>#DIV/0!</v>
      </c>
      <c r="V46" t="e">
        <f t="shared" si="5"/>
        <v>#DIV/0!</v>
      </c>
      <c r="AC46" t="e">
        <f>AVERAGE(T46:T54)</f>
        <v>#DIV/0!</v>
      </c>
      <c r="AD46" t="e">
        <f>_xlfn.STDEV.S(T46:T54)</f>
        <v>#DIV/0!</v>
      </c>
      <c r="AE46" t="e">
        <f>AVERAGE(V46:V54)</f>
        <v>#DIV/0!</v>
      </c>
      <c r="AF46" t="e">
        <f>_xlfn.STDEV.S(V46:V54)</f>
        <v>#DIV/0!</v>
      </c>
    </row>
    <row r="47" spans="1:32" x14ac:dyDescent="0.3">
      <c r="Q47" t="e">
        <f t="shared" si="0"/>
        <v>#DIV/0!</v>
      </c>
      <c r="R47" t="e">
        <f t="shared" si="1"/>
        <v>#DIV/0!</v>
      </c>
      <c r="S47" t="e">
        <f t="shared" si="2"/>
        <v>#DIV/0!</v>
      </c>
      <c r="T47" t="e">
        <f t="shared" si="3"/>
        <v>#DIV/0!</v>
      </c>
      <c r="U47" t="e">
        <f t="shared" si="4"/>
        <v>#DIV/0!</v>
      </c>
      <c r="V47" t="e">
        <f t="shared" si="5"/>
        <v>#DIV/0!</v>
      </c>
    </row>
    <row r="48" spans="1:32" x14ac:dyDescent="0.3">
      <c r="Q48" t="e">
        <f t="shared" si="0"/>
        <v>#DIV/0!</v>
      </c>
      <c r="R48" t="e">
        <f t="shared" si="1"/>
        <v>#DIV/0!</v>
      </c>
      <c r="S48" t="e">
        <f t="shared" si="2"/>
        <v>#DIV/0!</v>
      </c>
      <c r="T48" t="e">
        <f t="shared" si="3"/>
        <v>#DIV/0!</v>
      </c>
      <c r="U48" t="e">
        <f t="shared" si="4"/>
        <v>#DIV/0!</v>
      </c>
      <c r="V48" t="e">
        <f t="shared" si="5"/>
        <v>#DIV/0!</v>
      </c>
    </row>
    <row r="49" spans="1:32" x14ac:dyDescent="0.3">
      <c r="Q49" t="e">
        <f t="shared" si="0"/>
        <v>#DIV/0!</v>
      </c>
      <c r="R49" t="e">
        <f t="shared" si="1"/>
        <v>#DIV/0!</v>
      </c>
      <c r="S49" t="e">
        <f t="shared" si="2"/>
        <v>#DIV/0!</v>
      </c>
      <c r="T49" t="e">
        <f t="shared" si="3"/>
        <v>#DIV/0!</v>
      </c>
      <c r="U49" t="e">
        <f t="shared" si="4"/>
        <v>#DIV/0!</v>
      </c>
      <c r="V49" t="e">
        <f t="shared" si="5"/>
        <v>#DIV/0!</v>
      </c>
    </row>
    <row r="50" spans="1:32" x14ac:dyDescent="0.3">
      <c r="Q50" t="e">
        <f t="shared" si="0"/>
        <v>#DIV/0!</v>
      </c>
      <c r="R50" t="e">
        <f t="shared" si="1"/>
        <v>#DIV/0!</v>
      </c>
      <c r="S50" t="e">
        <f t="shared" si="2"/>
        <v>#DIV/0!</v>
      </c>
      <c r="T50" t="e">
        <f t="shared" si="3"/>
        <v>#DIV/0!</v>
      </c>
      <c r="U50" t="e">
        <f t="shared" si="4"/>
        <v>#DIV/0!</v>
      </c>
      <c r="V50" t="e">
        <f t="shared" si="5"/>
        <v>#DIV/0!</v>
      </c>
    </row>
    <row r="51" spans="1:32" x14ac:dyDescent="0.3">
      <c r="Q51" t="e">
        <f t="shared" si="0"/>
        <v>#DIV/0!</v>
      </c>
      <c r="R51" t="e">
        <f t="shared" si="1"/>
        <v>#DIV/0!</v>
      </c>
      <c r="S51" t="e">
        <f t="shared" si="2"/>
        <v>#DIV/0!</v>
      </c>
      <c r="T51" t="e">
        <f t="shared" si="3"/>
        <v>#DIV/0!</v>
      </c>
      <c r="U51" t="e">
        <f t="shared" si="4"/>
        <v>#DIV/0!</v>
      </c>
      <c r="V51" t="e">
        <f t="shared" si="5"/>
        <v>#DIV/0!</v>
      </c>
    </row>
    <row r="52" spans="1:32" x14ac:dyDescent="0.3">
      <c r="Q52" t="e">
        <f t="shared" si="0"/>
        <v>#DIV/0!</v>
      </c>
      <c r="R52" t="e">
        <f t="shared" si="1"/>
        <v>#DIV/0!</v>
      </c>
      <c r="S52" t="e">
        <f t="shared" si="2"/>
        <v>#DIV/0!</v>
      </c>
      <c r="T52" t="e">
        <f t="shared" si="3"/>
        <v>#DIV/0!</v>
      </c>
      <c r="U52" t="e">
        <f t="shared" si="4"/>
        <v>#DIV/0!</v>
      </c>
      <c r="V52" t="e">
        <f t="shared" si="5"/>
        <v>#DIV/0!</v>
      </c>
    </row>
    <row r="53" spans="1:32" x14ac:dyDescent="0.3">
      <c r="Q53" t="e">
        <f t="shared" si="0"/>
        <v>#DIV/0!</v>
      </c>
      <c r="R53" t="e">
        <f t="shared" si="1"/>
        <v>#DIV/0!</v>
      </c>
      <c r="S53" t="e">
        <f t="shared" si="2"/>
        <v>#DIV/0!</v>
      </c>
      <c r="T53" t="e">
        <f t="shared" si="3"/>
        <v>#DIV/0!</v>
      </c>
      <c r="U53" t="e">
        <f t="shared" si="4"/>
        <v>#DIV/0!</v>
      </c>
      <c r="V53" t="e">
        <f t="shared" si="5"/>
        <v>#DIV/0!</v>
      </c>
    </row>
    <row r="54" spans="1:32" x14ac:dyDescent="0.3">
      <c r="Q54" t="e">
        <f t="shared" si="0"/>
        <v>#DIV/0!</v>
      </c>
      <c r="R54" t="e">
        <f t="shared" si="1"/>
        <v>#DIV/0!</v>
      </c>
      <c r="S54" t="e">
        <f t="shared" si="2"/>
        <v>#DIV/0!</v>
      </c>
      <c r="T54" t="e">
        <f t="shared" si="3"/>
        <v>#DIV/0!</v>
      </c>
      <c r="U54" t="e">
        <f t="shared" si="4"/>
        <v>#DIV/0!</v>
      </c>
      <c r="V54" t="e">
        <f t="shared" si="5"/>
        <v>#DIV/0!</v>
      </c>
    </row>
    <row r="56" spans="1:32" x14ac:dyDescent="0.3">
      <c r="A56" t="s">
        <v>29</v>
      </c>
    </row>
    <row r="57" spans="1:32" x14ac:dyDescent="0.3">
      <c r="A57" t="s">
        <v>23</v>
      </c>
    </row>
    <row r="58" spans="1:32" x14ac:dyDescent="0.3">
      <c r="Q58" t="e">
        <f t="shared" si="0"/>
        <v>#DIV/0!</v>
      </c>
      <c r="R58" t="e">
        <f t="shared" si="1"/>
        <v>#DIV/0!</v>
      </c>
      <c r="S58" t="e">
        <f t="shared" si="2"/>
        <v>#DIV/0!</v>
      </c>
      <c r="T58" t="e">
        <f t="shared" si="3"/>
        <v>#DIV/0!</v>
      </c>
      <c r="U58" t="e">
        <f t="shared" si="4"/>
        <v>#DIV/0!</v>
      </c>
      <c r="V58" t="e">
        <f t="shared" si="5"/>
        <v>#DIV/0!</v>
      </c>
      <c r="AC58" t="e">
        <f>AVERAGE(T58,T59)</f>
        <v>#DIV/0!</v>
      </c>
      <c r="AD58" t="e">
        <f>_xlfn.STDEV.S(T58:T59)</f>
        <v>#DIV/0!</v>
      </c>
      <c r="AE58" t="e">
        <f>AVERAGE(V58,V59)</f>
        <v>#DIV/0!</v>
      </c>
      <c r="AF58" t="e">
        <f>_xlfn.STDEV.S(V58,V59)</f>
        <v>#DIV/0!</v>
      </c>
    </row>
    <row r="59" spans="1:32" x14ac:dyDescent="0.3">
      <c r="Q59" t="e">
        <f t="shared" si="0"/>
        <v>#DIV/0!</v>
      </c>
      <c r="R59" t="e">
        <f t="shared" si="1"/>
        <v>#DIV/0!</v>
      </c>
      <c r="S59" t="e">
        <f t="shared" si="2"/>
        <v>#DIV/0!</v>
      </c>
      <c r="T59" t="e">
        <f t="shared" si="3"/>
        <v>#DIV/0!</v>
      </c>
      <c r="U59" t="e">
        <f t="shared" si="4"/>
        <v>#DIV/0!</v>
      </c>
      <c r="V59" t="e">
        <f t="shared" si="5"/>
        <v>#DIV/0!</v>
      </c>
    </row>
    <row r="61" spans="1:32" x14ac:dyDescent="0.3">
      <c r="A61" t="s">
        <v>30</v>
      </c>
    </row>
    <row r="62" spans="1:32" x14ac:dyDescent="0.3">
      <c r="A62" t="s">
        <v>23</v>
      </c>
    </row>
    <row r="63" spans="1:32" x14ac:dyDescent="0.3">
      <c r="Q63" t="e">
        <f t="shared" si="0"/>
        <v>#DIV/0!</v>
      </c>
      <c r="R63" t="e">
        <f t="shared" si="1"/>
        <v>#DIV/0!</v>
      </c>
      <c r="S63" t="e">
        <f t="shared" si="2"/>
        <v>#DIV/0!</v>
      </c>
      <c r="T63" t="e">
        <f t="shared" si="3"/>
        <v>#DIV/0!</v>
      </c>
      <c r="U63" t="e">
        <f t="shared" si="4"/>
        <v>#DIV/0!</v>
      </c>
      <c r="V63" t="e">
        <f t="shared" si="5"/>
        <v>#DIV/0!</v>
      </c>
      <c r="AC63" t="e">
        <f>AVERAGE(T63:T69)</f>
        <v>#DIV/0!</v>
      </c>
      <c r="AD63" t="e">
        <f>_xlfn.STDEV.S(T63:T69)</f>
        <v>#DIV/0!</v>
      </c>
      <c r="AE63" t="e">
        <f>AVERAGE(V63:V69)</f>
        <v>#DIV/0!</v>
      </c>
      <c r="AF63" t="e">
        <f>_xlfn.STDEV.S(V63:V69)</f>
        <v>#DIV/0!</v>
      </c>
    </row>
    <row r="64" spans="1:32" x14ac:dyDescent="0.3">
      <c r="Q64" t="e">
        <f t="shared" si="0"/>
        <v>#DIV/0!</v>
      </c>
      <c r="R64" t="e">
        <f t="shared" si="1"/>
        <v>#DIV/0!</v>
      </c>
      <c r="S64" t="e">
        <f t="shared" si="2"/>
        <v>#DIV/0!</v>
      </c>
      <c r="T64" t="e">
        <f t="shared" si="3"/>
        <v>#DIV/0!</v>
      </c>
      <c r="U64" t="e">
        <f t="shared" si="4"/>
        <v>#DIV/0!</v>
      </c>
      <c r="V64" t="e">
        <f t="shared" si="5"/>
        <v>#DIV/0!</v>
      </c>
    </row>
    <row r="65" spans="1:32" x14ac:dyDescent="0.3">
      <c r="Q65" t="e">
        <f t="shared" si="0"/>
        <v>#DIV/0!</v>
      </c>
      <c r="R65" t="e">
        <f t="shared" si="1"/>
        <v>#DIV/0!</v>
      </c>
      <c r="S65" t="e">
        <f t="shared" si="2"/>
        <v>#DIV/0!</v>
      </c>
      <c r="T65" t="e">
        <f t="shared" si="3"/>
        <v>#DIV/0!</v>
      </c>
      <c r="U65" t="e">
        <f t="shared" si="4"/>
        <v>#DIV/0!</v>
      </c>
      <c r="V65" t="e">
        <f t="shared" si="5"/>
        <v>#DIV/0!</v>
      </c>
    </row>
    <row r="66" spans="1:32" x14ac:dyDescent="0.3">
      <c r="Q66" t="e">
        <f t="shared" si="0"/>
        <v>#DIV/0!</v>
      </c>
      <c r="R66" t="e">
        <f t="shared" si="1"/>
        <v>#DIV/0!</v>
      </c>
      <c r="S66" t="e">
        <f t="shared" si="2"/>
        <v>#DIV/0!</v>
      </c>
      <c r="T66" t="e">
        <f t="shared" si="3"/>
        <v>#DIV/0!</v>
      </c>
      <c r="U66" t="e">
        <f t="shared" si="4"/>
        <v>#DIV/0!</v>
      </c>
      <c r="V66" t="e">
        <f t="shared" si="5"/>
        <v>#DIV/0!</v>
      </c>
    </row>
    <row r="67" spans="1:32" x14ac:dyDescent="0.3">
      <c r="Q67" t="e">
        <f t="shared" si="0"/>
        <v>#DIV/0!</v>
      </c>
      <c r="R67" t="e">
        <f t="shared" si="1"/>
        <v>#DIV/0!</v>
      </c>
      <c r="S67" t="e">
        <f t="shared" si="2"/>
        <v>#DIV/0!</v>
      </c>
      <c r="T67" t="e">
        <f t="shared" si="3"/>
        <v>#DIV/0!</v>
      </c>
      <c r="U67" t="e">
        <f t="shared" si="4"/>
        <v>#DIV/0!</v>
      </c>
      <c r="V67" t="e">
        <f t="shared" si="5"/>
        <v>#DIV/0!</v>
      </c>
    </row>
    <row r="68" spans="1:32" x14ac:dyDescent="0.3">
      <c r="Q68" t="e">
        <f t="shared" ref="Q68:Q109" si="12">AVERAGE(C68,D68)</f>
        <v>#DIV/0!</v>
      </c>
      <c r="R68" t="e">
        <f t="shared" ref="R68:R109" si="13">AVERAGE(H68:I68)</f>
        <v>#DIV/0!</v>
      </c>
      <c r="S68" t="e">
        <f t="shared" ref="S68:S109" si="14">AVERAGE(M68,N68)</f>
        <v>#DIV/0!</v>
      </c>
      <c r="T68" t="e">
        <f t="shared" ref="T68:T109" si="15">AVERAGE(Q68:S68)</f>
        <v>#DIV/0!</v>
      </c>
      <c r="U68" t="e">
        <f t="shared" ref="U68:U109" si="16">MIN(Q68:S68)</f>
        <v>#DIV/0!</v>
      </c>
      <c r="V68" t="e">
        <f t="shared" ref="V68:V109" si="17">(1/3)*(T68-U68)</f>
        <v>#DIV/0!</v>
      </c>
    </row>
    <row r="69" spans="1:32" x14ac:dyDescent="0.3">
      <c r="Q69" t="e">
        <f t="shared" si="12"/>
        <v>#DIV/0!</v>
      </c>
      <c r="R69" t="e">
        <f t="shared" si="13"/>
        <v>#DIV/0!</v>
      </c>
      <c r="S69" t="e">
        <f t="shared" si="14"/>
        <v>#DIV/0!</v>
      </c>
      <c r="T69" t="e">
        <f t="shared" si="15"/>
        <v>#DIV/0!</v>
      </c>
      <c r="U69" t="e">
        <f t="shared" si="16"/>
        <v>#DIV/0!</v>
      </c>
      <c r="V69" t="e">
        <f t="shared" si="17"/>
        <v>#DIV/0!</v>
      </c>
    </row>
    <row r="71" spans="1:32" x14ac:dyDescent="0.3">
      <c r="A71" t="s">
        <v>31</v>
      </c>
    </row>
    <row r="72" spans="1:32" x14ac:dyDescent="0.3">
      <c r="A72" t="s">
        <v>23</v>
      </c>
    </row>
    <row r="73" spans="1:32" x14ac:dyDescent="0.3">
      <c r="Q73" t="e">
        <f t="shared" si="12"/>
        <v>#DIV/0!</v>
      </c>
      <c r="R73" t="e">
        <f t="shared" si="13"/>
        <v>#DIV/0!</v>
      </c>
      <c r="S73" t="e">
        <f t="shared" si="14"/>
        <v>#DIV/0!</v>
      </c>
      <c r="T73" t="e">
        <f t="shared" si="15"/>
        <v>#DIV/0!</v>
      </c>
      <c r="U73" t="e">
        <f t="shared" si="16"/>
        <v>#DIV/0!</v>
      </c>
      <c r="V73" t="e">
        <f t="shared" si="17"/>
        <v>#DIV/0!</v>
      </c>
      <c r="AC73" t="e">
        <f>AVERAGE(T73:T75)</f>
        <v>#DIV/0!</v>
      </c>
      <c r="AD73" t="e">
        <f>_xlfn.STDEV.S(T73:T75)</f>
        <v>#DIV/0!</v>
      </c>
      <c r="AE73" t="e">
        <f>AVERAGE(V73:V75)</f>
        <v>#DIV/0!</v>
      </c>
      <c r="AF73" t="e">
        <f>_xlfn.STDEV.S(V73:V75)</f>
        <v>#DIV/0!</v>
      </c>
    </row>
    <row r="74" spans="1:32" x14ac:dyDescent="0.3">
      <c r="Q74" t="e">
        <f t="shared" si="12"/>
        <v>#DIV/0!</v>
      </c>
      <c r="R74" t="e">
        <f t="shared" si="13"/>
        <v>#DIV/0!</v>
      </c>
      <c r="S74" t="e">
        <f t="shared" si="14"/>
        <v>#DIV/0!</v>
      </c>
      <c r="T74" t="e">
        <f t="shared" si="15"/>
        <v>#DIV/0!</v>
      </c>
      <c r="U74" t="e">
        <f t="shared" si="16"/>
        <v>#DIV/0!</v>
      </c>
      <c r="V74" t="e">
        <f t="shared" si="17"/>
        <v>#DIV/0!</v>
      </c>
    </row>
    <row r="75" spans="1:32" x14ac:dyDescent="0.3">
      <c r="Q75" t="e">
        <f t="shared" si="12"/>
        <v>#DIV/0!</v>
      </c>
      <c r="R75" t="e">
        <f t="shared" si="13"/>
        <v>#DIV/0!</v>
      </c>
      <c r="S75" t="e">
        <f t="shared" si="14"/>
        <v>#DIV/0!</v>
      </c>
      <c r="T75" t="e">
        <f t="shared" si="15"/>
        <v>#DIV/0!</v>
      </c>
      <c r="U75" t="e">
        <f t="shared" si="16"/>
        <v>#DIV/0!</v>
      </c>
      <c r="V75" t="e">
        <f t="shared" si="17"/>
        <v>#DIV/0!</v>
      </c>
    </row>
    <row r="77" spans="1:32" x14ac:dyDescent="0.3">
      <c r="A77" t="s">
        <v>32</v>
      </c>
    </row>
    <row r="78" spans="1:32" x14ac:dyDescent="0.3">
      <c r="A78" t="s">
        <v>23</v>
      </c>
    </row>
    <row r="79" spans="1:32" x14ac:dyDescent="0.3">
      <c r="Q79" t="e">
        <f t="shared" si="12"/>
        <v>#DIV/0!</v>
      </c>
      <c r="R79" t="e">
        <f t="shared" si="13"/>
        <v>#DIV/0!</v>
      </c>
      <c r="S79" t="e">
        <f t="shared" si="14"/>
        <v>#DIV/0!</v>
      </c>
      <c r="T79" t="e">
        <f t="shared" si="15"/>
        <v>#DIV/0!</v>
      </c>
      <c r="U79" t="e">
        <f t="shared" si="16"/>
        <v>#DIV/0!</v>
      </c>
      <c r="V79" t="e">
        <f t="shared" si="17"/>
        <v>#DIV/0!</v>
      </c>
      <c r="AC79" t="e">
        <f>AVERAGE(T79:T88)</f>
        <v>#DIV/0!</v>
      </c>
      <c r="AD79" t="e">
        <f>_xlfn.STDEV.S(T79:T88)</f>
        <v>#DIV/0!</v>
      </c>
      <c r="AE79" t="e">
        <f>AVERAGE(V79:V88)</f>
        <v>#DIV/0!</v>
      </c>
      <c r="AF79" t="e">
        <f>_xlfn.STDEV.S(V79:V88)</f>
        <v>#DIV/0!</v>
      </c>
    </row>
    <row r="80" spans="1:32" x14ac:dyDescent="0.3">
      <c r="Q80" t="e">
        <f t="shared" si="12"/>
        <v>#DIV/0!</v>
      </c>
      <c r="R80" t="e">
        <f t="shared" si="13"/>
        <v>#DIV/0!</v>
      </c>
      <c r="S80" t="e">
        <f t="shared" si="14"/>
        <v>#DIV/0!</v>
      </c>
      <c r="T80" t="e">
        <f t="shared" si="15"/>
        <v>#DIV/0!</v>
      </c>
      <c r="U80" t="e">
        <f t="shared" si="16"/>
        <v>#DIV/0!</v>
      </c>
      <c r="V80" t="e">
        <f t="shared" si="17"/>
        <v>#DIV/0!</v>
      </c>
    </row>
    <row r="81" spans="1:32" x14ac:dyDescent="0.3">
      <c r="Q81" t="e">
        <f t="shared" si="12"/>
        <v>#DIV/0!</v>
      </c>
      <c r="R81" t="e">
        <f t="shared" si="13"/>
        <v>#DIV/0!</v>
      </c>
      <c r="S81" t="e">
        <f t="shared" si="14"/>
        <v>#DIV/0!</v>
      </c>
      <c r="T81" t="e">
        <f t="shared" si="15"/>
        <v>#DIV/0!</v>
      </c>
      <c r="U81" t="e">
        <f t="shared" si="16"/>
        <v>#DIV/0!</v>
      </c>
      <c r="V81" t="e">
        <f t="shared" si="17"/>
        <v>#DIV/0!</v>
      </c>
    </row>
    <row r="82" spans="1:32" x14ac:dyDescent="0.3">
      <c r="Q82" t="e">
        <f t="shared" si="12"/>
        <v>#DIV/0!</v>
      </c>
      <c r="R82" t="e">
        <f t="shared" si="13"/>
        <v>#DIV/0!</v>
      </c>
      <c r="S82" t="e">
        <f t="shared" si="14"/>
        <v>#DIV/0!</v>
      </c>
      <c r="T82" t="e">
        <f t="shared" si="15"/>
        <v>#DIV/0!</v>
      </c>
      <c r="U82" t="e">
        <f t="shared" si="16"/>
        <v>#DIV/0!</v>
      </c>
      <c r="V82" t="e">
        <f t="shared" si="17"/>
        <v>#DIV/0!</v>
      </c>
    </row>
    <row r="83" spans="1:32" x14ac:dyDescent="0.3">
      <c r="Q83" t="e">
        <f t="shared" si="12"/>
        <v>#DIV/0!</v>
      </c>
      <c r="R83" t="e">
        <f t="shared" si="13"/>
        <v>#DIV/0!</v>
      </c>
      <c r="S83" t="e">
        <f t="shared" si="14"/>
        <v>#DIV/0!</v>
      </c>
      <c r="T83" t="e">
        <f t="shared" si="15"/>
        <v>#DIV/0!</v>
      </c>
      <c r="U83" t="e">
        <f t="shared" si="16"/>
        <v>#DIV/0!</v>
      </c>
      <c r="V83" t="e">
        <f t="shared" si="17"/>
        <v>#DIV/0!</v>
      </c>
    </row>
    <row r="84" spans="1:32" x14ac:dyDescent="0.3">
      <c r="Q84" t="e">
        <f t="shared" si="12"/>
        <v>#DIV/0!</v>
      </c>
      <c r="R84" t="e">
        <f t="shared" si="13"/>
        <v>#DIV/0!</v>
      </c>
      <c r="S84" t="e">
        <f t="shared" si="14"/>
        <v>#DIV/0!</v>
      </c>
      <c r="T84" t="e">
        <f t="shared" si="15"/>
        <v>#DIV/0!</v>
      </c>
      <c r="U84" t="e">
        <f t="shared" si="16"/>
        <v>#DIV/0!</v>
      </c>
      <c r="V84" t="e">
        <f t="shared" si="17"/>
        <v>#DIV/0!</v>
      </c>
    </row>
    <row r="85" spans="1:32" x14ac:dyDescent="0.3">
      <c r="Q85" t="e">
        <f t="shared" si="12"/>
        <v>#DIV/0!</v>
      </c>
      <c r="R85" t="e">
        <f t="shared" si="13"/>
        <v>#DIV/0!</v>
      </c>
      <c r="S85" t="e">
        <f t="shared" si="14"/>
        <v>#DIV/0!</v>
      </c>
      <c r="T85" t="e">
        <f t="shared" si="15"/>
        <v>#DIV/0!</v>
      </c>
      <c r="U85" t="e">
        <f t="shared" si="16"/>
        <v>#DIV/0!</v>
      </c>
      <c r="V85" t="e">
        <f t="shared" si="17"/>
        <v>#DIV/0!</v>
      </c>
    </row>
    <row r="86" spans="1:32" x14ac:dyDescent="0.3">
      <c r="Q86" t="e">
        <f t="shared" si="12"/>
        <v>#DIV/0!</v>
      </c>
      <c r="R86" t="e">
        <f t="shared" si="13"/>
        <v>#DIV/0!</v>
      </c>
      <c r="S86" t="e">
        <f t="shared" si="14"/>
        <v>#DIV/0!</v>
      </c>
      <c r="T86" t="e">
        <f t="shared" si="15"/>
        <v>#DIV/0!</v>
      </c>
      <c r="U86" t="e">
        <f t="shared" si="16"/>
        <v>#DIV/0!</v>
      </c>
      <c r="V86" t="e">
        <f t="shared" si="17"/>
        <v>#DIV/0!</v>
      </c>
    </row>
    <row r="87" spans="1:32" x14ac:dyDescent="0.3">
      <c r="Q87" t="e">
        <f t="shared" si="12"/>
        <v>#DIV/0!</v>
      </c>
      <c r="R87" t="e">
        <f t="shared" si="13"/>
        <v>#DIV/0!</v>
      </c>
      <c r="S87" t="e">
        <f t="shared" si="14"/>
        <v>#DIV/0!</v>
      </c>
      <c r="T87" t="e">
        <f t="shared" si="15"/>
        <v>#DIV/0!</v>
      </c>
      <c r="U87" t="e">
        <f t="shared" si="16"/>
        <v>#DIV/0!</v>
      </c>
      <c r="V87" t="e">
        <f t="shared" si="17"/>
        <v>#DIV/0!</v>
      </c>
    </row>
    <row r="88" spans="1:32" x14ac:dyDescent="0.3">
      <c r="Q88" t="e">
        <f t="shared" si="12"/>
        <v>#DIV/0!</v>
      </c>
      <c r="R88" t="e">
        <f t="shared" si="13"/>
        <v>#DIV/0!</v>
      </c>
      <c r="S88" t="e">
        <f t="shared" si="14"/>
        <v>#DIV/0!</v>
      </c>
      <c r="T88" t="e">
        <f t="shared" si="15"/>
        <v>#DIV/0!</v>
      </c>
      <c r="U88" t="e">
        <f t="shared" si="16"/>
        <v>#DIV/0!</v>
      </c>
      <c r="V88" t="e">
        <f t="shared" si="17"/>
        <v>#DIV/0!</v>
      </c>
    </row>
    <row r="90" spans="1:32" x14ac:dyDescent="0.3">
      <c r="A90" t="s">
        <v>33</v>
      </c>
    </row>
    <row r="91" spans="1:32" x14ac:dyDescent="0.3">
      <c r="A91" t="s">
        <v>23</v>
      </c>
    </row>
    <row r="92" spans="1:32" x14ac:dyDescent="0.3">
      <c r="Q92" t="e">
        <f t="shared" si="12"/>
        <v>#DIV/0!</v>
      </c>
      <c r="R92" t="e">
        <f t="shared" si="13"/>
        <v>#DIV/0!</v>
      </c>
      <c r="S92" t="e">
        <f t="shared" si="14"/>
        <v>#DIV/0!</v>
      </c>
      <c r="T92" t="e">
        <f t="shared" si="15"/>
        <v>#DIV/0!</v>
      </c>
      <c r="U92" t="e">
        <f t="shared" si="16"/>
        <v>#DIV/0!</v>
      </c>
      <c r="V92" t="e">
        <f t="shared" si="17"/>
        <v>#DIV/0!</v>
      </c>
      <c r="AC92" t="e">
        <f>AVERAGE(T92:T97)</f>
        <v>#DIV/0!</v>
      </c>
      <c r="AD92" t="e">
        <f>_xlfn.STDEV.S(T92:T97)</f>
        <v>#DIV/0!</v>
      </c>
      <c r="AE92" t="e">
        <f>AVERAGE(V92:V97)</f>
        <v>#DIV/0!</v>
      </c>
      <c r="AF92" t="e">
        <f>_xlfn.STDEV.S(V92:V97)</f>
        <v>#DIV/0!</v>
      </c>
    </row>
    <row r="93" spans="1:32" x14ac:dyDescent="0.3">
      <c r="Q93" t="e">
        <f t="shared" si="12"/>
        <v>#DIV/0!</v>
      </c>
      <c r="R93" t="e">
        <f t="shared" si="13"/>
        <v>#DIV/0!</v>
      </c>
      <c r="S93" t="e">
        <f t="shared" si="14"/>
        <v>#DIV/0!</v>
      </c>
      <c r="T93" t="e">
        <f t="shared" si="15"/>
        <v>#DIV/0!</v>
      </c>
      <c r="U93" t="e">
        <f t="shared" si="16"/>
        <v>#DIV/0!</v>
      </c>
      <c r="V93" t="e">
        <f t="shared" si="17"/>
        <v>#DIV/0!</v>
      </c>
    </row>
    <row r="94" spans="1:32" x14ac:dyDescent="0.3">
      <c r="Q94" t="e">
        <f t="shared" si="12"/>
        <v>#DIV/0!</v>
      </c>
      <c r="R94" t="e">
        <f t="shared" si="13"/>
        <v>#DIV/0!</v>
      </c>
      <c r="S94" t="e">
        <f t="shared" si="14"/>
        <v>#DIV/0!</v>
      </c>
      <c r="T94" t="e">
        <f t="shared" si="15"/>
        <v>#DIV/0!</v>
      </c>
      <c r="U94" t="e">
        <f t="shared" si="16"/>
        <v>#DIV/0!</v>
      </c>
      <c r="V94" t="e">
        <f t="shared" si="17"/>
        <v>#DIV/0!</v>
      </c>
    </row>
    <row r="95" spans="1:32" x14ac:dyDescent="0.3">
      <c r="Q95" t="e">
        <f t="shared" si="12"/>
        <v>#DIV/0!</v>
      </c>
      <c r="R95" t="e">
        <f t="shared" si="13"/>
        <v>#DIV/0!</v>
      </c>
      <c r="S95" t="e">
        <f t="shared" si="14"/>
        <v>#DIV/0!</v>
      </c>
      <c r="T95" t="e">
        <f t="shared" si="15"/>
        <v>#DIV/0!</v>
      </c>
      <c r="U95" t="e">
        <f t="shared" si="16"/>
        <v>#DIV/0!</v>
      </c>
      <c r="V95" t="e">
        <f t="shared" si="17"/>
        <v>#DIV/0!</v>
      </c>
    </row>
    <row r="96" spans="1:32" x14ac:dyDescent="0.3">
      <c r="Q96" t="e">
        <f t="shared" si="12"/>
        <v>#DIV/0!</v>
      </c>
      <c r="R96" t="e">
        <f t="shared" si="13"/>
        <v>#DIV/0!</v>
      </c>
      <c r="S96" t="e">
        <f t="shared" si="14"/>
        <v>#DIV/0!</v>
      </c>
      <c r="T96" t="e">
        <f t="shared" si="15"/>
        <v>#DIV/0!</v>
      </c>
      <c r="U96" t="e">
        <f t="shared" si="16"/>
        <v>#DIV/0!</v>
      </c>
      <c r="V96" t="e">
        <f t="shared" si="17"/>
        <v>#DIV/0!</v>
      </c>
    </row>
    <row r="97" spans="1:32" x14ac:dyDescent="0.3">
      <c r="Q97" t="e">
        <f t="shared" si="12"/>
        <v>#DIV/0!</v>
      </c>
      <c r="R97" t="e">
        <f t="shared" si="13"/>
        <v>#DIV/0!</v>
      </c>
      <c r="S97" t="e">
        <f t="shared" si="14"/>
        <v>#DIV/0!</v>
      </c>
      <c r="T97" t="e">
        <f t="shared" si="15"/>
        <v>#DIV/0!</v>
      </c>
      <c r="U97" t="e">
        <f t="shared" si="16"/>
        <v>#DIV/0!</v>
      </c>
      <c r="V97" t="e">
        <f t="shared" si="17"/>
        <v>#DIV/0!</v>
      </c>
    </row>
    <row r="99" spans="1:32" x14ac:dyDescent="0.3">
      <c r="A99" t="s">
        <v>34</v>
      </c>
    </row>
    <row r="100" spans="1:32" x14ac:dyDescent="0.3">
      <c r="A100" t="s">
        <v>23</v>
      </c>
    </row>
    <row r="101" spans="1:32" x14ac:dyDescent="0.3">
      <c r="Q101" t="e">
        <f t="shared" si="12"/>
        <v>#DIV/0!</v>
      </c>
      <c r="R101" t="e">
        <f t="shared" si="13"/>
        <v>#DIV/0!</v>
      </c>
      <c r="S101" t="e">
        <f t="shared" si="14"/>
        <v>#DIV/0!</v>
      </c>
      <c r="T101" t="e">
        <f t="shared" si="15"/>
        <v>#DIV/0!</v>
      </c>
      <c r="U101" t="e">
        <f t="shared" si="16"/>
        <v>#DIV/0!</v>
      </c>
      <c r="V101" t="e">
        <f t="shared" si="17"/>
        <v>#DIV/0!</v>
      </c>
      <c r="AC101" t="e">
        <f>AVERAGE(T101:T109)</f>
        <v>#DIV/0!</v>
      </c>
      <c r="AD101" t="e">
        <f>_xlfn.STDEV.S(T101:T109)</f>
        <v>#DIV/0!</v>
      </c>
      <c r="AE101" t="e">
        <f>AVERAGE(V101:V109)</f>
        <v>#DIV/0!</v>
      </c>
      <c r="AF101" t="e">
        <f>_xlfn.STDEV.S(V101:V109)</f>
        <v>#DIV/0!</v>
      </c>
    </row>
    <row r="102" spans="1:32" x14ac:dyDescent="0.3">
      <c r="Q102" t="e">
        <f t="shared" si="12"/>
        <v>#DIV/0!</v>
      </c>
      <c r="R102" t="e">
        <f t="shared" si="13"/>
        <v>#DIV/0!</v>
      </c>
      <c r="S102" t="e">
        <f t="shared" si="14"/>
        <v>#DIV/0!</v>
      </c>
      <c r="T102" t="e">
        <f t="shared" si="15"/>
        <v>#DIV/0!</v>
      </c>
      <c r="U102" t="e">
        <f t="shared" si="16"/>
        <v>#DIV/0!</v>
      </c>
      <c r="V102" t="e">
        <f t="shared" si="17"/>
        <v>#DIV/0!</v>
      </c>
    </row>
    <row r="103" spans="1:32" x14ac:dyDescent="0.3">
      <c r="Q103" t="e">
        <f t="shared" si="12"/>
        <v>#DIV/0!</v>
      </c>
      <c r="R103" t="e">
        <f t="shared" si="13"/>
        <v>#DIV/0!</v>
      </c>
      <c r="S103" t="e">
        <f t="shared" si="14"/>
        <v>#DIV/0!</v>
      </c>
      <c r="T103" t="e">
        <f t="shared" si="15"/>
        <v>#DIV/0!</v>
      </c>
      <c r="U103" t="e">
        <f t="shared" si="16"/>
        <v>#DIV/0!</v>
      </c>
      <c r="V103" t="e">
        <f t="shared" si="17"/>
        <v>#DIV/0!</v>
      </c>
    </row>
    <row r="104" spans="1:32" x14ac:dyDescent="0.3">
      <c r="Q104" t="e">
        <f t="shared" si="12"/>
        <v>#DIV/0!</v>
      </c>
      <c r="R104" t="e">
        <f t="shared" si="13"/>
        <v>#DIV/0!</v>
      </c>
      <c r="S104" t="e">
        <f t="shared" si="14"/>
        <v>#DIV/0!</v>
      </c>
      <c r="T104" t="e">
        <f t="shared" si="15"/>
        <v>#DIV/0!</v>
      </c>
      <c r="U104" t="e">
        <f t="shared" si="16"/>
        <v>#DIV/0!</v>
      </c>
      <c r="V104" t="e">
        <f t="shared" si="17"/>
        <v>#DIV/0!</v>
      </c>
    </row>
    <row r="105" spans="1:32" x14ac:dyDescent="0.3">
      <c r="Q105" t="e">
        <f t="shared" si="12"/>
        <v>#DIV/0!</v>
      </c>
      <c r="R105" t="e">
        <f t="shared" si="13"/>
        <v>#DIV/0!</v>
      </c>
      <c r="S105" t="e">
        <f t="shared" si="14"/>
        <v>#DIV/0!</v>
      </c>
      <c r="T105" t="e">
        <f t="shared" si="15"/>
        <v>#DIV/0!</v>
      </c>
      <c r="U105" t="e">
        <f t="shared" si="16"/>
        <v>#DIV/0!</v>
      </c>
      <c r="V105" t="e">
        <f t="shared" si="17"/>
        <v>#DIV/0!</v>
      </c>
    </row>
    <row r="106" spans="1:32" x14ac:dyDescent="0.3">
      <c r="Q106" t="e">
        <f t="shared" si="12"/>
        <v>#DIV/0!</v>
      </c>
      <c r="R106" t="e">
        <f t="shared" si="13"/>
        <v>#DIV/0!</v>
      </c>
      <c r="S106" t="e">
        <f t="shared" si="14"/>
        <v>#DIV/0!</v>
      </c>
      <c r="T106" t="e">
        <f t="shared" si="15"/>
        <v>#DIV/0!</v>
      </c>
      <c r="U106" t="e">
        <f t="shared" si="16"/>
        <v>#DIV/0!</v>
      </c>
      <c r="V106" t="e">
        <f t="shared" si="17"/>
        <v>#DIV/0!</v>
      </c>
    </row>
    <row r="107" spans="1:32" x14ac:dyDescent="0.3">
      <c r="Q107" t="e">
        <f t="shared" si="12"/>
        <v>#DIV/0!</v>
      </c>
      <c r="R107" t="e">
        <f t="shared" si="13"/>
        <v>#DIV/0!</v>
      </c>
      <c r="S107" t="e">
        <f t="shared" si="14"/>
        <v>#DIV/0!</v>
      </c>
      <c r="T107" t="e">
        <f t="shared" si="15"/>
        <v>#DIV/0!</v>
      </c>
      <c r="U107" t="e">
        <f t="shared" si="16"/>
        <v>#DIV/0!</v>
      </c>
      <c r="V107" t="e">
        <f t="shared" si="17"/>
        <v>#DIV/0!</v>
      </c>
    </row>
    <row r="108" spans="1:32" x14ac:dyDescent="0.3">
      <c r="Q108" t="e">
        <f t="shared" si="12"/>
        <v>#DIV/0!</v>
      </c>
      <c r="R108" t="e">
        <f t="shared" si="13"/>
        <v>#DIV/0!</v>
      </c>
      <c r="S108" t="e">
        <f t="shared" si="14"/>
        <v>#DIV/0!</v>
      </c>
      <c r="T108" t="e">
        <f t="shared" si="15"/>
        <v>#DIV/0!</v>
      </c>
      <c r="U108" t="e">
        <f t="shared" si="16"/>
        <v>#DIV/0!</v>
      </c>
      <c r="V108" t="e">
        <f t="shared" si="17"/>
        <v>#DIV/0!</v>
      </c>
    </row>
    <row r="109" spans="1:32" x14ac:dyDescent="0.3">
      <c r="Q109" t="e">
        <f t="shared" si="12"/>
        <v>#DIV/0!</v>
      </c>
      <c r="R109" t="e">
        <f t="shared" si="13"/>
        <v>#DIV/0!</v>
      </c>
      <c r="S109" t="e">
        <f t="shared" si="14"/>
        <v>#DIV/0!</v>
      </c>
      <c r="T109" t="e">
        <f t="shared" si="15"/>
        <v>#DIV/0!</v>
      </c>
      <c r="U109" t="e">
        <f t="shared" si="16"/>
        <v>#DIV/0!</v>
      </c>
      <c r="V109" t="e">
        <f t="shared" si="17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5"/>
  <sheetViews>
    <sheetView topLeftCell="O1" workbookViewId="0">
      <selection activeCell="W3" sqref="W3:AF3"/>
    </sheetView>
  </sheetViews>
  <sheetFormatPr defaultRowHeight="14.4" x14ac:dyDescent="0.3"/>
  <cols>
    <col min="23" max="23" width="13.109375" customWidth="1"/>
  </cols>
  <sheetData>
    <row r="1" spans="1:32" x14ac:dyDescent="0.3">
      <c r="A1" t="s">
        <v>0</v>
      </c>
      <c r="Q1" t="s">
        <v>11</v>
      </c>
    </row>
    <row r="2" spans="1:32" x14ac:dyDescent="0.3">
      <c r="A2" t="s">
        <v>23</v>
      </c>
      <c r="Q2" t="s">
        <v>35</v>
      </c>
      <c r="R2" t="s">
        <v>36</v>
      </c>
      <c r="S2" t="s">
        <v>37</v>
      </c>
      <c r="T2" t="s">
        <v>16</v>
      </c>
      <c r="U2" t="s">
        <v>18</v>
      </c>
      <c r="V2" t="s">
        <v>15</v>
      </c>
      <c r="W2" t="s">
        <v>57</v>
      </c>
      <c r="X2" t="s">
        <v>45</v>
      </c>
      <c r="Y2" t="s">
        <v>7</v>
      </c>
      <c r="Z2" t="s">
        <v>46</v>
      </c>
      <c r="AA2" t="s">
        <v>9</v>
      </c>
      <c r="AB2" t="s">
        <v>47</v>
      </c>
      <c r="AC2" t="s">
        <v>1</v>
      </c>
      <c r="AD2" t="s">
        <v>17</v>
      </c>
      <c r="AE2" t="s">
        <v>19</v>
      </c>
      <c r="AF2" t="s">
        <v>20</v>
      </c>
    </row>
    <row r="3" spans="1:32" x14ac:dyDescent="0.3">
      <c r="B3">
        <v>69</v>
      </c>
      <c r="C3">
        <v>31</v>
      </c>
      <c r="D3">
        <v>15</v>
      </c>
      <c r="E3">
        <v>85</v>
      </c>
      <c r="G3">
        <v>88</v>
      </c>
      <c r="H3">
        <v>12</v>
      </c>
      <c r="I3">
        <v>20</v>
      </c>
      <c r="J3">
        <v>80</v>
      </c>
      <c r="L3">
        <v>70</v>
      </c>
      <c r="M3">
        <v>30</v>
      </c>
      <c r="N3">
        <v>38</v>
      </c>
      <c r="O3">
        <v>62</v>
      </c>
      <c r="Q3">
        <f>AVERAGE(C3:D3)</f>
        <v>23</v>
      </c>
      <c r="R3">
        <f>AVERAGE(H3:I3)</f>
        <v>16</v>
      </c>
      <c r="S3">
        <f>AVERAGE(M3:N3)</f>
        <v>34</v>
      </c>
      <c r="T3">
        <f>AVERAGE(Q3:S3)</f>
        <v>24.333333333333332</v>
      </c>
      <c r="U3">
        <f>MIN(Q3:S3)</f>
        <v>16</v>
      </c>
      <c r="V3">
        <f>T3-U3</f>
        <v>8.3333333333333321</v>
      </c>
      <c r="W3">
        <f>AVERAGE(Q3:Q5)</f>
        <v>23.666666666666668</v>
      </c>
      <c r="X3">
        <f>_xlfn.STDEV.S(Q3:Q5)</f>
        <v>2.0816659994661331</v>
      </c>
      <c r="Y3">
        <f>AVERAGE(R3:R5)</f>
        <v>14.833333333333334</v>
      </c>
      <c r="Z3">
        <f>_xlfn.STDEV.S(R3:R5)</f>
        <v>2.46644143115812</v>
      </c>
      <c r="AA3">
        <f>AVERAGE(S3:S5)</f>
        <v>30.666666666666668</v>
      </c>
      <c r="AB3">
        <f>_xlfn.STDEV.S(S3:S5)</f>
        <v>5.7735026918962511</v>
      </c>
      <c r="AC3">
        <f>AVERAGE(T3:T5)</f>
        <v>23.055555555555554</v>
      </c>
      <c r="AD3">
        <f>_xlfn.STDEV.S(T3:T5)</f>
        <v>1.9317042945237457</v>
      </c>
      <c r="AE3">
        <f>AVERAGE(V3:V5)</f>
        <v>8.2222222222222214</v>
      </c>
      <c r="AF3">
        <f>_xlfn.STDEV.S(V3:V5)</f>
        <v>3.8345408726083114</v>
      </c>
    </row>
    <row r="4" spans="1:32" x14ac:dyDescent="0.3">
      <c r="B4">
        <v>71</v>
      </c>
      <c r="C4">
        <v>29</v>
      </c>
      <c r="D4">
        <v>15</v>
      </c>
      <c r="E4">
        <v>85</v>
      </c>
      <c r="G4">
        <v>83</v>
      </c>
      <c r="H4">
        <v>17</v>
      </c>
      <c r="I4">
        <v>16</v>
      </c>
      <c r="J4">
        <v>84</v>
      </c>
      <c r="L4">
        <v>71</v>
      </c>
      <c r="M4">
        <v>29</v>
      </c>
      <c r="N4">
        <v>19</v>
      </c>
      <c r="O4">
        <v>81</v>
      </c>
      <c r="Q4">
        <f t="shared" ref="Q4:Q5" si="0">AVERAGE(C4:D4)</f>
        <v>22</v>
      </c>
      <c r="R4">
        <f t="shared" ref="R4:R5" si="1">AVERAGE(H4:I4)</f>
        <v>16.5</v>
      </c>
      <c r="S4">
        <f t="shared" ref="S4:S5" si="2">AVERAGE(M4:N4)</f>
        <v>24</v>
      </c>
      <c r="T4">
        <f t="shared" ref="T4:T5" si="3">AVERAGE(Q4:S4)</f>
        <v>20.833333333333332</v>
      </c>
      <c r="U4">
        <f t="shared" ref="U4:U5" si="4">MIN(Q4:S4)</f>
        <v>16.5</v>
      </c>
      <c r="V4">
        <f t="shared" ref="V4:V5" si="5">T4-U4</f>
        <v>4.3333333333333321</v>
      </c>
    </row>
    <row r="5" spans="1:32" x14ac:dyDescent="0.3">
      <c r="B5">
        <v>61</v>
      </c>
      <c r="C5">
        <v>39</v>
      </c>
      <c r="D5">
        <v>13</v>
      </c>
      <c r="E5">
        <v>87</v>
      </c>
      <c r="G5">
        <v>87</v>
      </c>
      <c r="H5">
        <v>13</v>
      </c>
      <c r="I5">
        <v>11</v>
      </c>
      <c r="J5">
        <v>89</v>
      </c>
      <c r="L5">
        <v>77</v>
      </c>
      <c r="M5">
        <v>23</v>
      </c>
      <c r="N5">
        <v>45</v>
      </c>
      <c r="O5">
        <v>55</v>
      </c>
      <c r="Q5">
        <f t="shared" si="0"/>
        <v>26</v>
      </c>
      <c r="R5">
        <f t="shared" si="1"/>
        <v>12</v>
      </c>
      <c r="S5">
        <f t="shared" si="2"/>
        <v>34</v>
      </c>
      <c r="T5">
        <f t="shared" si="3"/>
        <v>24</v>
      </c>
      <c r="U5">
        <f t="shared" si="4"/>
        <v>12</v>
      </c>
      <c r="V5">
        <f t="shared" si="5"/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Foglio1</vt:lpstr>
      <vt:lpstr>DIFF_ONLYMIN</vt:lpstr>
      <vt:lpstr>DIFF</vt:lpstr>
      <vt:lpstr>STD_BAL_ADV_NOCLSDIV</vt:lpstr>
      <vt:lpstr>STD_BAL_ADV_CLSDIV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2026-03-18T18:39:09Z</dcterms:modified>
</cp:coreProperties>
</file>