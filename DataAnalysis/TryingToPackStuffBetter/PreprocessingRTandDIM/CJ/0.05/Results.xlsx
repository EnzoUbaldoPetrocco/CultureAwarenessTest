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CJ\0.05\"/>
    </mc:Choice>
  </mc:AlternateContent>
  <xr:revisionPtr revIDLastSave="0" documentId="13_ncr:1_{1FA4A2FB-995C-4CE4-A776-09EACAF65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DIFF_ONLYMIN" sheetId="20" r:id="rId2"/>
    <sheet name="DIFF" sheetId="8" r:id="rId3"/>
    <sheet name="STD_BAL_STDAUG" sheetId="5" r:id="rId4"/>
    <sheet name="STD_BAL_NOAU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0" l="1"/>
  <c r="AE2" i="20"/>
  <c r="AB2" i="20"/>
  <c r="AA2" i="20"/>
  <c r="Z2" i="20"/>
  <c r="Y2" i="20"/>
  <c r="X2" i="20"/>
  <c r="W2" i="20"/>
  <c r="V2" i="20"/>
  <c r="U2" i="20"/>
  <c r="Q6" i="20"/>
  <c r="R6" i="20"/>
  <c r="S6" i="20"/>
  <c r="T6" i="20"/>
  <c r="AC6" i="20"/>
  <c r="AD6" i="20"/>
  <c r="Q7" i="20"/>
  <c r="R7" i="20"/>
  <c r="S7" i="20"/>
  <c r="T7" i="20"/>
  <c r="AC7" i="20"/>
  <c r="AD7" i="20"/>
  <c r="AF4" i="8"/>
  <c r="AE4" i="8"/>
  <c r="AB4" i="8"/>
  <c r="AA4" i="8"/>
  <c r="Z4" i="8"/>
  <c r="Y4" i="8"/>
  <c r="X4" i="8"/>
  <c r="W4" i="8"/>
  <c r="V4" i="8"/>
  <c r="U4" i="8"/>
  <c r="Q8" i="8"/>
  <c r="T8" i="8" s="1"/>
  <c r="R8" i="8"/>
  <c r="S8" i="8"/>
  <c r="Q9" i="8"/>
  <c r="R9" i="8"/>
  <c r="S9" i="8"/>
  <c r="T9" i="8"/>
  <c r="AC9" i="8"/>
  <c r="AD9" i="8"/>
  <c r="Q10" i="8"/>
  <c r="R10" i="8"/>
  <c r="S10" i="8"/>
  <c r="T10" i="8"/>
  <c r="AD10" i="8" s="1"/>
  <c r="AC10" i="8"/>
  <c r="Q11" i="8"/>
  <c r="AC11" i="8" s="1"/>
  <c r="R11" i="8"/>
  <c r="S11" i="8"/>
  <c r="T11" i="8"/>
  <c r="Q12" i="8"/>
  <c r="R12" i="8"/>
  <c r="S12" i="8"/>
  <c r="T12" i="8"/>
  <c r="AC12" i="8"/>
  <c r="AD12" i="8"/>
  <c r="Q13" i="8"/>
  <c r="T13" i="8" s="1"/>
  <c r="R13" i="8"/>
  <c r="S13" i="8"/>
  <c r="Q14" i="8"/>
  <c r="T14" i="8" s="1"/>
  <c r="R14" i="8"/>
  <c r="S14" i="8"/>
  <c r="AF3" i="5"/>
  <c r="AE3" i="5"/>
  <c r="AB3" i="5"/>
  <c r="AA3" i="5"/>
  <c r="Z3" i="5"/>
  <c r="Y3" i="5"/>
  <c r="X3" i="5"/>
  <c r="W3" i="5"/>
  <c r="V3" i="5"/>
  <c r="U3" i="5"/>
  <c r="Q4" i="5"/>
  <c r="T4" i="5" s="1"/>
  <c r="R4" i="5"/>
  <c r="S4" i="5"/>
  <c r="Q5" i="5"/>
  <c r="R5" i="5"/>
  <c r="S5" i="5"/>
  <c r="T5" i="5"/>
  <c r="AC5" i="5"/>
  <c r="AD5" i="5"/>
  <c r="Q6" i="5"/>
  <c r="R6" i="5"/>
  <c r="S6" i="5"/>
  <c r="T6" i="5"/>
  <c r="AC6" i="5"/>
  <c r="AD6" i="5"/>
  <c r="Q7" i="5"/>
  <c r="T7" i="5" s="1"/>
  <c r="R7" i="5"/>
  <c r="S7" i="5"/>
  <c r="Q8" i="5"/>
  <c r="R8" i="5"/>
  <c r="S8" i="5"/>
  <c r="T8" i="5"/>
  <c r="AC8" i="5"/>
  <c r="AD8" i="5"/>
  <c r="Q9" i="5"/>
  <c r="AC9" i="5" s="1"/>
  <c r="R9" i="5"/>
  <c r="S9" i="5"/>
  <c r="T9" i="5"/>
  <c r="AD9" i="5" s="1"/>
  <c r="AD3" i="5"/>
  <c r="AC3" i="5"/>
  <c r="T3" i="5"/>
  <c r="S3" i="5"/>
  <c r="R3" i="5"/>
  <c r="Q3" i="5"/>
  <c r="AE3" i="2"/>
  <c r="AD3" i="2"/>
  <c r="AA3" i="2"/>
  <c r="Z3" i="2"/>
  <c r="Y3" i="2"/>
  <c r="X3" i="2"/>
  <c r="W3" i="2"/>
  <c r="V3" i="2"/>
  <c r="U3" i="2"/>
  <c r="T3" i="2"/>
  <c r="P6" i="2"/>
  <c r="Q6" i="2"/>
  <c r="R6" i="2"/>
  <c r="S6" i="2"/>
  <c r="AB6" i="2"/>
  <c r="AC6" i="2"/>
  <c r="P7" i="2"/>
  <c r="S7" i="2" s="1"/>
  <c r="Q7" i="2"/>
  <c r="R7" i="2"/>
  <c r="P8" i="2"/>
  <c r="AB8" i="2" s="1"/>
  <c r="Q8" i="2"/>
  <c r="R8" i="2"/>
  <c r="S8" i="2"/>
  <c r="AC8" i="2" s="1"/>
  <c r="P9" i="2"/>
  <c r="Q9" i="2"/>
  <c r="R9" i="2"/>
  <c r="S9" i="2"/>
  <c r="AB9" i="2"/>
  <c r="AC9" i="2"/>
  <c r="P10" i="2"/>
  <c r="Q10" i="2"/>
  <c r="R10" i="2"/>
  <c r="S10" i="2"/>
  <c r="AB10" i="2"/>
  <c r="AC10" i="2"/>
  <c r="P11" i="2"/>
  <c r="S11" i="2" s="1"/>
  <c r="Q11" i="2"/>
  <c r="R11" i="2"/>
  <c r="AC4" i="20"/>
  <c r="Q3" i="20"/>
  <c r="R3" i="20"/>
  <c r="S3" i="20"/>
  <c r="Q4" i="20"/>
  <c r="R4" i="20"/>
  <c r="S4" i="20"/>
  <c r="Q5" i="20"/>
  <c r="R5" i="20"/>
  <c r="S5" i="20"/>
  <c r="Q2" i="20"/>
  <c r="S2" i="20"/>
  <c r="R2" i="20"/>
  <c r="Q5" i="8"/>
  <c r="R5" i="8"/>
  <c r="S5" i="8"/>
  <c r="Q6" i="8"/>
  <c r="R6" i="8"/>
  <c r="S6" i="8"/>
  <c r="Q7" i="8"/>
  <c r="R7" i="8"/>
  <c r="AC7" i="8" s="1"/>
  <c r="S7" i="8"/>
  <c r="S4" i="8"/>
  <c r="R4" i="8"/>
  <c r="Q4" i="8"/>
  <c r="P4" i="2"/>
  <c r="Q4" i="2"/>
  <c r="S4" i="2" s="1"/>
  <c r="R4" i="2"/>
  <c r="P5" i="2"/>
  <c r="Q5" i="2"/>
  <c r="R5" i="2"/>
  <c r="S5" i="2" s="1"/>
  <c r="R3" i="2"/>
  <c r="Q3" i="2"/>
  <c r="P3" i="2"/>
  <c r="AB3" i="2" s="1"/>
  <c r="T5" i="20" l="1"/>
  <c r="AC3" i="20"/>
  <c r="AC5" i="20"/>
  <c r="AD5" i="20" s="1"/>
  <c r="AC2" i="20"/>
  <c r="T4" i="20"/>
  <c r="AD4" i="20" s="1"/>
  <c r="T3" i="20"/>
  <c r="AD3" i="20" s="1"/>
  <c r="AD14" i="8"/>
  <c r="AD11" i="8"/>
  <c r="AC14" i="8"/>
  <c r="AC8" i="8"/>
  <c r="AD8" i="8" s="1"/>
  <c r="AC13" i="8"/>
  <c r="AD13" i="8" s="1"/>
  <c r="T6" i="8"/>
  <c r="T4" i="8"/>
  <c r="AC4" i="8"/>
  <c r="T7" i="8"/>
  <c r="AD7" i="8" s="1"/>
  <c r="AC5" i="8"/>
  <c r="AD4" i="8"/>
  <c r="T5" i="8"/>
  <c r="AD5" i="8" s="1"/>
  <c r="AD4" i="5"/>
  <c r="AD7" i="5"/>
  <c r="AC7" i="5"/>
  <c r="AC4" i="5"/>
  <c r="AB7" i="2"/>
  <c r="AC7" i="2" s="1"/>
  <c r="AB11" i="2"/>
  <c r="AC11" i="2" s="1"/>
  <c r="AB5" i="2"/>
  <c r="AC5" i="2" s="1"/>
  <c r="AB4" i="2"/>
  <c r="AC4" i="2" s="1"/>
  <c r="S3" i="2"/>
  <c r="T2" i="20"/>
  <c r="AC6" i="8"/>
  <c r="AD6" i="8" s="1"/>
  <c r="AC3" i="2" l="1"/>
  <c r="AD2" i="20"/>
</calcChain>
</file>

<file path=xl/sharedStrings.xml><?xml version="1.0" encoding="utf-8"?>
<sst xmlns="http://schemas.openxmlformats.org/spreadsheetml/2006/main" count="90" uniqueCount="35">
  <si>
    <t>Dati originali</t>
  </si>
  <si>
    <t>ERR</t>
  </si>
  <si>
    <t>STD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</si>
  <si>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</si>
  <si>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</si>
  <si>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</si>
  <si>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</si>
  <si>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</si>
  <si>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</si>
  <si>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</si>
  <si>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</si>
  <si>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</si>
  <si>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</si>
  <si>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</si>
  <si>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</si>
  <si>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</si>
  <si>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</si>
  <si>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</si>
  <si>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</si>
  <si>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</si>
  <si>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</si>
  <si>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g=0.1</t>
  </si>
  <si>
    <t>c0</t>
  </si>
  <si>
    <t>c1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</si>
  <si>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</si>
  <si>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</si>
  <si>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</si>
  <si>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</si>
  <si>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</si>
  <si>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</si>
  <si>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</si>
  <si>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</si>
  <si>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</si>
  <si>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>ONLYMIN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</si>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</sst>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3" sqref="C3:L8"/>
    </sheetView>
  </sheetViews>
  <sheetFormatPr defaultRowHeight="14.4" x14ac:dyDescent="0.3"/>
  <sheetData>
    <row r="1" spans="1:12" x14ac:dyDescent="0.3"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17</v>
      </c>
      <c r="K1" t="s">
        <v>19</v>
      </c>
      <c r="L1" t="s">
        <v>20</v>
      </c>
    </row>
    <row r="3" spans="1:12" x14ac:dyDescent="0.3">
      <c r="A3" t="s">
        <v>3</v>
      </c>
      <c r="C3" s="1">
        <v>28.055555555555557</v>
      </c>
      <c r="D3" s="1">
        <v>2.4930458836085987</v>
      </c>
      <c r="E3" s="1">
        <v>13.666666666666666</v>
      </c>
      <c r="F3" s="1">
        <v>2.3048861143232218</v>
      </c>
      <c r="G3" s="1">
        <v>37.444444444444443</v>
      </c>
      <c r="H3" s="1">
        <v>1.7579185924774154</v>
      </c>
      <c r="I3" s="1">
        <v>26.388888888888893</v>
      </c>
      <c r="J3" s="1">
        <v>1.5701203067847307</v>
      </c>
      <c r="K3" s="1">
        <v>12.722222222222221</v>
      </c>
      <c r="L3" s="1">
        <v>1.8503002759312106</v>
      </c>
    </row>
    <row r="4" spans="1:12" x14ac:dyDescent="0.3">
      <c r="A4" t="s">
        <v>2</v>
      </c>
      <c r="C4" s="1">
        <v>26.714285714285715</v>
      </c>
      <c r="D4" s="1">
        <v>3.7733400639347709</v>
      </c>
      <c r="E4" s="1">
        <v>12.571428571428571</v>
      </c>
      <c r="F4" s="1">
        <v>2.8493942547579527</v>
      </c>
      <c r="G4" s="1">
        <v>35.285714285714285</v>
      </c>
      <c r="H4" s="1">
        <v>3.0118812346154309</v>
      </c>
      <c r="I4" s="1">
        <v>24.857142857142858</v>
      </c>
      <c r="J4" s="1">
        <v>1.7570718788090562</v>
      </c>
      <c r="K4" s="1">
        <v>12.285714285714283</v>
      </c>
      <c r="L4" s="1">
        <v>2.3838078115778791</v>
      </c>
    </row>
    <row r="5" spans="1:12" x14ac:dyDescent="0.3">
      <c r="A5" t="s">
        <v>28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C6" s="1">
        <v>26.636363636363637</v>
      </c>
      <c r="D6" s="1">
        <v>1.5666989036012804</v>
      </c>
      <c r="E6" s="1">
        <v>13.636363636363637</v>
      </c>
      <c r="F6" s="1">
        <v>2.3247678280949802</v>
      </c>
      <c r="G6" s="1">
        <v>37.272727272727273</v>
      </c>
      <c r="H6" s="1">
        <v>2.7510328638861838</v>
      </c>
      <c r="I6" s="1">
        <v>25.848484848484851</v>
      </c>
      <c r="J6" s="1">
        <v>1.0735572888883258</v>
      </c>
      <c r="K6" s="1">
        <v>12.212121212121211</v>
      </c>
      <c r="L6" s="1">
        <v>2.1122538108892623</v>
      </c>
    </row>
    <row r="7" spans="1:12" x14ac:dyDescent="0.3">
      <c r="A7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B8" t="s">
        <v>33</v>
      </c>
      <c r="C8" s="1">
        <v>23.833333333333332</v>
      </c>
      <c r="D8" s="1">
        <v>2.1602468994692869</v>
      </c>
      <c r="E8" s="1">
        <v>13.416666666666666</v>
      </c>
      <c r="F8" s="1">
        <v>1.9083151381956418</v>
      </c>
      <c r="G8" s="1">
        <v>37.083333333333336</v>
      </c>
      <c r="H8" s="1">
        <v>3.0235189211689524</v>
      </c>
      <c r="I8" s="1">
        <v>24.777777777777775</v>
      </c>
      <c r="J8" s="1">
        <v>1.4782371884055636</v>
      </c>
      <c r="K8" s="1">
        <v>11.361111111111112</v>
      </c>
      <c r="L8" s="1">
        <v>1.7333867513136263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1C46-6714-46BD-8134-0C2B2014CB79}">
  <dimension ref="B1:AF7"/>
  <sheetViews>
    <sheetView topLeftCell="L1" workbookViewId="0">
      <selection activeCell="AF2" activeCellId="2" sqref="U2:AB2 AE2 AF2"/>
    </sheetView>
  </sheetViews>
  <sheetFormatPr defaultRowHeight="14.4" x14ac:dyDescent="0.3"/>
  <sheetData>
    <row r="1" spans="2:32" x14ac:dyDescent="0.3">
      <c r="Q1" t="s">
        <v>12</v>
      </c>
      <c r="R1" t="s">
        <v>13</v>
      </c>
      <c r="S1" t="s">
        <v>14</v>
      </c>
      <c r="T1" t="s">
        <v>16</v>
      </c>
      <c r="U1" t="s">
        <v>30</v>
      </c>
      <c r="V1" t="s">
        <v>25</v>
      </c>
      <c r="W1" t="s">
        <v>31</v>
      </c>
      <c r="X1" t="s">
        <v>26</v>
      </c>
      <c r="Y1" t="s">
        <v>32</v>
      </c>
      <c r="Z1" t="s">
        <v>27</v>
      </c>
      <c r="AA1" t="s">
        <v>1</v>
      </c>
      <c r="AB1" t="s">
        <v>17</v>
      </c>
      <c r="AC1" t="s">
        <v>18</v>
      </c>
      <c r="AD1" t="s">
        <v>15</v>
      </c>
      <c r="AE1" t="s">
        <v>19</v>
      </c>
      <c r="AF1" t="s">
        <v>20</v>
      </c>
    </row>
    <row r="2" spans="2:32" x14ac:dyDescent="0.3">
      <c r="B2">
        <v>81</v>
      </c>
      <c r="C2">
        <v>19</v>
      </c>
      <c r="D2">
        <v>28</v>
      </c>
      <c r="E2">
        <v>72</v>
      </c>
      <c r="G2">
        <v>83</v>
      </c>
      <c r="H2">
        <v>17</v>
      </c>
      <c r="I2">
        <v>10</v>
      </c>
      <c r="J2">
        <v>90</v>
      </c>
      <c r="L2">
        <v>75</v>
      </c>
      <c r="M2">
        <v>25</v>
      </c>
      <c r="N2">
        <v>44</v>
      </c>
      <c r="O2">
        <v>56</v>
      </c>
      <c r="Q2">
        <f>AVERAGE(C2:D2)</f>
        <v>23.5</v>
      </c>
      <c r="R2">
        <f>AVERAGE(H2:I2)</f>
        <v>13.5</v>
      </c>
      <c r="S2">
        <f>AVERAGE(M2:N2)</f>
        <v>34.5</v>
      </c>
      <c r="T2">
        <f>AVERAGE(Q2:S2)</f>
        <v>23.833333333333332</v>
      </c>
      <c r="U2">
        <f>AVERAGE(Q2:Q7)</f>
        <v>23.833333333333332</v>
      </c>
      <c r="V2">
        <f>_xlfn.STDEV.S(Q2:Q7)</f>
        <v>2.1602468994692869</v>
      </c>
      <c r="W2">
        <f>AVERAGE(R2:R7)</f>
        <v>13.416666666666666</v>
      </c>
      <c r="X2">
        <f>_xlfn.STDEV.S(R2:R7)</f>
        <v>1.9083151381956418</v>
      </c>
      <c r="Y2">
        <f>AVERAGE(S2:S7)</f>
        <v>37.083333333333336</v>
      </c>
      <c r="Z2">
        <f>_xlfn.STDEV.S(S2:S7)</f>
        <v>3.0235189211689524</v>
      </c>
      <c r="AA2">
        <f>AVERAGE(T2:T7)</f>
        <v>24.777777777777775</v>
      </c>
      <c r="AB2">
        <f>_xlfn.STDEV.S(T2:T7)</f>
        <v>1.4782371884055636</v>
      </c>
      <c r="AC2">
        <f>MIN(Q2:S2)</f>
        <v>13.5</v>
      </c>
      <c r="AD2">
        <f>T2-AC2</f>
        <v>10.333333333333332</v>
      </c>
      <c r="AE2">
        <f>AVERAGE(AD2:AD7)</f>
        <v>11.361111111111112</v>
      </c>
      <c r="AF2">
        <f>_xlfn.STDEV.S(AD2:AD7)</f>
        <v>1.7333867513136263</v>
      </c>
    </row>
    <row r="3" spans="2:32" x14ac:dyDescent="0.3">
      <c r="B3">
        <v>93</v>
      </c>
      <c r="C3">
        <v>7</v>
      </c>
      <c r="D3">
        <v>34</v>
      </c>
      <c r="E3">
        <v>66</v>
      </c>
      <c r="G3">
        <v>87</v>
      </c>
      <c r="H3">
        <v>13</v>
      </c>
      <c r="I3">
        <v>8</v>
      </c>
      <c r="J3">
        <v>92</v>
      </c>
      <c r="L3">
        <v>80</v>
      </c>
      <c r="M3">
        <v>20</v>
      </c>
      <c r="N3">
        <v>53</v>
      </c>
      <c r="O3">
        <v>47</v>
      </c>
      <c r="Q3">
        <f t="shared" ref="Q3:Q5" si="0">AVERAGE(C3:D3)</f>
        <v>20.5</v>
      </c>
      <c r="R3">
        <f t="shared" ref="R3:R5" si="1">AVERAGE(H3:I3)</f>
        <v>10.5</v>
      </c>
      <c r="S3">
        <f t="shared" ref="S3:S5" si="2">AVERAGE(M3:N3)</f>
        <v>36.5</v>
      </c>
      <c r="T3">
        <f t="shared" ref="T3:T5" si="3">AVERAGE(Q3:S3)</f>
        <v>22.5</v>
      </c>
      <c r="AC3">
        <f t="shared" ref="AC3:AC5" si="4">MIN(Q3:S3)</f>
        <v>10.5</v>
      </c>
      <c r="AD3">
        <f t="shared" ref="AD3:AD5" si="5">T3-AC3</f>
        <v>12</v>
      </c>
    </row>
    <row r="4" spans="2:32" x14ac:dyDescent="0.3">
      <c r="B4">
        <v>81</v>
      </c>
      <c r="C4">
        <v>19</v>
      </c>
      <c r="D4">
        <v>31</v>
      </c>
      <c r="E4">
        <v>69</v>
      </c>
      <c r="G4">
        <v>86</v>
      </c>
      <c r="H4">
        <v>14</v>
      </c>
      <c r="I4">
        <v>13</v>
      </c>
      <c r="J4">
        <v>87</v>
      </c>
      <c r="L4">
        <v>64</v>
      </c>
      <c r="M4">
        <v>36</v>
      </c>
      <c r="N4">
        <v>35</v>
      </c>
      <c r="O4">
        <v>65</v>
      </c>
      <c r="Q4">
        <f t="shared" si="0"/>
        <v>25</v>
      </c>
      <c r="R4">
        <f t="shared" si="1"/>
        <v>13.5</v>
      </c>
      <c r="S4">
        <f t="shared" si="2"/>
        <v>35.5</v>
      </c>
      <c r="T4">
        <f t="shared" si="3"/>
        <v>24.666666666666668</v>
      </c>
      <c r="AC4">
        <f t="shared" si="4"/>
        <v>13.5</v>
      </c>
      <c r="AD4">
        <f t="shared" si="5"/>
        <v>11.166666666666668</v>
      </c>
    </row>
    <row r="5" spans="2:32" x14ac:dyDescent="0.3">
      <c r="B5">
        <v>80</v>
      </c>
      <c r="C5">
        <v>20</v>
      </c>
      <c r="D5">
        <v>26</v>
      </c>
      <c r="E5">
        <v>74</v>
      </c>
      <c r="G5">
        <v>79</v>
      </c>
      <c r="H5">
        <v>21</v>
      </c>
      <c r="I5">
        <v>12</v>
      </c>
      <c r="J5">
        <v>88</v>
      </c>
      <c r="L5">
        <v>76</v>
      </c>
      <c r="M5">
        <v>24</v>
      </c>
      <c r="N5">
        <v>48</v>
      </c>
      <c r="O5">
        <v>52</v>
      </c>
      <c r="Q5">
        <f t="shared" si="0"/>
        <v>23</v>
      </c>
      <c r="R5">
        <f t="shared" si="1"/>
        <v>16.5</v>
      </c>
      <c r="S5">
        <f t="shared" si="2"/>
        <v>36</v>
      </c>
      <c r="T5">
        <f t="shared" si="3"/>
        <v>25.166666666666668</v>
      </c>
      <c r="AC5">
        <f t="shared" si="4"/>
        <v>16.5</v>
      </c>
      <c r="AD5">
        <f t="shared" si="5"/>
        <v>8.6666666666666679</v>
      </c>
    </row>
    <row r="6" spans="2:32" x14ac:dyDescent="0.3">
      <c r="B6">
        <v>87</v>
      </c>
      <c r="C6">
        <v>13</v>
      </c>
      <c r="D6">
        <v>41</v>
      </c>
      <c r="E6">
        <v>59</v>
      </c>
      <c r="G6">
        <v>85</v>
      </c>
      <c r="H6">
        <v>15</v>
      </c>
      <c r="I6">
        <v>12</v>
      </c>
      <c r="J6">
        <v>88</v>
      </c>
      <c r="L6">
        <v>89</v>
      </c>
      <c r="M6">
        <v>11</v>
      </c>
      <c r="N6">
        <v>63</v>
      </c>
      <c r="O6">
        <v>37</v>
      </c>
      <c r="Q6">
        <f t="shared" ref="Q6:Q7" si="6">AVERAGE(C6:D6)</f>
        <v>27</v>
      </c>
      <c r="R6">
        <f t="shared" ref="R6:R7" si="7">AVERAGE(H6:I6)</f>
        <v>13.5</v>
      </c>
      <c r="S6">
        <f t="shared" ref="S6:S7" si="8">AVERAGE(M6:N6)</f>
        <v>37</v>
      </c>
      <c r="T6">
        <f t="shared" ref="T6:T7" si="9">AVERAGE(Q6:S6)</f>
        <v>25.833333333333332</v>
      </c>
      <c r="AC6">
        <f t="shared" ref="AC6:AC7" si="10">MIN(Q6:S6)</f>
        <v>13.5</v>
      </c>
      <c r="AD6">
        <f t="shared" ref="AD6:AD7" si="11">T6-AC6</f>
        <v>12.333333333333332</v>
      </c>
    </row>
    <row r="7" spans="2:32" x14ac:dyDescent="0.3">
      <c r="B7">
        <v>85</v>
      </c>
      <c r="C7">
        <v>15</v>
      </c>
      <c r="D7">
        <v>33</v>
      </c>
      <c r="E7">
        <v>67</v>
      </c>
      <c r="G7">
        <v>81</v>
      </c>
      <c r="H7">
        <v>19</v>
      </c>
      <c r="I7">
        <v>7</v>
      </c>
      <c r="J7">
        <v>93</v>
      </c>
      <c r="L7">
        <v>70</v>
      </c>
      <c r="M7">
        <v>30</v>
      </c>
      <c r="N7">
        <v>56</v>
      </c>
      <c r="O7">
        <v>44</v>
      </c>
      <c r="Q7">
        <f t="shared" si="6"/>
        <v>24</v>
      </c>
      <c r="R7">
        <f t="shared" si="7"/>
        <v>13</v>
      </c>
      <c r="S7">
        <f t="shared" si="8"/>
        <v>43</v>
      </c>
      <c r="T7">
        <f t="shared" si="9"/>
        <v>26.666666666666668</v>
      </c>
      <c r="AC7">
        <f t="shared" si="10"/>
        <v>13</v>
      </c>
      <c r="AD7">
        <f t="shared" si="11"/>
        <v>13.666666666666668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4"/>
  <sheetViews>
    <sheetView topLeftCell="M2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29</v>
      </c>
      <c r="Q2" t="s">
        <v>12</v>
      </c>
      <c r="R2" t="s">
        <v>13</v>
      </c>
      <c r="S2" t="s">
        <v>14</v>
      </c>
      <c r="T2" t="s">
        <v>16</v>
      </c>
      <c r="U2" t="s">
        <v>30</v>
      </c>
      <c r="V2" t="s">
        <v>25</v>
      </c>
      <c r="W2" t="s">
        <v>31</v>
      </c>
      <c r="X2" t="s">
        <v>26</v>
      </c>
      <c r="Y2" t="s">
        <v>32</v>
      </c>
      <c r="Z2" t="s">
        <v>27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22</v>
      </c>
      <c r="F3" t="s">
        <v>23</v>
      </c>
      <c r="K3" t="s">
        <v>24</v>
      </c>
    </row>
    <row r="4" spans="1:32" x14ac:dyDescent="0.3">
      <c r="B4">
        <v>74</v>
      </c>
      <c r="C4">
        <v>26</v>
      </c>
      <c r="D4">
        <v>28</v>
      </c>
      <c r="E4">
        <v>72</v>
      </c>
      <c r="G4">
        <v>82</v>
      </c>
      <c r="H4">
        <v>18</v>
      </c>
      <c r="I4">
        <v>9</v>
      </c>
      <c r="J4">
        <v>91</v>
      </c>
      <c r="L4">
        <v>66</v>
      </c>
      <c r="M4">
        <v>34</v>
      </c>
      <c r="N4">
        <v>39</v>
      </c>
      <c r="O4">
        <v>61</v>
      </c>
      <c r="Q4">
        <f>AVERAGE(C4:D4)</f>
        <v>27</v>
      </c>
      <c r="R4">
        <f>AVERAGE(H4:I4)</f>
        <v>13.5</v>
      </c>
      <c r="S4">
        <f>AVERAGE(M4:N4)</f>
        <v>36.5</v>
      </c>
      <c r="T4">
        <f>AVERAGE(Q4:S4)</f>
        <v>25.666666666666668</v>
      </c>
      <c r="U4">
        <f>AVERAGE(Q4:Q14)</f>
        <v>26.636363636363637</v>
      </c>
      <c r="V4">
        <f>_xlfn.STDEV.S(Q4:Q14)</f>
        <v>1.5666989036012804</v>
      </c>
      <c r="W4">
        <f>AVERAGE(R4:R14)</f>
        <v>13.636363636363637</v>
      </c>
      <c r="X4">
        <f>_xlfn.STDEV.S(R4:R14)</f>
        <v>2.3247678280949802</v>
      </c>
      <c r="Y4">
        <f>AVERAGE(S4:S14)</f>
        <v>37.272727272727273</v>
      </c>
      <c r="Z4">
        <f>_xlfn.STDEV.S(S4:S14)</f>
        <v>2.7510328638861838</v>
      </c>
      <c r="AA4">
        <f>AVERAGE(T4:T14)</f>
        <v>25.848484848484851</v>
      </c>
      <c r="AB4">
        <f>_xlfn.STDEV.S(T4:T14)</f>
        <v>1.0735572888883258</v>
      </c>
      <c r="AC4">
        <f>MIN(Q4:S4)</f>
        <v>13.5</v>
      </c>
      <c r="AD4">
        <f>T4-AC4</f>
        <v>12.166666666666668</v>
      </c>
      <c r="AE4">
        <f>AVERAGE(AD4:AD14)</f>
        <v>12.212121212121211</v>
      </c>
      <c r="AF4">
        <f>_xlfn.STDEV.S(AD4:AD14)</f>
        <v>2.1122538108892623</v>
      </c>
    </row>
    <row r="5" spans="1:32" x14ac:dyDescent="0.3">
      <c r="B5">
        <v>76</v>
      </c>
      <c r="C5">
        <v>24</v>
      </c>
      <c r="D5">
        <v>33</v>
      </c>
      <c r="E5">
        <v>67</v>
      </c>
      <c r="G5">
        <v>85</v>
      </c>
      <c r="H5">
        <v>15</v>
      </c>
      <c r="I5">
        <v>12</v>
      </c>
      <c r="J5">
        <v>88</v>
      </c>
      <c r="L5">
        <v>72</v>
      </c>
      <c r="M5">
        <v>28</v>
      </c>
      <c r="N5">
        <v>47</v>
      </c>
      <c r="O5">
        <v>53</v>
      </c>
      <c r="Q5">
        <f t="shared" ref="Q5:Q7" si="0">AVERAGE(C5:D5)</f>
        <v>28.5</v>
      </c>
      <c r="R5">
        <f t="shared" ref="R5:R7" si="1">AVERAGE(H5:I5)</f>
        <v>13.5</v>
      </c>
      <c r="S5">
        <f t="shared" ref="S5:S7" si="2">AVERAGE(M5:N5)</f>
        <v>37.5</v>
      </c>
      <c r="T5">
        <f t="shared" ref="T5:T7" si="3">AVERAGE(Q5:S5)</f>
        <v>26.5</v>
      </c>
      <c r="AC5">
        <f t="shared" ref="AC5:AC7" si="4">MIN(Q5:S5)</f>
        <v>13.5</v>
      </c>
      <c r="AD5">
        <f t="shared" ref="AD5:AD7" si="5">T5-AC5</f>
        <v>13</v>
      </c>
    </row>
    <row r="6" spans="1:32" x14ac:dyDescent="0.3">
      <c r="B6">
        <v>83</v>
      </c>
      <c r="C6">
        <v>17</v>
      </c>
      <c r="D6">
        <v>36</v>
      </c>
      <c r="E6">
        <v>64</v>
      </c>
      <c r="G6">
        <v>83</v>
      </c>
      <c r="H6">
        <v>17</v>
      </c>
      <c r="I6">
        <v>16</v>
      </c>
      <c r="J6">
        <v>84</v>
      </c>
      <c r="L6">
        <v>68</v>
      </c>
      <c r="M6">
        <v>32</v>
      </c>
      <c r="N6">
        <v>47</v>
      </c>
      <c r="O6">
        <v>53</v>
      </c>
      <c r="Q6">
        <f t="shared" si="0"/>
        <v>26.5</v>
      </c>
      <c r="R6">
        <f t="shared" si="1"/>
        <v>16.5</v>
      </c>
      <c r="S6">
        <f t="shared" si="2"/>
        <v>39.5</v>
      </c>
      <c r="T6">
        <f t="shared" si="3"/>
        <v>27.5</v>
      </c>
      <c r="AC6">
        <f t="shared" si="4"/>
        <v>16.5</v>
      </c>
      <c r="AD6">
        <f t="shared" si="5"/>
        <v>11</v>
      </c>
    </row>
    <row r="7" spans="1:32" x14ac:dyDescent="0.3">
      <c r="B7">
        <v>83</v>
      </c>
      <c r="C7">
        <v>17</v>
      </c>
      <c r="D7">
        <v>36</v>
      </c>
      <c r="E7">
        <v>64</v>
      </c>
      <c r="G7">
        <v>88</v>
      </c>
      <c r="H7">
        <v>12</v>
      </c>
      <c r="I7">
        <v>9</v>
      </c>
      <c r="J7">
        <v>91</v>
      </c>
      <c r="L7">
        <v>81</v>
      </c>
      <c r="M7">
        <v>19</v>
      </c>
      <c r="N7">
        <v>59</v>
      </c>
      <c r="O7">
        <v>41</v>
      </c>
      <c r="Q7">
        <f t="shared" si="0"/>
        <v>26.5</v>
      </c>
      <c r="R7">
        <f t="shared" si="1"/>
        <v>10.5</v>
      </c>
      <c r="S7">
        <f t="shared" si="2"/>
        <v>39</v>
      </c>
      <c r="T7">
        <f t="shared" si="3"/>
        <v>25.333333333333332</v>
      </c>
      <c r="AC7">
        <f t="shared" si="4"/>
        <v>10.5</v>
      </c>
      <c r="AD7">
        <f t="shared" si="5"/>
        <v>14.833333333333332</v>
      </c>
    </row>
    <row r="8" spans="1:32" x14ac:dyDescent="0.3">
      <c r="B8">
        <v>88</v>
      </c>
      <c r="C8">
        <v>12</v>
      </c>
      <c r="D8">
        <v>44</v>
      </c>
      <c r="E8">
        <v>56</v>
      </c>
      <c r="G8">
        <v>81</v>
      </c>
      <c r="H8">
        <v>19</v>
      </c>
      <c r="I8">
        <v>17</v>
      </c>
      <c r="J8">
        <v>83</v>
      </c>
      <c r="L8">
        <v>82</v>
      </c>
      <c r="M8">
        <v>18</v>
      </c>
      <c r="N8">
        <v>54</v>
      </c>
      <c r="O8">
        <v>46</v>
      </c>
      <c r="Q8">
        <f t="shared" ref="Q8:Q14" si="6">AVERAGE(C8:D8)</f>
        <v>28</v>
      </c>
      <c r="R8">
        <f t="shared" ref="R8:R14" si="7">AVERAGE(H8:I8)</f>
        <v>18</v>
      </c>
      <c r="S8">
        <f t="shared" ref="S8:S14" si="8">AVERAGE(M8:N8)</f>
        <v>36</v>
      </c>
      <c r="T8">
        <f t="shared" ref="T8:T14" si="9">AVERAGE(Q8:S8)</f>
        <v>27.333333333333332</v>
      </c>
      <c r="AC8">
        <f t="shared" ref="AC8:AC14" si="10">MIN(Q8:S8)</f>
        <v>18</v>
      </c>
      <c r="AD8">
        <f t="shared" ref="AD8:AD14" si="11">T8-AC8</f>
        <v>9.3333333333333321</v>
      </c>
    </row>
    <row r="9" spans="1:32" x14ac:dyDescent="0.3">
      <c r="B9">
        <v>84</v>
      </c>
      <c r="C9">
        <v>16</v>
      </c>
      <c r="D9">
        <v>31</v>
      </c>
      <c r="E9">
        <v>69</v>
      </c>
      <c r="G9">
        <v>82</v>
      </c>
      <c r="H9">
        <v>18</v>
      </c>
      <c r="I9">
        <v>12</v>
      </c>
      <c r="J9">
        <v>88</v>
      </c>
      <c r="L9">
        <v>74</v>
      </c>
      <c r="M9">
        <v>26</v>
      </c>
      <c r="N9">
        <v>46</v>
      </c>
      <c r="O9">
        <v>54</v>
      </c>
      <c r="Q9">
        <f t="shared" si="6"/>
        <v>23.5</v>
      </c>
      <c r="R9">
        <f t="shared" si="7"/>
        <v>15</v>
      </c>
      <c r="S9">
        <f t="shared" si="8"/>
        <v>36</v>
      </c>
      <c r="T9">
        <f t="shared" si="9"/>
        <v>24.833333333333332</v>
      </c>
      <c r="AC9">
        <f t="shared" si="10"/>
        <v>15</v>
      </c>
      <c r="AD9">
        <f t="shared" si="11"/>
        <v>9.8333333333333321</v>
      </c>
    </row>
    <row r="10" spans="1:32" x14ac:dyDescent="0.3">
      <c r="B10">
        <v>73</v>
      </c>
      <c r="C10">
        <v>27</v>
      </c>
      <c r="D10">
        <v>29</v>
      </c>
      <c r="E10">
        <v>71</v>
      </c>
      <c r="G10">
        <v>86</v>
      </c>
      <c r="H10">
        <v>14</v>
      </c>
      <c r="I10">
        <v>8</v>
      </c>
      <c r="J10">
        <v>92</v>
      </c>
      <c r="L10">
        <v>70</v>
      </c>
      <c r="M10">
        <v>30</v>
      </c>
      <c r="N10">
        <v>54</v>
      </c>
      <c r="O10">
        <v>46</v>
      </c>
      <c r="Q10">
        <f t="shared" si="6"/>
        <v>28</v>
      </c>
      <c r="R10">
        <f t="shared" si="7"/>
        <v>11</v>
      </c>
      <c r="S10">
        <f t="shared" si="8"/>
        <v>42</v>
      </c>
      <c r="T10">
        <f t="shared" si="9"/>
        <v>27</v>
      </c>
      <c r="AC10">
        <f t="shared" si="10"/>
        <v>11</v>
      </c>
      <c r="AD10">
        <f t="shared" si="11"/>
        <v>16</v>
      </c>
    </row>
    <row r="11" spans="1:32" x14ac:dyDescent="0.3">
      <c r="B11">
        <v>77</v>
      </c>
      <c r="C11">
        <v>23</v>
      </c>
      <c r="D11">
        <v>26</v>
      </c>
      <c r="E11">
        <v>74</v>
      </c>
      <c r="G11">
        <v>84</v>
      </c>
      <c r="H11">
        <v>16</v>
      </c>
      <c r="I11">
        <v>12</v>
      </c>
      <c r="J11">
        <v>88</v>
      </c>
      <c r="L11">
        <v>72</v>
      </c>
      <c r="M11">
        <v>28</v>
      </c>
      <c r="N11">
        <v>49</v>
      </c>
      <c r="O11">
        <v>51</v>
      </c>
      <c r="Q11">
        <f t="shared" si="6"/>
        <v>24.5</v>
      </c>
      <c r="R11">
        <f t="shared" si="7"/>
        <v>14</v>
      </c>
      <c r="S11">
        <f t="shared" si="8"/>
        <v>38.5</v>
      </c>
      <c r="T11">
        <f t="shared" si="9"/>
        <v>25.666666666666668</v>
      </c>
      <c r="AC11">
        <f t="shared" si="10"/>
        <v>14</v>
      </c>
      <c r="AD11">
        <f t="shared" si="11"/>
        <v>11.666666666666668</v>
      </c>
    </row>
    <row r="12" spans="1:32" x14ac:dyDescent="0.3">
      <c r="B12">
        <v>77</v>
      </c>
      <c r="C12">
        <v>23</v>
      </c>
      <c r="D12">
        <v>28</v>
      </c>
      <c r="E12">
        <v>72</v>
      </c>
      <c r="G12">
        <v>84</v>
      </c>
      <c r="H12">
        <v>16</v>
      </c>
      <c r="I12">
        <v>8</v>
      </c>
      <c r="J12">
        <v>92</v>
      </c>
      <c r="L12">
        <v>67</v>
      </c>
      <c r="M12">
        <v>33</v>
      </c>
      <c r="N12">
        <v>44</v>
      </c>
      <c r="O12">
        <v>56</v>
      </c>
      <c r="Q12">
        <f t="shared" si="6"/>
        <v>25.5</v>
      </c>
      <c r="R12">
        <f t="shared" si="7"/>
        <v>12</v>
      </c>
      <c r="S12">
        <f t="shared" si="8"/>
        <v>38.5</v>
      </c>
      <c r="T12">
        <f t="shared" si="9"/>
        <v>25.333333333333332</v>
      </c>
      <c r="AC12">
        <f t="shared" si="10"/>
        <v>12</v>
      </c>
      <c r="AD12">
        <f t="shared" si="11"/>
        <v>13.333333333333332</v>
      </c>
    </row>
    <row r="13" spans="1:32" x14ac:dyDescent="0.3">
      <c r="B13">
        <v>77</v>
      </c>
      <c r="C13">
        <v>23</v>
      </c>
      <c r="D13">
        <v>32</v>
      </c>
      <c r="E13">
        <v>68</v>
      </c>
      <c r="G13">
        <v>83</v>
      </c>
      <c r="H13">
        <v>17</v>
      </c>
      <c r="I13">
        <v>12</v>
      </c>
      <c r="J13">
        <v>88</v>
      </c>
      <c r="L13">
        <v>74</v>
      </c>
      <c r="M13">
        <v>26</v>
      </c>
      <c r="N13">
        <v>37</v>
      </c>
      <c r="O13">
        <v>63</v>
      </c>
      <c r="Q13">
        <f t="shared" si="6"/>
        <v>27.5</v>
      </c>
      <c r="R13">
        <f t="shared" si="7"/>
        <v>14.5</v>
      </c>
      <c r="S13">
        <f t="shared" si="8"/>
        <v>31.5</v>
      </c>
      <c r="T13">
        <f t="shared" si="9"/>
        <v>24.5</v>
      </c>
      <c r="AC13">
        <f t="shared" si="10"/>
        <v>14.5</v>
      </c>
      <c r="AD13">
        <f t="shared" si="11"/>
        <v>10</v>
      </c>
    </row>
    <row r="14" spans="1:32" x14ac:dyDescent="0.3">
      <c r="B14">
        <v>83</v>
      </c>
      <c r="C14">
        <v>17</v>
      </c>
      <c r="D14">
        <v>38</v>
      </c>
      <c r="E14">
        <v>62</v>
      </c>
      <c r="G14">
        <v>85</v>
      </c>
      <c r="H14">
        <v>15</v>
      </c>
      <c r="I14">
        <v>8</v>
      </c>
      <c r="J14">
        <v>92</v>
      </c>
      <c r="L14">
        <v>67</v>
      </c>
      <c r="M14">
        <v>33</v>
      </c>
      <c r="N14">
        <v>37</v>
      </c>
      <c r="O14">
        <v>63</v>
      </c>
      <c r="Q14">
        <f t="shared" si="6"/>
        <v>27.5</v>
      </c>
      <c r="R14">
        <f t="shared" si="7"/>
        <v>11.5</v>
      </c>
      <c r="S14">
        <f t="shared" si="8"/>
        <v>35</v>
      </c>
      <c r="T14">
        <f t="shared" si="9"/>
        <v>24.666666666666668</v>
      </c>
      <c r="AC14">
        <f t="shared" si="10"/>
        <v>11.5</v>
      </c>
      <c r="AD14">
        <f t="shared" si="11"/>
        <v>13.166666666666668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F9"/>
  <sheetViews>
    <sheetView topLeftCell="K1" workbookViewId="0">
      <selection activeCell="AF3" activeCellId="2" sqref="U3:AB3 AE3 AF3"/>
    </sheetView>
  </sheetViews>
  <sheetFormatPr defaultRowHeight="14.4" x14ac:dyDescent="0.3"/>
  <cols>
    <col min="21" max="21" width="11.44140625" customWidth="1"/>
    <col min="28" max="28" width="9.109375" customWidth="1"/>
    <col min="32" max="32" width="20.88671875" customWidth="1"/>
  </cols>
  <sheetData>
    <row r="1" spans="1:32" x14ac:dyDescent="0.3">
      <c r="A1" t="s">
        <v>21</v>
      </c>
    </row>
    <row r="2" spans="1:32" x14ac:dyDescent="0.3">
      <c r="A2" t="s">
        <v>22</v>
      </c>
      <c r="F2" t="s">
        <v>23</v>
      </c>
      <c r="K2" t="s">
        <v>24</v>
      </c>
      <c r="Q2" t="s">
        <v>12</v>
      </c>
      <c r="R2" t="s">
        <v>13</v>
      </c>
      <c r="S2" t="s">
        <v>14</v>
      </c>
      <c r="T2" t="s">
        <v>16</v>
      </c>
      <c r="U2" t="s">
        <v>30</v>
      </c>
      <c r="V2" t="s">
        <v>25</v>
      </c>
      <c r="W2" t="s">
        <v>31</v>
      </c>
      <c r="X2" t="s">
        <v>26</v>
      </c>
      <c r="Y2" t="s">
        <v>32</v>
      </c>
      <c r="Z2" t="s">
        <v>27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B3">
        <v>85</v>
      </c>
      <c r="C3">
        <v>15</v>
      </c>
      <c r="D3">
        <v>28</v>
      </c>
      <c r="E3">
        <v>72</v>
      </c>
      <c r="G3">
        <v>81</v>
      </c>
      <c r="H3">
        <v>19</v>
      </c>
      <c r="I3">
        <v>10</v>
      </c>
      <c r="J3">
        <v>90</v>
      </c>
      <c r="L3">
        <v>76</v>
      </c>
      <c r="M3">
        <v>24</v>
      </c>
      <c r="N3">
        <v>39</v>
      </c>
      <c r="O3">
        <v>61</v>
      </c>
      <c r="Q3">
        <f>AVERAGE(C3:D3)</f>
        <v>21.5</v>
      </c>
      <c r="R3">
        <f>AVERAGE(H3:I3)</f>
        <v>14.5</v>
      </c>
      <c r="S3">
        <f>AVERAGE(M3:N3)</f>
        <v>31.5</v>
      </c>
      <c r="T3">
        <f>AVERAGE(Q3:S3)</f>
        <v>22.5</v>
      </c>
      <c r="U3">
        <f>AVERAGE(Q3:Q9)</f>
        <v>26.714285714285715</v>
      </c>
      <c r="V3">
        <f>_xlfn.STDEV.S(Q3:Q9)</f>
        <v>3.7733400639347709</v>
      </c>
      <c r="W3">
        <f>AVERAGE(R3:R9)</f>
        <v>12.571428571428571</v>
      </c>
      <c r="X3">
        <f>_xlfn.STDEV.S(R3:R9)</f>
        <v>2.8493942547579527</v>
      </c>
      <c r="Y3">
        <f>AVERAGE(S3:S9)</f>
        <v>35.285714285714285</v>
      </c>
      <c r="Z3">
        <f>_xlfn.STDEV.S(S3:S9)</f>
        <v>3.0118812346154309</v>
      </c>
      <c r="AA3">
        <f>AVERAGE(T3:T9)</f>
        <v>24.857142857142858</v>
      </c>
      <c r="AB3">
        <f>_xlfn.STDEV.S(T3:T9)</f>
        <v>1.7570718788090562</v>
      </c>
      <c r="AC3">
        <f>MIN(Q3:S3)</f>
        <v>14.5</v>
      </c>
      <c r="AD3">
        <f>T3-AC3</f>
        <v>8</v>
      </c>
      <c r="AE3">
        <f>AVERAGE(AD3:AD9)</f>
        <v>12.285714285714283</v>
      </c>
      <c r="AF3">
        <f>_xlfn.STDEV.S(AD3:AD9)</f>
        <v>2.3838078115778791</v>
      </c>
    </row>
    <row r="4" spans="1:32" x14ac:dyDescent="0.3">
      <c r="B4">
        <v>77</v>
      </c>
      <c r="C4">
        <v>23</v>
      </c>
      <c r="D4">
        <v>27</v>
      </c>
      <c r="E4">
        <v>73</v>
      </c>
      <c r="G4">
        <v>90</v>
      </c>
      <c r="H4">
        <v>10</v>
      </c>
      <c r="I4">
        <v>5</v>
      </c>
      <c r="J4">
        <v>95</v>
      </c>
      <c r="L4">
        <v>58</v>
      </c>
      <c r="M4">
        <v>42</v>
      </c>
      <c r="N4">
        <v>30</v>
      </c>
      <c r="O4">
        <v>70</v>
      </c>
      <c r="Q4">
        <f t="shared" ref="Q4:Q9" si="0">AVERAGE(C4:D4)</f>
        <v>25</v>
      </c>
      <c r="R4">
        <f t="shared" ref="R4:R9" si="1">AVERAGE(H4:I4)</f>
        <v>7.5</v>
      </c>
      <c r="S4">
        <f t="shared" ref="S4:S9" si="2">AVERAGE(M4:N4)</f>
        <v>36</v>
      </c>
      <c r="T4">
        <f t="shared" ref="T4:T9" si="3">AVERAGE(Q4:S4)</f>
        <v>22.833333333333332</v>
      </c>
      <c r="AC4">
        <f t="shared" ref="AC4:AC9" si="4">MIN(Q4:S4)</f>
        <v>7.5</v>
      </c>
      <c r="AD4">
        <f t="shared" ref="AD4:AD9" si="5">T4-AC4</f>
        <v>15.333333333333332</v>
      </c>
    </row>
    <row r="5" spans="1:32" x14ac:dyDescent="0.3">
      <c r="B5">
        <v>90</v>
      </c>
      <c r="C5">
        <v>10</v>
      </c>
      <c r="D5">
        <v>37</v>
      </c>
      <c r="E5">
        <v>63</v>
      </c>
      <c r="G5">
        <v>90</v>
      </c>
      <c r="H5">
        <v>10</v>
      </c>
      <c r="I5">
        <v>13</v>
      </c>
      <c r="J5">
        <v>87</v>
      </c>
      <c r="L5">
        <v>81</v>
      </c>
      <c r="M5">
        <v>19</v>
      </c>
      <c r="N5">
        <v>58</v>
      </c>
      <c r="O5">
        <v>42</v>
      </c>
      <c r="Q5">
        <f t="shared" si="0"/>
        <v>23.5</v>
      </c>
      <c r="R5">
        <f t="shared" si="1"/>
        <v>11.5</v>
      </c>
      <c r="S5">
        <f t="shared" si="2"/>
        <v>38.5</v>
      </c>
      <c r="T5">
        <f t="shared" si="3"/>
        <v>24.5</v>
      </c>
      <c r="AC5">
        <f t="shared" si="4"/>
        <v>11.5</v>
      </c>
      <c r="AD5">
        <f t="shared" si="5"/>
        <v>13</v>
      </c>
    </row>
    <row r="6" spans="1:32" x14ac:dyDescent="0.3">
      <c r="B6">
        <v>72</v>
      </c>
      <c r="C6">
        <v>28</v>
      </c>
      <c r="D6">
        <v>38</v>
      </c>
      <c r="E6">
        <v>62</v>
      </c>
      <c r="G6">
        <v>84</v>
      </c>
      <c r="H6">
        <v>16</v>
      </c>
      <c r="I6">
        <v>17</v>
      </c>
      <c r="J6">
        <v>83</v>
      </c>
      <c r="L6">
        <v>72</v>
      </c>
      <c r="M6">
        <v>28</v>
      </c>
      <c r="N6">
        <v>34</v>
      </c>
      <c r="O6">
        <v>66</v>
      </c>
      <c r="Q6">
        <f t="shared" si="0"/>
        <v>33</v>
      </c>
      <c r="R6">
        <f t="shared" si="1"/>
        <v>16.5</v>
      </c>
      <c r="S6">
        <f t="shared" si="2"/>
        <v>31</v>
      </c>
      <c r="T6">
        <f t="shared" si="3"/>
        <v>26.833333333333332</v>
      </c>
      <c r="AC6">
        <f t="shared" si="4"/>
        <v>16.5</v>
      </c>
      <c r="AD6">
        <f t="shared" si="5"/>
        <v>10.333333333333332</v>
      </c>
    </row>
    <row r="7" spans="1:32" x14ac:dyDescent="0.3">
      <c r="B7">
        <v>86</v>
      </c>
      <c r="C7">
        <v>14</v>
      </c>
      <c r="D7">
        <v>42</v>
      </c>
      <c r="E7">
        <v>58</v>
      </c>
      <c r="G7">
        <v>90</v>
      </c>
      <c r="H7">
        <v>10</v>
      </c>
      <c r="I7">
        <v>14</v>
      </c>
      <c r="J7">
        <v>86</v>
      </c>
      <c r="L7">
        <v>86</v>
      </c>
      <c r="M7">
        <v>14</v>
      </c>
      <c r="N7">
        <v>58</v>
      </c>
      <c r="O7">
        <v>42</v>
      </c>
      <c r="Q7">
        <f t="shared" si="0"/>
        <v>28</v>
      </c>
      <c r="R7">
        <f t="shared" si="1"/>
        <v>12</v>
      </c>
      <c r="S7">
        <f t="shared" si="2"/>
        <v>36</v>
      </c>
      <c r="T7">
        <f t="shared" si="3"/>
        <v>25.333333333333332</v>
      </c>
      <c r="AC7">
        <f t="shared" si="4"/>
        <v>12</v>
      </c>
      <c r="AD7">
        <f t="shared" si="5"/>
        <v>13.333333333333332</v>
      </c>
    </row>
    <row r="8" spans="1:32" x14ac:dyDescent="0.3">
      <c r="B8">
        <v>79</v>
      </c>
      <c r="C8">
        <v>21</v>
      </c>
      <c r="D8">
        <v>34</v>
      </c>
      <c r="E8">
        <v>66</v>
      </c>
      <c r="G8">
        <v>85</v>
      </c>
      <c r="H8">
        <v>15</v>
      </c>
      <c r="I8">
        <v>9</v>
      </c>
      <c r="J8">
        <v>91</v>
      </c>
      <c r="L8">
        <v>71</v>
      </c>
      <c r="M8">
        <v>29</v>
      </c>
      <c r="N8">
        <v>42</v>
      </c>
      <c r="O8">
        <v>58</v>
      </c>
      <c r="Q8">
        <f t="shared" si="0"/>
        <v>27.5</v>
      </c>
      <c r="R8">
        <f t="shared" si="1"/>
        <v>12</v>
      </c>
      <c r="S8">
        <f t="shared" si="2"/>
        <v>35.5</v>
      </c>
      <c r="T8">
        <f t="shared" si="3"/>
        <v>25</v>
      </c>
      <c r="AC8">
        <f t="shared" si="4"/>
        <v>12</v>
      </c>
      <c r="AD8">
        <f t="shared" si="5"/>
        <v>13</v>
      </c>
    </row>
    <row r="9" spans="1:32" x14ac:dyDescent="0.3">
      <c r="B9">
        <v>86</v>
      </c>
      <c r="C9">
        <v>14</v>
      </c>
      <c r="D9">
        <v>43</v>
      </c>
      <c r="E9">
        <v>57</v>
      </c>
      <c r="G9">
        <v>83</v>
      </c>
      <c r="H9">
        <v>17</v>
      </c>
      <c r="I9">
        <v>11</v>
      </c>
      <c r="J9">
        <v>89</v>
      </c>
      <c r="L9">
        <v>76</v>
      </c>
      <c r="M9">
        <v>24</v>
      </c>
      <c r="N9">
        <v>53</v>
      </c>
      <c r="O9">
        <v>47</v>
      </c>
      <c r="Q9">
        <f t="shared" si="0"/>
        <v>28.5</v>
      </c>
      <c r="R9">
        <f t="shared" si="1"/>
        <v>14</v>
      </c>
      <c r="S9">
        <f t="shared" si="2"/>
        <v>38.5</v>
      </c>
      <c r="T9">
        <f t="shared" si="3"/>
        <v>27</v>
      </c>
      <c r="AC9">
        <f t="shared" si="4"/>
        <v>14</v>
      </c>
      <c r="AD9">
        <f t="shared" si="5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E11"/>
  <sheetViews>
    <sheetView topLeftCell="K1" workbookViewId="0">
      <selection activeCell="AE3" activeCellId="2" sqref="T3:AA3 AD3 AE3"/>
    </sheetView>
  </sheetViews>
  <sheetFormatPr defaultRowHeight="14.4" x14ac:dyDescent="0.3"/>
  <cols>
    <col min="22" max="22" width="13.109375" customWidth="1"/>
  </cols>
  <sheetData>
    <row r="1" spans="1:31" x14ac:dyDescent="0.3">
      <c r="A1" t="s">
        <v>0</v>
      </c>
      <c r="P1" t="s">
        <v>11</v>
      </c>
    </row>
    <row r="2" spans="1:31" x14ac:dyDescent="0.3">
      <c r="A2" t="s">
        <v>4</v>
      </c>
      <c r="P2" t="s">
        <v>12</v>
      </c>
      <c r="Q2" t="s">
        <v>13</v>
      </c>
      <c r="R2" t="s">
        <v>14</v>
      </c>
      <c r="S2" t="s">
        <v>16</v>
      </c>
      <c r="T2" t="s">
        <v>30</v>
      </c>
      <c r="U2" t="s">
        <v>25</v>
      </c>
      <c r="V2" t="s">
        <v>31</v>
      </c>
      <c r="W2" t="s">
        <v>26</v>
      </c>
      <c r="X2" t="s">
        <v>32</v>
      </c>
      <c r="Y2" t="s">
        <v>27</v>
      </c>
      <c r="Z2" t="s">
        <v>1</v>
      </c>
      <c r="AA2" t="s">
        <v>17</v>
      </c>
      <c r="AB2" t="s">
        <v>18</v>
      </c>
      <c r="AC2" t="s">
        <v>15</v>
      </c>
      <c r="AD2" t="s">
        <v>19</v>
      </c>
      <c r="AE2" t="s">
        <v>20</v>
      </c>
    </row>
    <row r="3" spans="1:31" x14ac:dyDescent="0.3">
      <c r="A3">
        <v>84</v>
      </c>
      <c r="B3">
        <v>16</v>
      </c>
      <c r="C3">
        <v>39</v>
      </c>
      <c r="D3">
        <v>61</v>
      </c>
      <c r="F3">
        <v>77</v>
      </c>
      <c r="G3">
        <v>23</v>
      </c>
      <c r="H3">
        <v>13</v>
      </c>
      <c r="I3">
        <v>87</v>
      </c>
      <c r="K3">
        <v>68</v>
      </c>
      <c r="L3">
        <v>32</v>
      </c>
      <c r="M3">
        <v>42</v>
      </c>
      <c r="N3">
        <v>58</v>
      </c>
      <c r="P3">
        <f>AVERAGE(B3:C3)</f>
        <v>27.5</v>
      </c>
      <c r="Q3">
        <f>AVERAGE(G3:H3)</f>
        <v>18</v>
      </c>
      <c r="R3">
        <f>AVERAGE(L3:M3)</f>
        <v>37</v>
      </c>
      <c r="S3">
        <f>AVERAGE(P3:R3)</f>
        <v>27.5</v>
      </c>
      <c r="T3">
        <f>AVERAGE(P3:P11)</f>
        <v>28.055555555555557</v>
      </c>
      <c r="U3">
        <f>_xlfn.STDEV.S(P3:P11)</f>
        <v>2.4930458836085987</v>
      </c>
      <c r="V3">
        <f>AVERAGE(Q3:Q11)</f>
        <v>13.666666666666666</v>
      </c>
      <c r="W3">
        <f>_xlfn.STDEV.S(Q3:Q11)</f>
        <v>2.3048861143232218</v>
      </c>
      <c r="X3">
        <f>AVERAGE(R3:R11)</f>
        <v>37.444444444444443</v>
      </c>
      <c r="Y3">
        <f>_xlfn.STDEV.S(R3:R11)</f>
        <v>1.7579185924774154</v>
      </c>
      <c r="Z3">
        <f>AVERAGE(S3:S11)</f>
        <v>26.388888888888893</v>
      </c>
      <c r="AA3">
        <f>_xlfn.STDEV.S(S3:S11)</f>
        <v>1.5701203067847307</v>
      </c>
      <c r="AB3">
        <f>MIN(P3:R3)</f>
        <v>18</v>
      </c>
      <c r="AC3">
        <f>S3-AB3</f>
        <v>9.5</v>
      </c>
      <c r="AD3">
        <f>AVERAGE(AC3:AC11)</f>
        <v>12.722222222222221</v>
      </c>
      <c r="AE3">
        <f>_xlfn.STDEV.S(AC3:AC11)</f>
        <v>1.8503002759312106</v>
      </c>
    </row>
    <row r="4" spans="1:31" x14ac:dyDescent="0.3">
      <c r="A4">
        <v>80</v>
      </c>
      <c r="B4">
        <v>20</v>
      </c>
      <c r="C4">
        <v>39</v>
      </c>
      <c r="D4">
        <v>61</v>
      </c>
      <c r="F4">
        <v>78</v>
      </c>
      <c r="G4">
        <v>22</v>
      </c>
      <c r="H4">
        <v>11</v>
      </c>
      <c r="I4">
        <v>89</v>
      </c>
      <c r="K4">
        <v>65</v>
      </c>
      <c r="L4">
        <v>35</v>
      </c>
      <c r="M4">
        <v>43</v>
      </c>
      <c r="N4">
        <v>57</v>
      </c>
      <c r="P4">
        <f t="shared" ref="P4:P5" si="0">AVERAGE(B4:C4)</f>
        <v>29.5</v>
      </c>
      <c r="Q4">
        <f t="shared" ref="Q4:Q5" si="1">AVERAGE(G4:H4)</f>
        <v>16.5</v>
      </c>
      <c r="R4">
        <f t="shared" ref="R4:R5" si="2">AVERAGE(L4:M4)</f>
        <v>39</v>
      </c>
      <c r="S4">
        <f t="shared" ref="S4:S5" si="3">AVERAGE(P4:R4)</f>
        <v>28.333333333333332</v>
      </c>
      <c r="AB4">
        <f t="shared" ref="AB4:AB5" si="4">MIN(P4:R4)</f>
        <v>16.5</v>
      </c>
      <c r="AC4">
        <f t="shared" ref="AC4:AC5" si="5">S4-AB4</f>
        <v>11.833333333333332</v>
      </c>
    </row>
    <row r="5" spans="1:31" x14ac:dyDescent="0.3">
      <c r="A5">
        <v>86</v>
      </c>
      <c r="B5">
        <v>14</v>
      </c>
      <c r="C5">
        <v>40</v>
      </c>
      <c r="D5">
        <v>60</v>
      </c>
      <c r="F5">
        <v>88</v>
      </c>
      <c r="G5">
        <v>12</v>
      </c>
      <c r="H5">
        <v>10</v>
      </c>
      <c r="I5">
        <v>90</v>
      </c>
      <c r="K5">
        <v>76</v>
      </c>
      <c r="L5">
        <v>24</v>
      </c>
      <c r="M5">
        <v>48</v>
      </c>
      <c r="N5">
        <v>52</v>
      </c>
      <c r="P5">
        <f t="shared" si="0"/>
        <v>27</v>
      </c>
      <c r="Q5">
        <f t="shared" si="1"/>
        <v>11</v>
      </c>
      <c r="R5">
        <f t="shared" si="2"/>
        <v>36</v>
      </c>
      <c r="S5">
        <f t="shared" si="3"/>
        <v>24.666666666666668</v>
      </c>
      <c r="AB5">
        <f t="shared" si="4"/>
        <v>11</v>
      </c>
      <c r="AC5">
        <f t="shared" si="5"/>
        <v>13.666666666666668</v>
      </c>
    </row>
    <row r="6" spans="1:31" x14ac:dyDescent="0.3">
      <c r="A6">
        <v>79</v>
      </c>
      <c r="B6">
        <v>21</v>
      </c>
      <c r="C6">
        <v>29</v>
      </c>
      <c r="D6">
        <v>71</v>
      </c>
      <c r="F6">
        <v>84</v>
      </c>
      <c r="G6">
        <v>16</v>
      </c>
      <c r="H6">
        <v>10</v>
      </c>
      <c r="I6">
        <v>90</v>
      </c>
      <c r="K6">
        <v>77</v>
      </c>
      <c r="L6">
        <v>23</v>
      </c>
      <c r="M6">
        <v>49</v>
      </c>
      <c r="N6">
        <v>51</v>
      </c>
      <c r="P6">
        <f t="shared" ref="P6:P11" si="6">AVERAGE(B6:C6)</f>
        <v>25</v>
      </c>
      <c r="Q6">
        <f t="shared" ref="Q6:Q11" si="7">AVERAGE(G6:H6)</f>
        <v>13</v>
      </c>
      <c r="R6">
        <f t="shared" ref="R6:R11" si="8">AVERAGE(L6:M6)</f>
        <v>36</v>
      </c>
      <c r="S6">
        <f t="shared" ref="S6:S11" si="9">AVERAGE(P6:R6)</f>
        <v>24.666666666666668</v>
      </c>
      <c r="AB6">
        <f t="shared" ref="AB6:AB11" si="10">MIN(P6:R6)</f>
        <v>13</v>
      </c>
      <c r="AC6">
        <f t="shared" ref="AC6:AC11" si="11">S6-AB6</f>
        <v>11.666666666666668</v>
      </c>
    </row>
    <row r="7" spans="1:31" x14ac:dyDescent="0.3">
      <c r="A7">
        <v>67</v>
      </c>
      <c r="B7">
        <v>33</v>
      </c>
      <c r="C7">
        <v>31</v>
      </c>
      <c r="D7">
        <v>69</v>
      </c>
      <c r="F7">
        <v>78</v>
      </c>
      <c r="G7">
        <v>22</v>
      </c>
      <c r="H7">
        <v>6</v>
      </c>
      <c r="I7">
        <v>94</v>
      </c>
      <c r="K7">
        <v>65</v>
      </c>
      <c r="L7">
        <v>35</v>
      </c>
      <c r="M7">
        <v>45</v>
      </c>
      <c r="N7">
        <v>55</v>
      </c>
      <c r="P7">
        <f t="shared" si="6"/>
        <v>32</v>
      </c>
      <c r="Q7">
        <f t="shared" si="7"/>
        <v>14</v>
      </c>
      <c r="R7">
        <f t="shared" si="8"/>
        <v>40</v>
      </c>
      <c r="S7">
        <f t="shared" si="9"/>
        <v>28.666666666666668</v>
      </c>
      <c r="AB7">
        <f t="shared" si="10"/>
        <v>14</v>
      </c>
      <c r="AC7">
        <f t="shared" si="11"/>
        <v>14.666666666666668</v>
      </c>
    </row>
    <row r="8" spans="1:31" x14ac:dyDescent="0.3">
      <c r="A8">
        <v>80</v>
      </c>
      <c r="B8">
        <v>20</v>
      </c>
      <c r="C8">
        <v>42</v>
      </c>
      <c r="D8">
        <v>58</v>
      </c>
      <c r="F8">
        <v>87</v>
      </c>
      <c r="G8">
        <v>13</v>
      </c>
      <c r="H8">
        <v>9</v>
      </c>
      <c r="I8">
        <v>91</v>
      </c>
      <c r="K8">
        <v>79</v>
      </c>
      <c r="L8">
        <v>21</v>
      </c>
      <c r="M8">
        <v>53</v>
      </c>
      <c r="N8">
        <v>47</v>
      </c>
      <c r="P8">
        <f t="shared" si="6"/>
        <v>31</v>
      </c>
      <c r="Q8">
        <f t="shared" si="7"/>
        <v>11</v>
      </c>
      <c r="R8">
        <f t="shared" si="8"/>
        <v>37</v>
      </c>
      <c r="S8">
        <f t="shared" si="9"/>
        <v>26.333333333333332</v>
      </c>
      <c r="AB8">
        <f t="shared" si="10"/>
        <v>11</v>
      </c>
      <c r="AC8">
        <f t="shared" si="11"/>
        <v>15.333333333333332</v>
      </c>
    </row>
    <row r="9" spans="1:31" x14ac:dyDescent="0.3">
      <c r="A9">
        <v>82</v>
      </c>
      <c r="B9">
        <v>18</v>
      </c>
      <c r="C9">
        <v>38</v>
      </c>
      <c r="D9">
        <v>62</v>
      </c>
      <c r="F9">
        <v>81</v>
      </c>
      <c r="G9">
        <v>19</v>
      </c>
      <c r="H9">
        <v>7</v>
      </c>
      <c r="I9">
        <v>93</v>
      </c>
      <c r="K9">
        <v>73</v>
      </c>
      <c r="L9">
        <v>27</v>
      </c>
      <c r="M9">
        <v>44</v>
      </c>
      <c r="N9">
        <v>56</v>
      </c>
      <c r="P9">
        <f t="shared" si="6"/>
        <v>28</v>
      </c>
      <c r="Q9">
        <f t="shared" si="7"/>
        <v>13</v>
      </c>
      <c r="R9">
        <f t="shared" si="8"/>
        <v>35.5</v>
      </c>
      <c r="S9">
        <f t="shared" si="9"/>
        <v>25.5</v>
      </c>
      <c r="AB9">
        <f t="shared" si="10"/>
        <v>13</v>
      </c>
      <c r="AC9">
        <f t="shared" si="11"/>
        <v>12.5</v>
      </c>
    </row>
    <row r="10" spans="1:31" x14ac:dyDescent="0.3">
      <c r="A10">
        <v>76</v>
      </c>
      <c r="B10">
        <v>24</v>
      </c>
      <c r="C10">
        <v>32</v>
      </c>
      <c r="D10">
        <v>68</v>
      </c>
      <c r="F10">
        <v>84</v>
      </c>
      <c r="G10">
        <v>16</v>
      </c>
      <c r="H10">
        <v>10</v>
      </c>
      <c r="I10">
        <v>90</v>
      </c>
      <c r="K10">
        <v>67</v>
      </c>
      <c r="L10">
        <v>33</v>
      </c>
      <c r="M10">
        <v>47</v>
      </c>
      <c r="N10">
        <v>53</v>
      </c>
      <c r="P10">
        <f t="shared" si="6"/>
        <v>28</v>
      </c>
      <c r="Q10">
        <f t="shared" si="7"/>
        <v>13</v>
      </c>
      <c r="R10">
        <f t="shared" si="8"/>
        <v>40</v>
      </c>
      <c r="S10">
        <f t="shared" si="9"/>
        <v>27</v>
      </c>
      <c r="AB10">
        <f t="shared" si="10"/>
        <v>13</v>
      </c>
      <c r="AC10">
        <f t="shared" si="11"/>
        <v>14</v>
      </c>
    </row>
    <row r="11" spans="1:31" x14ac:dyDescent="0.3">
      <c r="A11">
        <v>85</v>
      </c>
      <c r="B11">
        <v>15</v>
      </c>
      <c r="C11">
        <v>34</v>
      </c>
      <c r="D11">
        <v>66</v>
      </c>
      <c r="F11">
        <v>86</v>
      </c>
      <c r="G11">
        <v>14</v>
      </c>
      <c r="H11">
        <v>13</v>
      </c>
      <c r="I11">
        <v>87</v>
      </c>
      <c r="K11">
        <v>74</v>
      </c>
      <c r="L11">
        <v>26</v>
      </c>
      <c r="M11">
        <v>47</v>
      </c>
      <c r="N11">
        <v>53</v>
      </c>
      <c r="P11">
        <f t="shared" si="6"/>
        <v>24.5</v>
      </c>
      <c r="Q11">
        <f t="shared" si="7"/>
        <v>13.5</v>
      </c>
      <c r="R11">
        <f t="shared" si="8"/>
        <v>36.5</v>
      </c>
      <c r="S11">
        <f t="shared" si="9"/>
        <v>24.833333333333332</v>
      </c>
      <c r="AB11">
        <f t="shared" si="10"/>
        <v>13.5</v>
      </c>
      <c r="AC11">
        <f t="shared" si="11"/>
        <v>11.333333333333332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DIFF_ONLYMIN</vt:lpstr>
      <vt:lpstr>DIFF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2026-03-24T22:04:48Z</dcterms:modified>
</cp:coreProperties>
</file>