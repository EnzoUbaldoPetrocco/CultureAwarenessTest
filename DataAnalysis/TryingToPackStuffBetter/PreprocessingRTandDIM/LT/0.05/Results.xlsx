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RTandDIM\LT\0.05\"/>
    </mc:Choice>
  </mc:AlternateContent>
  <xr:revisionPtr revIDLastSave="0" documentId="13_ncr:1_{0BB5589D-E045-4745-AB8A-A952E6B71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DIFF_ONLYMIN" sheetId="20" r:id="rId2"/>
    <sheet name="DIFF" sheetId="8" r:id="rId3"/>
    <sheet name="STD_BAL_STDAUG" sheetId="5" r:id="rId4"/>
    <sheet name="STD_BAL_NOAU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0" l="1"/>
  <c r="R4" i="20"/>
  <c r="S4" i="20"/>
  <c r="T4" i="20"/>
  <c r="U4" i="20"/>
  <c r="V4" i="20"/>
  <c r="Q5" i="20"/>
  <c r="R5" i="20"/>
  <c r="S5" i="20"/>
  <c r="T5" i="20"/>
  <c r="U5" i="20"/>
  <c r="V5" i="20"/>
  <c r="Q6" i="20"/>
  <c r="U6" i="20" s="1"/>
  <c r="R6" i="20"/>
  <c r="S6" i="20"/>
  <c r="T6" i="20"/>
  <c r="V6" i="20" s="1"/>
  <c r="Q7" i="20"/>
  <c r="R7" i="20"/>
  <c r="S7" i="20"/>
  <c r="T7" i="20"/>
  <c r="U7" i="20"/>
  <c r="V7" i="20"/>
  <c r="Q8" i="20"/>
  <c r="R8" i="20"/>
  <c r="S8" i="20"/>
  <c r="T8" i="20"/>
  <c r="U8" i="20"/>
  <c r="V8" i="20"/>
  <c r="Q4" i="8"/>
  <c r="R4" i="8"/>
  <c r="S4" i="8"/>
  <c r="T4" i="8"/>
  <c r="U4" i="8"/>
  <c r="V4" i="8"/>
  <c r="Q5" i="8"/>
  <c r="R5" i="8"/>
  <c r="S5" i="8"/>
  <c r="T5" i="8"/>
  <c r="U5" i="8"/>
  <c r="V5" i="8"/>
  <c r="Q6" i="8"/>
  <c r="U6" i="8" s="1"/>
  <c r="R6" i="8"/>
  <c r="S6" i="8"/>
  <c r="T6" i="8"/>
  <c r="V6" i="8" s="1"/>
  <c r="Q7" i="8"/>
  <c r="R7" i="8"/>
  <c r="S7" i="8"/>
  <c r="T7" i="8"/>
  <c r="U7" i="8"/>
  <c r="V7" i="8"/>
  <c r="Q8" i="8"/>
  <c r="R8" i="8"/>
  <c r="S8" i="8"/>
  <c r="T8" i="8"/>
  <c r="U8" i="8"/>
  <c r="V8" i="8"/>
  <c r="Q9" i="8"/>
  <c r="T9" i="8" s="1"/>
  <c r="R9" i="8"/>
  <c r="S9" i="8"/>
  <c r="Q4" i="5"/>
  <c r="R4" i="5"/>
  <c r="S4" i="5"/>
  <c r="T4" i="5"/>
  <c r="U4" i="5"/>
  <c r="V4" i="5"/>
  <c r="Q5" i="5"/>
  <c r="R5" i="5"/>
  <c r="S5" i="5"/>
  <c r="T5" i="5"/>
  <c r="U5" i="5"/>
  <c r="V5" i="5"/>
  <c r="Q6" i="5"/>
  <c r="U6" i="5" s="1"/>
  <c r="R6" i="5"/>
  <c r="S6" i="5"/>
  <c r="T6" i="5"/>
  <c r="V6" i="5" s="1"/>
  <c r="Q7" i="5"/>
  <c r="R7" i="5"/>
  <c r="S7" i="5"/>
  <c r="T7" i="5"/>
  <c r="U7" i="5"/>
  <c r="V7" i="5"/>
  <c r="Q8" i="5"/>
  <c r="R8" i="5"/>
  <c r="S8" i="5"/>
  <c r="T8" i="5"/>
  <c r="U8" i="5"/>
  <c r="V8" i="5"/>
  <c r="Q9" i="5"/>
  <c r="U9" i="5" s="1"/>
  <c r="R9" i="5"/>
  <c r="S9" i="5"/>
  <c r="Q10" i="5"/>
  <c r="R10" i="5"/>
  <c r="S10" i="5"/>
  <c r="T10" i="5"/>
  <c r="U10" i="5"/>
  <c r="V10" i="5"/>
  <c r="Q11" i="5"/>
  <c r="R11" i="5"/>
  <c r="S11" i="5"/>
  <c r="T11" i="5"/>
  <c r="U11" i="5"/>
  <c r="V11" i="5"/>
  <c r="Q12" i="5"/>
  <c r="R12" i="5"/>
  <c r="S12" i="5"/>
  <c r="T12" i="5"/>
  <c r="U12" i="5"/>
  <c r="V12" i="5"/>
  <c r="Q13" i="5"/>
  <c r="R13" i="5"/>
  <c r="S13" i="5"/>
  <c r="T13" i="5"/>
  <c r="U13" i="5"/>
  <c r="V13" i="5"/>
  <c r="Q14" i="5"/>
  <c r="U14" i="5" s="1"/>
  <c r="R14" i="5"/>
  <c r="S14" i="5"/>
  <c r="T14" i="5"/>
  <c r="V14" i="5" s="1"/>
  <c r="Q15" i="5"/>
  <c r="R15" i="5"/>
  <c r="S15" i="5"/>
  <c r="T15" i="5"/>
  <c r="U15" i="5"/>
  <c r="V15" i="5"/>
  <c r="Q16" i="5"/>
  <c r="R16" i="5"/>
  <c r="S16" i="5"/>
  <c r="T16" i="5"/>
  <c r="U16" i="5"/>
  <c r="V16" i="5"/>
  <c r="Q17" i="5"/>
  <c r="T17" i="5" s="1"/>
  <c r="R17" i="5"/>
  <c r="S17" i="5"/>
  <c r="Q18" i="5"/>
  <c r="R18" i="5"/>
  <c r="S18" i="5"/>
  <c r="T18" i="5"/>
  <c r="U18" i="5"/>
  <c r="V18" i="5"/>
  <c r="S3" i="20"/>
  <c r="R3" i="20"/>
  <c r="Z3" i="20" s="1"/>
  <c r="Q3" i="20"/>
  <c r="X3" i="20" s="1"/>
  <c r="S3" i="8"/>
  <c r="R3" i="8"/>
  <c r="Q3" i="8"/>
  <c r="S3" i="5"/>
  <c r="R3" i="5"/>
  <c r="Q3" i="5"/>
  <c r="AF3" i="2"/>
  <c r="AE3" i="2"/>
  <c r="AD3" i="2"/>
  <c r="AC3" i="2"/>
  <c r="AB3" i="2"/>
  <c r="AA3" i="2"/>
  <c r="Z3" i="2"/>
  <c r="Y3" i="2"/>
  <c r="X3" i="2"/>
  <c r="W3" i="2"/>
  <c r="Q4" i="2"/>
  <c r="R4" i="2"/>
  <c r="S4" i="2"/>
  <c r="T4" i="2"/>
  <c r="U4" i="2"/>
  <c r="V4" i="2"/>
  <c r="Q5" i="2"/>
  <c r="R5" i="2"/>
  <c r="S5" i="2"/>
  <c r="T5" i="2"/>
  <c r="U5" i="2"/>
  <c r="V5" i="2"/>
  <c r="Q6" i="2"/>
  <c r="U6" i="2" s="1"/>
  <c r="R6" i="2"/>
  <c r="S6" i="2"/>
  <c r="T6" i="2"/>
  <c r="V6" i="2" s="1"/>
  <c r="Q7" i="2"/>
  <c r="R7" i="2"/>
  <c r="S7" i="2"/>
  <c r="T7" i="2"/>
  <c r="U7" i="2"/>
  <c r="V7" i="2"/>
  <c r="Q8" i="2"/>
  <c r="R8" i="2"/>
  <c r="S8" i="2"/>
  <c r="T8" i="2"/>
  <c r="U8" i="2"/>
  <c r="V8" i="2"/>
  <c r="Q9" i="2"/>
  <c r="T9" i="2" s="1"/>
  <c r="R9" i="2"/>
  <c r="S9" i="2"/>
  <c r="Q10" i="2"/>
  <c r="R10" i="2"/>
  <c r="S10" i="2"/>
  <c r="T10" i="2"/>
  <c r="U10" i="2"/>
  <c r="V10" i="2"/>
  <c r="Q11" i="2"/>
  <c r="R11" i="2"/>
  <c r="S11" i="2"/>
  <c r="T11" i="2"/>
  <c r="U11" i="2"/>
  <c r="V11" i="2"/>
  <c r="Q12" i="2"/>
  <c r="R12" i="2"/>
  <c r="S12" i="2"/>
  <c r="T12" i="2"/>
  <c r="U12" i="2"/>
  <c r="V12" i="2"/>
  <c r="Q13" i="2"/>
  <c r="R13" i="2"/>
  <c r="S13" i="2"/>
  <c r="T13" i="2"/>
  <c r="U13" i="2"/>
  <c r="V13" i="2"/>
  <c r="Q14" i="2"/>
  <c r="U14" i="2" s="1"/>
  <c r="R14" i="2"/>
  <c r="S14" i="2"/>
  <c r="T14" i="2"/>
  <c r="V14" i="2" s="1"/>
  <c r="Q15" i="2"/>
  <c r="R15" i="2"/>
  <c r="S15" i="2"/>
  <c r="T15" i="2"/>
  <c r="U15" i="2"/>
  <c r="V15" i="2"/>
  <c r="Q16" i="2"/>
  <c r="R16" i="2"/>
  <c r="S16" i="2"/>
  <c r="T16" i="2"/>
  <c r="U16" i="2"/>
  <c r="V16" i="2"/>
  <c r="Q17" i="2"/>
  <c r="T17" i="2" s="1"/>
  <c r="R17" i="2"/>
  <c r="S17" i="2"/>
  <c r="S3" i="2"/>
  <c r="R3" i="2"/>
  <c r="Q3" i="2"/>
  <c r="AB3" i="20" l="1"/>
  <c r="X3" i="8"/>
  <c r="Z3" i="8"/>
  <c r="AB3" i="8"/>
  <c r="U9" i="8"/>
  <c r="V9" i="8" s="1"/>
  <c r="X3" i="5"/>
  <c r="T9" i="5"/>
  <c r="V9" i="5" s="1"/>
  <c r="U17" i="5"/>
  <c r="V17" i="5" s="1"/>
  <c r="Z3" i="5"/>
  <c r="AB3" i="5"/>
  <c r="T3" i="20"/>
  <c r="U3" i="20"/>
  <c r="W3" i="20"/>
  <c r="Y3" i="20"/>
  <c r="AA3" i="20"/>
  <c r="T3" i="8"/>
  <c r="U3" i="8"/>
  <c r="W3" i="8"/>
  <c r="Y3" i="8"/>
  <c r="AA3" i="8"/>
  <c r="T3" i="5"/>
  <c r="U3" i="5"/>
  <c r="W3" i="5"/>
  <c r="Y3" i="5"/>
  <c r="AA3" i="5"/>
  <c r="U17" i="2"/>
  <c r="V17" i="2" s="1"/>
  <c r="U9" i="2"/>
  <c r="V9" i="2" s="1"/>
  <c r="U3" i="2"/>
  <c r="T3" i="2"/>
  <c r="AD3" i="20" l="1"/>
  <c r="AC3" i="20"/>
  <c r="V3" i="20"/>
  <c r="AD3" i="8"/>
  <c r="AC3" i="8"/>
  <c r="V3" i="8"/>
  <c r="AD3" i="5"/>
  <c r="AC3" i="5"/>
  <c r="V3" i="5"/>
  <c r="V3" i="2"/>
  <c r="AF3" i="20" l="1"/>
  <c r="AE3" i="20"/>
  <c r="AF3" i="8"/>
  <c r="AE3" i="8"/>
  <c r="AF3" i="5"/>
  <c r="AE3" i="5"/>
</calcChain>
</file>

<file path=xl/sharedStrings.xml><?xml version="1.0" encoding="utf-8"?>
<sst xmlns="http://schemas.openxmlformats.org/spreadsheetml/2006/main" count="89" uniqueCount="30">
  <si>
    <t>Dati originali</t>
  </si>
  <si>
    <t>ERR</t>
  </si>
  <si>
    <t>STD</t>
  </si>
  <si>
    <t>NOAUG</t>
  </si>
  <si>
    <t>ERR0</t>
  </si>
  <si>
    <t>STD0</t>
  </si>
  <si>
    <t>ERR1</t>
  </si>
  <si>
    <t>STD1</t>
  </si>
  <si>
    <t>ERR2</t>
  </si>
  <si>
    <t>STD2</t>
  </si>
  <si>
    <t>COPIO LE COSE QUI</t>
  </si>
  <si>
    <t>CIC_i</t>
  </si>
  <si>
    <t>ERR_i</t>
  </si>
  <si>
    <t>ERR_STD</t>
  </si>
  <si>
    <t>MIN_ERR_i</t>
  </si>
  <si>
    <t>CIC</t>
  </si>
  <si>
    <t>CIC_STD</t>
  </si>
  <si>
    <t>g=0.1</t>
  </si>
  <si>
    <t>c0</t>
  </si>
  <si>
    <t>c1</t>
  </si>
  <si>
    <t>c2</t>
  </si>
  <si>
    <t>ERR_0_i</t>
  </si>
  <si>
    <t>ERR_1_i</t>
  </si>
  <si>
    <t>ERR_2_i</t>
  </si>
  <si>
    <t>ERR0_STD</t>
  </si>
  <si>
    <t>ERR1_STD</t>
  </si>
  <si>
    <t>ERR2_STD</t>
  </si>
  <si>
    <t>DIFF</t>
  </si>
  <si>
    <t>ONLYMIN</t>
  </si>
  <si>
    <t>ERRO0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</si>
</sst>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7" sqref="C7:L7"/>
    </sheetView>
  </sheetViews>
  <sheetFormatPr defaultRowHeight="14.4" x14ac:dyDescent="0.3"/>
  <sheetData>
    <row r="1" spans="1:12" x14ac:dyDescent="0.3"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</v>
      </c>
      <c r="J1" t="s">
        <v>13</v>
      </c>
      <c r="K1" t="s">
        <v>15</v>
      </c>
      <c r="L1" t="s">
        <v>16</v>
      </c>
    </row>
    <row r="3" spans="1:12" x14ac:dyDescent="0.3">
      <c r="A3" t="s">
        <v>3</v>
      </c>
      <c r="C3">
        <v>34.233333333333334</v>
      </c>
      <c r="D3">
        <v>4.7316059893122233</v>
      </c>
      <c r="E3">
        <v>31.3</v>
      </c>
      <c r="F3">
        <v>4.4231533677101549</v>
      </c>
      <c r="G3">
        <v>12.333333333333334</v>
      </c>
      <c r="H3">
        <v>2.2334044054078626</v>
      </c>
      <c r="I3">
        <v>25.955555555555563</v>
      </c>
      <c r="J3">
        <v>2.6431002319206196</v>
      </c>
      <c r="K3">
        <v>13.622222222222218</v>
      </c>
      <c r="L3">
        <v>2.345602662825041</v>
      </c>
    </row>
    <row r="4" spans="1:12" x14ac:dyDescent="0.3">
      <c r="A4" t="s">
        <v>2</v>
      </c>
      <c r="C4">
        <v>32.833333333333336</v>
      </c>
      <c r="D4">
        <v>3.9218557317872396</v>
      </c>
      <c r="E4">
        <v>30.966666666666665</v>
      </c>
      <c r="F4">
        <v>3.4972778529811439</v>
      </c>
      <c r="G4">
        <v>10.833333333333334</v>
      </c>
      <c r="H4">
        <v>2.9378482569650148</v>
      </c>
      <c r="I4">
        <v>24.877777777777776</v>
      </c>
      <c r="J4">
        <v>2.5130348018568931</v>
      </c>
      <c r="K4">
        <v>14.044444444444446</v>
      </c>
      <c r="L4">
        <v>2.1661782111192989</v>
      </c>
    </row>
    <row r="5" spans="1:12" x14ac:dyDescent="0.3">
      <c r="A5" t="s">
        <v>27</v>
      </c>
      <c r="C5">
        <v>28.571428571428573</v>
      </c>
      <c r="D5">
        <v>3.1547394428670152</v>
      </c>
      <c r="E5">
        <v>27.5</v>
      </c>
      <c r="F5">
        <v>4.5460605656619517</v>
      </c>
      <c r="G5">
        <v>9.4285714285714288</v>
      </c>
      <c r="H5">
        <v>1.9023794624226815</v>
      </c>
      <c r="I5">
        <v>21.833333333333332</v>
      </c>
      <c r="J5">
        <v>2.52945609729607</v>
      </c>
      <c r="K5">
        <v>12.404761904761907</v>
      </c>
      <c r="L5">
        <v>2.0042943314782344</v>
      </c>
    </row>
    <row r="6" spans="1:12" x14ac:dyDescent="0.3">
      <c r="A6" t="s">
        <v>27</v>
      </c>
    </row>
    <row r="7" spans="1:12" x14ac:dyDescent="0.3">
      <c r="B7" t="s">
        <v>28</v>
      </c>
      <c r="C7">
        <v>30.75</v>
      </c>
      <c r="D7">
        <v>2.7156951228000539</v>
      </c>
      <c r="E7">
        <v>29.166666666666668</v>
      </c>
      <c r="F7">
        <v>3.6009258068816976</v>
      </c>
      <c r="G7">
        <v>9.1666666666666661</v>
      </c>
      <c r="H7">
        <v>1.9916492328386197</v>
      </c>
      <c r="I7">
        <v>23.027777777777775</v>
      </c>
      <c r="J7">
        <v>1.6713822179616842</v>
      </c>
      <c r="K7">
        <v>13.861111111111109</v>
      </c>
      <c r="L7">
        <v>1.0023121418149286</v>
      </c>
    </row>
    <row r="8" spans="1:12" ht="15.6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F3E4-2BE7-409E-B00B-8F78502D7FC2}">
  <dimension ref="B2:AF8"/>
  <sheetViews>
    <sheetView topLeftCell="K1" workbookViewId="0">
      <selection activeCell="W3" sqref="W3:AF3"/>
    </sheetView>
  </sheetViews>
  <sheetFormatPr defaultRowHeight="14.4" x14ac:dyDescent="0.3"/>
  <sheetData>
    <row r="2" spans="2:32" x14ac:dyDescent="0.3">
      <c r="Q2" t="s">
        <v>21</v>
      </c>
      <c r="R2" t="s">
        <v>22</v>
      </c>
      <c r="S2" t="s">
        <v>23</v>
      </c>
      <c r="T2" t="s">
        <v>12</v>
      </c>
      <c r="U2" t="s">
        <v>14</v>
      </c>
      <c r="V2" t="s">
        <v>11</v>
      </c>
      <c r="W2" t="s">
        <v>29</v>
      </c>
      <c r="X2" t="s">
        <v>24</v>
      </c>
      <c r="Y2" t="s">
        <v>6</v>
      </c>
      <c r="Z2" t="s">
        <v>25</v>
      </c>
      <c r="AA2" t="s">
        <v>8</v>
      </c>
      <c r="AB2" t="s">
        <v>26</v>
      </c>
      <c r="AC2" t="s">
        <v>1</v>
      </c>
      <c r="AD2" t="s">
        <v>13</v>
      </c>
      <c r="AE2" t="s">
        <v>15</v>
      </c>
      <c r="AF2" t="s">
        <v>16</v>
      </c>
    </row>
    <row r="3" spans="2:32" x14ac:dyDescent="0.3">
      <c r="B3">
        <v>76</v>
      </c>
      <c r="C3">
        <v>24</v>
      </c>
      <c r="D3">
        <v>35</v>
      </c>
      <c r="E3">
        <v>65</v>
      </c>
      <c r="G3">
        <v>73</v>
      </c>
      <c r="H3">
        <v>27</v>
      </c>
      <c r="I3">
        <v>42</v>
      </c>
      <c r="J3">
        <v>58</v>
      </c>
      <c r="L3">
        <v>94</v>
      </c>
      <c r="M3">
        <v>6</v>
      </c>
      <c r="N3">
        <v>13</v>
      </c>
      <c r="O3">
        <v>87</v>
      </c>
      <c r="Q3">
        <f>AVERAGE(C3:D3)</f>
        <v>29.5</v>
      </c>
      <c r="R3">
        <f>AVERAGE(H3:I3)</f>
        <v>34.5</v>
      </c>
      <c r="S3">
        <f>AVERAGE(M3:N3)</f>
        <v>9.5</v>
      </c>
      <c r="T3">
        <f>AVERAGE(Q3:S3)</f>
        <v>24.5</v>
      </c>
      <c r="U3">
        <f>MIN(Q3:S3)</f>
        <v>9.5</v>
      </c>
      <c r="V3">
        <f>T3-U3</f>
        <v>15</v>
      </c>
      <c r="W3">
        <f>AVERAGE(Q3:Q17)</f>
        <v>30.75</v>
      </c>
      <c r="X3">
        <f>_xlfn.STDEV.S(Q3:Q17)</f>
        <v>2.7156951228000539</v>
      </c>
      <c r="Y3">
        <f>AVERAGE(R3:R17)</f>
        <v>29.166666666666668</v>
      </c>
      <c r="Z3">
        <f>_xlfn.STDEV.S(R3:R17)</f>
        <v>3.6009258068816976</v>
      </c>
      <c r="AA3">
        <f>AVERAGE(S3:S17)</f>
        <v>9.1666666666666661</v>
      </c>
      <c r="AB3">
        <f>_xlfn.STDEV.S(S3:S17)</f>
        <v>1.9916492328386197</v>
      </c>
      <c r="AC3">
        <f>AVERAGE(T3:T17)</f>
        <v>23.027777777777775</v>
      </c>
      <c r="AD3">
        <f>_xlfn.STDEV.S(T3:T17)</f>
        <v>1.6713822179616842</v>
      </c>
      <c r="AE3">
        <f>AVERAGE(V3:V17)</f>
        <v>13.861111111111109</v>
      </c>
      <c r="AF3">
        <f>_xlfn.STDEV.S(V3:V17)</f>
        <v>1.0023121418149286</v>
      </c>
    </row>
    <row r="4" spans="2:32" x14ac:dyDescent="0.3">
      <c r="B4">
        <v>76</v>
      </c>
      <c r="C4">
        <v>24</v>
      </c>
      <c r="D4">
        <v>38</v>
      </c>
      <c r="E4">
        <v>62</v>
      </c>
      <c r="G4">
        <v>92</v>
      </c>
      <c r="H4">
        <v>8</v>
      </c>
      <c r="I4">
        <v>42</v>
      </c>
      <c r="J4">
        <v>58</v>
      </c>
      <c r="L4">
        <v>95</v>
      </c>
      <c r="M4">
        <v>5</v>
      </c>
      <c r="N4">
        <v>8</v>
      </c>
      <c r="O4">
        <v>92</v>
      </c>
      <c r="Q4">
        <f t="shared" ref="Q4:Q8" si="0">AVERAGE(C4:D4)</f>
        <v>31</v>
      </c>
      <c r="R4">
        <f t="shared" ref="R4:R8" si="1">AVERAGE(H4:I4)</f>
        <v>25</v>
      </c>
      <c r="S4">
        <f t="shared" ref="S4:S8" si="2">AVERAGE(M4:N4)</f>
        <v>6.5</v>
      </c>
      <c r="T4">
        <f t="shared" ref="T4:T8" si="3">AVERAGE(Q4:S4)</f>
        <v>20.833333333333332</v>
      </c>
      <c r="U4">
        <f t="shared" ref="U4:U8" si="4">MIN(Q4:S4)</f>
        <v>6.5</v>
      </c>
      <c r="V4">
        <f t="shared" ref="V4:V8" si="5">T4-U4</f>
        <v>14.333333333333332</v>
      </c>
    </row>
    <row r="5" spans="2:32" x14ac:dyDescent="0.3">
      <c r="B5">
        <v>73</v>
      </c>
      <c r="C5">
        <v>27</v>
      </c>
      <c r="D5">
        <v>36</v>
      </c>
      <c r="E5">
        <v>64</v>
      </c>
      <c r="G5">
        <v>86</v>
      </c>
      <c r="H5">
        <v>14</v>
      </c>
      <c r="I5">
        <v>47</v>
      </c>
      <c r="J5">
        <v>53</v>
      </c>
      <c r="L5">
        <v>95</v>
      </c>
      <c r="M5">
        <v>5</v>
      </c>
      <c r="N5">
        <v>15</v>
      </c>
      <c r="O5">
        <v>85</v>
      </c>
      <c r="Q5">
        <f t="shared" si="0"/>
        <v>31.5</v>
      </c>
      <c r="R5">
        <f t="shared" si="1"/>
        <v>30.5</v>
      </c>
      <c r="S5">
        <f t="shared" si="2"/>
        <v>10</v>
      </c>
      <c r="T5">
        <f t="shared" si="3"/>
        <v>24</v>
      </c>
      <c r="U5">
        <f t="shared" si="4"/>
        <v>10</v>
      </c>
      <c r="V5">
        <f t="shared" si="5"/>
        <v>14</v>
      </c>
    </row>
    <row r="6" spans="2:32" x14ac:dyDescent="0.3">
      <c r="B6">
        <v>70</v>
      </c>
      <c r="C6">
        <v>30</v>
      </c>
      <c r="D6">
        <v>41</v>
      </c>
      <c r="E6">
        <v>59</v>
      </c>
      <c r="G6">
        <v>77</v>
      </c>
      <c r="H6">
        <v>23</v>
      </c>
      <c r="I6">
        <v>31</v>
      </c>
      <c r="J6">
        <v>69</v>
      </c>
      <c r="L6">
        <v>93</v>
      </c>
      <c r="M6">
        <v>7</v>
      </c>
      <c r="N6">
        <v>14</v>
      </c>
      <c r="O6">
        <v>86</v>
      </c>
      <c r="Q6">
        <f t="shared" si="0"/>
        <v>35.5</v>
      </c>
      <c r="R6">
        <f t="shared" si="1"/>
        <v>27</v>
      </c>
      <c r="S6">
        <f t="shared" si="2"/>
        <v>10.5</v>
      </c>
      <c r="T6">
        <f t="shared" si="3"/>
        <v>24.333333333333332</v>
      </c>
      <c r="U6">
        <f t="shared" si="4"/>
        <v>10.5</v>
      </c>
      <c r="V6">
        <f t="shared" si="5"/>
        <v>13.833333333333332</v>
      </c>
    </row>
    <row r="7" spans="2:32" x14ac:dyDescent="0.3">
      <c r="B7">
        <v>77</v>
      </c>
      <c r="C7">
        <v>23</v>
      </c>
      <c r="D7">
        <v>36</v>
      </c>
      <c r="E7">
        <v>64</v>
      </c>
      <c r="G7">
        <v>82</v>
      </c>
      <c r="H7">
        <v>18</v>
      </c>
      <c r="I7">
        <v>35</v>
      </c>
      <c r="J7">
        <v>65</v>
      </c>
      <c r="L7">
        <v>97</v>
      </c>
      <c r="M7">
        <v>3</v>
      </c>
      <c r="N7">
        <v>11</v>
      </c>
      <c r="O7">
        <v>89</v>
      </c>
      <c r="Q7">
        <f t="shared" si="0"/>
        <v>29.5</v>
      </c>
      <c r="R7">
        <f t="shared" si="1"/>
        <v>26.5</v>
      </c>
      <c r="S7">
        <f t="shared" si="2"/>
        <v>7</v>
      </c>
      <c r="T7">
        <f t="shared" si="3"/>
        <v>21</v>
      </c>
      <c r="U7">
        <f t="shared" si="4"/>
        <v>7</v>
      </c>
      <c r="V7">
        <f t="shared" si="5"/>
        <v>14</v>
      </c>
    </row>
    <row r="8" spans="2:32" x14ac:dyDescent="0.3">
      <c r="B8">
        <v>66</v>
      </c>
      <c r="C8">
        <v>34</v>
      </c>
      <c r="D8">
        <v>21</v>
      </c>
      <c r="E8">
        <v>79</v>
      </c>
      <c r="G8">
        <v>77</v>
      </c>
      <c r="H8">
        <v>23</v>
      </c>
      <c r="I8">
        <v>40</v>
      </c>
      <c r="J8">
        <v>60</v>
      </c>
      <c r="L8">
        <v>90</v>
      </c>
      <c r="M8">
        <v>10</v>
      </c>
      <c r="N8">
        <v>13</v>
      </c>
      <c r="O8">
        <v>87</v>
      </c>
      <c r="Q8">
        <f t="shared" si="0"/>
        <v>27.5</v>
      </c>
      <c r="R8">
        <f t="shared" si="1"/>
        <v>31.5</v>
      </c>
      <c r="S8">
        <f t="shared" si="2"/>
        <v>11.5</v>
      </c>
      <c r="T8">
        <f t="shared" si="3"/>
        <v>23.5</v>
      </c>
      <c r="U8">
        <f t="shared" si="4"/>
        <v>11.5</v>
      </c>
      <c r="V8">
        <f t="shared" si="5"/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9"/>
  <sheetViews>
    <sheetView topLeftCell="L1" workbookViewId="0">
      <selection activeCell="W3" sqref="W3:AF3"/>
    </sheetView>
  </sheetViews>
  <sheetFormatPr defaultRowHeight="14.4" x14ac:dyDescent="0.3"/>
  <sheetData>
    <row r="2" spans="1:32" x14ac:dyDescent="0.3">
      <c r="A2" t="s">
        <v>18</v>
      </c>
      <c r="F2" t="s">
        <v>19</v>
      </c>
      <c r="K2" t="s">
        <v>20</v>
      </c>
      <c r="Q2" t="s">
        <v>21</v>
      </c>
      <c r="R2" t="s">
        <v>22</v>
      </c>
      <c r="S2" t="s">
        <v>23</v>
      </c>
      <c r="T2" t="s">
        <v>12</v>
      </c>
      <c r="U2" t="s">
        <v>14</v>
      </c>
      <c r="V2" t="s">
        <v>11</v>
      </c>
      <c r="W2" t="s">
        <v>29</v>
      </c>
      <c r="X2" t="s">
        <v>24</v>
      </c>
      <c r="Y2" t="s">
        <v>6</v>
      </c>
      <c r="Z2" t="s">
        <v>25</v>
      </c>
      <c r="AA2" t="s">
        <v>8</v>
      </c>
      <c r="AB2" t="s">
        <v>26</v>
      </c>
      <c r="AC2" t="s">
        <v>1</v>
      </c>
      <c r="AD2" t="s">
        <v>13</v>
      </c>
      <c r="AE2" t="s">
        <v>15</v>
      </c>
      <c r="AF2" t="s">
        <v>16</v>
      </c>
    </row>
    <row r="3" spans="1:32" x14ac:dyDescent="0.3">
      <c r="B3">
        <v>72</v>
      </c>
      <c r="C3">
        <v>28</v>
      </c>
      <c r="D3">
        <v>20</v>
      </c>
      <c r="E3">
        <v>80</v>
      </c>
      <c r="G3">
        <v>85</v>
      </c>
      <c r="H3">
        <v>15</v>
      </c>
      <c r="I3">
        <v>32</v>
      </c>
      <c r="J3">
        <v>68</v>
      </c>
      <c r="L3">
        <v>86</v>
      </c>
      <c r="M3">
        <v>14</v>
      </c>
      <c r="N3">
        <v>7</v>
      </c>
      <c r="O3">
        <v>93</v>
      </c>
      <c r="Q3">
        <f>AVERAGE(C3:D3)</f>
        <v>24</v>
      </c>
      <c r="R3">
        <f>AVERAGE(H3:I3)</f>
        <v>23.5</v>
      </c>
      <c r="S3">
        <f>AVERAGE(M3:N3)</f>
        <v>10.5</v>
      </c>
      <c r="T3">
        <f>AVERAGE(Q3:S3)</f>
        <v>19.333333333333332</v>
      </c>
      <c r="U3">
        <f>MIN(Q3:S3)</f>
        <v>10.5</v>
      </c>
      <c r="V3">
        <f>T3-U3</f>
        <v>8.8333333333333321</v>
      </c>
      <c r="W3">
        <f>AVERAGE(Q3:Q17)</f>
        <v>28.571428571428573</v>
      </c>
      <c r="X3">
        <f>_xlfn.STDEV.S(Q3:Q17)</f>
        <v>3.1547394428670152</v>
      </c>
      <c r="Y3">
        <f>AVERAGE(R3:R17)</f>
        <v>27.5</v>
      </c>
      <c r="Z3">
        <f>_xlfn.STDEV.S(R3:R17)</f>
        <v>4.5460605656619517</v>
      </c>
      <c r="AA3">
        <f>AVERAGE(S3:S17)</f>
        <v>9.4285714285714288</v>
      </c>
      <c r="AB3">
        <f>_xlfn.STDEV.S(S3:S17)</f>
        <v>1.9023794624226815</v>
      </c>
      <c r="AC3">
        <f>AVERAGE(T3:T17)</f>
        <v>21.833333333333332</v>
      </c>
      <c r="AD3">
        <f>_xlfn.STDEV.S(T3:T17)</f>
        <v>2.52945609729607</v>
      </c>
      <c r="AE3">
        <f>AVERAGE(V3:V17)</f>
        <v>12.404761904761907</v>
      </c>
      <c r="AF3">
        <f>_xlfn.STDEV.S(V3:V17)</f>
        <v>2.0042943314782344</v>
      </c>
    </row>
    <row r="4" spans="1:32" x14ac:dyDescent="0.3">
      <c r="B4">
        <v>70</v>
      </c>
      <c r="C4">
        <v>30</v>
      </c>
      <c r="D4">
        <v>23</v>
      </c>
      <c r="E4">
        <v>77</v>
      </c>
      <c r="G4">
        <v>72</v>
      </c>
      <c r="H4">
        <v>28</v>
      </c>
      <c r="I4">
        <v>24</v>
      </c>
      <c r="J4">
        <v>76</v>
      </c>
      <c r="L4">
        <v>93</v>
      </c>
      <c r="M4">
        <v>7</v>
      </c>
      <c r="N4">
        <v>8</v>
      </c>
      <c r="O4">
        <v>92</v>
      </c>
      <c r="Q4">
        <f t="shared" ref="Q4:Q9" si="0">AVERAGE(C4:D4)</f>
        <v>26.5</v>
      </c>
      <c r="R4">
        <f t="shared" ref="R4:R9" si="1">AVERAGE(H4:I4)</f>
        <v>26</v>
      </c>
      <c r="S4">
        <f t="shared" ref="S4:S9" si="2">AVERAGE(M4:N4)</f>
        <v>7.5</v>
      </c>
      <c r="T4">
        <f t="shared" ref="T4:T9" si="3">AVERAGE(Q4:S4)</f>
        <v>20</v>
      </c>
      <c r="U4">
        <f t="shared" ref="U4:U9" si="4">MIN(Q4:S4)</f>
        <v>7.5</v>
      </c>
      <c r="V4">
        <f t="shared" ref="V4:V9" si="5">T4-U4</f>
        <v>12.5</v>
      </c>
    </row>
    <row r="5" spans="1:32" x14ac:dyDescent="0.3">
      <c r="B5">
        <v>73</v>
      </c>
      <c r="C5">
        <v>27</v>
      </c>
      <c r="D5">
        <v>34</v>
      </c>
      <c r="E5">
        <v>66</v>
      </c>
      <c r="G5">
        <v>89</v>
      </c>
      <c r="H5">
        <v>11</v>
      </c>
      <c r="I5">
        <v>37</v>
      </c>
      <c r="J5">
        <v>63</v>
      </c>
      <c r="L5">
        <v>93</v>
      </c>
      <c r="M5">
        <v>7</v>
      </c>
      <c r="N5">
        <v>8</v>
      </c>
      <c r="O5">
        <v>92</v>
      </c>
      <c r="Q5">
        <f t="shared" si="0"/>
        <v>30.5</v>
      </c>
      <c r="R5">
        <f t="shared" si="1"/>
        <v>24</v>
      </c>
      <c r="S5">
        <f t="shared" si="2"/>
        <v>7.5</v>
      </c>
      <c r="T5">
        <f t="shared" si="3"/>
        <v>20.666666666666668</v>
      </c>
      <c r="U5">
        <f t="shared" si="4"/>
        <v>7.5</v>
      </c>
      <c r="V5">
        <f t="shared" si="5"/>
        <v>13.166666666666668</v>
      </c>
    </row>
    <row r="6" spans="1:32" x14ac:dyDescent="0.3">
      <c r="B6">
        <v>80</v>
      </c>
      <c r="C6">
        <v>20</v>
      </c>
      <c r="D6">
        <v>34</v>
      </c>
      <c r="E6">
        <v>66</v>
      </c>
      <c r="G6">
        <v>88</v>
      </c>
      <c r="H6">
        <v>12</v>
      </c>
      <c r="I6">
        <v>35</v>
      </c>
      <c r="J6">
        <v>65</v>
      </c>
      <c r="L6">
        <v>94</v>
      </c>
      <c r="M6">
        <v>6</v>
      </c>
      <c r="N6">
        <v>12</v>
      </c>
      <c r="O6">
        <v>88</v>
      </c>
      <c r="Q6">
        <f t="shared" si="0"/>
        <v>27</v>
      </c>
      <c r="R6">
        <f t="shared" si="1"/>
        <v>23.5</v>
      </c>
      <c r="S6">
        <f t="shared" si="2"/>
        <v>9</v>
      </c>
      <c r="T6">
        <f t="shared" si="3"/>
        <v>19.833333333333332</v>
      </c>
      <c r="U6">
        <f t="shared" si="4"/>
        <v>9</v>
      </c>
      <c r="V6">
        <f t="shared" si="5"/>
        <v>10.833333333333332</v>
      </c>
    </row>
    <row r="7" spans="1:32" x14ac:dyDescent="0.3">
      <c r="B7">
        <v>68</v>
      </c>
      <c r="C7">
        <v>32</v>
      </c>
      <c r="D7">
        <v>29</v>
      </c>
      <c r="E7">
        <v>71</v>
      </c>
      <c r="G7">
        <v>74</v>
      </c>
      <c r="H7">
        <v>26</v>
      </c>
      <c r="I7">
        <v>44</v>
      </c>
      <c r="J7">
        <v>56</v>
      </c>
      <c r="L7">
        <v>94</v>
      </c>
      <c r="M7">
        <v>6</v>
      </c>
      <c r="N7">
        <v>17</v>
      </c>
      <c r="O7">
        <v>83</v>
      </c>
      <c r="Q7">
        <f t="shared" si="0"/>
        <v>30.5</v>
      </c>
      <c r="R7">
        <f t="shared" si="1"/>
        <v>35</v>
      </c>
      <c r="S7">
        <f t="shared" si="2"/>
        <v>11.5</v>
      </c>
      <c r="T7">
        <f t="shared" si="3"/>
        <v>25.666666666666668</v>
      </c>
      <c r="U7">
        <f t="shared" si="4"/>
        <v>11.5</v>
      </c>
      <c r="V7">
        <f t="shared" si="5"/>
        <v>14.166666666666668</v>
      </c>
    </row>
    <row r="8" spans="1:32" x14ac:dyDescent="0.3">
      <c r="B8">
        <v>68</v>
      </c>
      <c r="C8">
        <v>32</v>
      </c>
      <c r="D8">
        <v>24</v>
      </c>
      <c r="E8">
        <v>76</v>
      </c>
      <c r="G8">
        <v>75</v>
      </c>
      <c r="H8">
        <v>25</v>
      </c>
      <c r="I8">
        <v>39</v>
      </c>
      <c r="J8">
        <v>61</v>
      </c>
      <c r="L8">
        <v>90</v>
      </c>
      <c r="M8">
        <v>10</v>
      </c>
      <c r="N8">
        <v>6</v>
      </c>
      <c r="O8">
        <v>94</v>
      </c>
      <c r="Q8">
        <f t="shared" si="0"/>
        <v>28</v>
      </c>
      <c r="R8">
        <f t="shared" si="1"/>
        <v>32</v>
      </c>
      <c r="S8">
        <f t="shared" si="2"/>
        <v>8</v>
      </c>
      <c r="T8">
        <f t="shared" si="3"/>
        <v>22.666666666666668</v>
      </c>
      <c r="U8">
        <f t="shared" si="4"/>
        <v>8</v>
      </c>
      <c r="V8">
        <f t="shared" si="5"/>
        <v>14.666666666666668</v>
      </c>
    </row>
    <row r="9" spans="1:32" x14ac:dyDescent="0.3">
      <c r="B9">
        <v>54</v>
      </c>
      <c r="C9">
        <v>46</v>
      </c>
      <c r="D9">
        <v>21</v>
      </c>
      <c r="E9">
        <v>79</v>
      </c>
      <c r="G9">
        <v>75</v>
      </c>
      <c r="H9">
        <v>25</v>
      </c>
      <c r="I9">
        <v>32</v>
      </c>
      <c r="J9">
        <v>68</v>
      </c>
      <c r="L9">
        <v>90</v>
      </c>
      <c r="M9">
        <v>10</v>
      </c>
      <c r="N9">
        <v>14</v>
      </c>
      <c r="O9">
        <v>86</v>
      </c>
      <c r="Q9">
        <f t="shared" si="0"/>
        <v>33.5</v>
      </c>
      <c r="R9">
        <f t="shared" si="1"/>
        <v>28.5</v>
      </c>
      <c r="S9">
        <f t="shared" si="2"/>
        <v>12</v>
      </c>
      <c r="T9">
        <f t="shared" si="3"/>
        <v>24.666666666666668</v>
      </c>
      <c r="U9">
        <f t="shared" si="4"/>
        <v>12</v>
      </c>
      <c r="V9">
        <f t="shared" si="5"/>
        <v>12.666666666666668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F18"/>
  <sheetViews>
    <sheetView topLeftCell="K1" workbookViewId="0">
      <selection activeCell="W3" sqref="W3:AF3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32" x14ac:dyDescent="0.3">
      <c r="A1" t="s">
        <v>17</v>
      </c>
    </row>
    <row r="2" spans="1:32" x14ac:dyDescent="0.3">
      <c r="A2" t="s">
        <v>18</v>
      </c>
      <c r="F2" t="s">
        <v>19</v>
      </c>
      <c r="K2" t="s">
        <v>20</v>
      </c>
      <c r="Q2" t="s">
        <v>21</v>
      </c>
      <c r="R2" t="s">
        <v>22</v>
      </c>
      <c r="S2" t="s">
        <v>23</v>
      </c>
      <c r="T2" t="s">
        <v>12</v>
      </c>
      <c r="U2" t="s">
        <v>14</v>
      </c>
      <c r="V2" t="s">
        <v>11</v>
      </c>
      <c r="W2" t="s">
        <v>29</v>
      </c>
      <c r="X2" t="s">
        <v>24</v>
      </c>
      <c r="Y2" t="s">
        <v>6</v>
      </c>
      <c r="Z2" t="s">
        <v>25</v>
      </c>
      <c r="AA2" t="s">
        <v>8</v>
      </c>
      <c r="AB2" t="s">
        <v>26</v>
      </c>
      <c r="AC2" t="s">
        <v>1</v>
      </c>
      <c r="AD2" t="s">
        <v>13</v>
      </c>
      <c r="AE2" t="s">
        <v>15</v>
      </c>
      <c r="AF2" t="s">
        <v>16</v>
      </c>
    </row>
    <row r="3" spans="1:32" x14ac:dyDescent="0.3">
      <c r="B3">
        <v>76</v>
      </c>
      <c r="C3">
        <v>24</v>
      </c>
      <c r="D3">
        <v>28</v>
      </c>
      <c r="E3">
        <v>72</v>
      </c>
      <c r="G3">
        <v>91</v>
      </c>
      <c r="H3">
        <v>9</v>
      </c>
      <c r="I3">
        <v>39</v>
      </c>
      <c r="J3">
        <v>61</v>
      </c>
      <c r="L3">
        <v>97</v>
      </c>
      <c r="M3">
        <v>3</v>
      </c>
      <c r="N3">
        <v>8</v>
      </c>
      <c r="O3">
        <v>92</v>
      </c>
      <c r="Q3">
        <f>AVERAGE(C3:D3)</f>
        <v>26</v>
      </c>
      <c r="R3">
        <f>AVERAGE(H3:I3)</f>
        <v>24</v>
      </c>
      <c r="S3">
        <f>AVERAGE(M3:N3)</f>
        <v>5.5</v>
      </c>
      <c r="T3">
        <f>AVERAGE(Q3:S3)</f>
        <v>18.5</v>
      </c>
      <c r="U3">
        <f>MIN(Q3:S3)</f>
        <v>5.5</v>
      </c>
      <c r="V3">
        <f>T3-U3</f>
        <v>13</v>
      </c>
      <c r="W3">
        <f>AVERAGE(Q3:Q17)</f>
        <v>32.833333333333336</v>
      </c>
      <c r="X3">
        <f>_xlfn.STDEV.S(Q3:Q17)</f>
        <v>3.9218557317872396</v>
      </c>
      <c r="Y3">
        <f>AVERAGE(R3:R17)</f>
        <v>30.966666666666665</v>
      </c>
      <c r="Z3">
        <f>_xlfn.STDEV.S(R3:R17)</f>
        <v>3.4972778529811439</v>
      </c>
      <c r="AA3">
        <f>AVERAGE(S3:S17)</f>
        <v>10.833333333333334</v>
      </c>
      <c r="AB3">
        <f>_xlfn.STDEV.S(S3:S17)</f>
        <v>2.9378482569650148</v>
      </c>
      <c r="AC3">
        <f>AVERAGE(T3:T17)</f>
        <v>24.877777777777776</v>
      </c>
      <c r="AD3">
        <f>_xlfn.STDEV.S(T3:T17)</f>
        <v>2.5130348018568931</v>
      </c>
      <c r="AE3">
        <f>AVERAGE(V3:V17)</f>
        <v>14.044444444444446</v>
      </c>
      <c r="AF3">
        <f>_xlfn.STDEV.S(V3:V17)</f>
        <v>2.1661782111192989</v>
      </c>
    </row>
    <row r="4" spans="1:32" x14ac:dyDescent="0.3">
      <c r="B4">
        <v>73</v>
      </c>
      <c r="C4">
        <v>27</v>
      </c>
      <c r="D4">
        <v>39</v>
      </c>
      <c r="E4">
        <v>61</v>
      </c>
      <c r="G4">
        <v>76</v>
      </c>
      <c r="H4">
        <v>24</v>
      </c>
      <c r="I4">
        <v>41</v>
      </c>
      <c r="J4">
        <v>59</v>
      </c>
      <c r="L4">
        <v>92</v>
      </c>
      <c r="M4">
        <v>8</v>
      </c>
      <c r="N4">
        <v>18</v>
      </c>
      <c r="O4">
        <v>82</v>
      </c>
      <c r="Q4">
        <f t="shared" ref="Q4:Q18" si="0">AVERAGE(C4:D4)</f>
        <v>33</v>
      </c>
      <c r="R4">
        <f t="shared" ref="R4:R18" si="1">AVERAGE(H4:I4)</f>
        <v>32.5</v>
      </c>
      <c r="S4">
        <f t="shared" ref="S4:S18" si="2">AVERAGE(M4:N4)</f>
        <v>13</v>
      </c>
      <c r="T4">
        <f t="shared" ref="T4:T18" si="3">AVERAGE(Q4:S4)</f>
        <v>26.166666666666668</v>
      </c>
      <c r="U4">
        <f t="shared" ref="U4:U18" si="4">MIN(Q4:S4)</f>
        <v>13</v>
      </c>
      <c r="V4">
        <f t="shared" ref="V4:V18" si="5">T4-U4</f>
        <v>13.166666666666668</v>
      </c>
    </row>
    <row r="5" spans="1:32" x14ac:dyDescent="0.3">
      <c r="B5">
        <v>57</v>
      </c>
      <c r="C5">
        <v>43</v>
      </c>
      <c r="D5">
        <v>30</v>
      </c>
      <c r="E5">
        <v>70</v>
      </c>
      <c r="G5">
        <v>79</v>
      </c>
      <c r="H5">
        <v>21</v>
      </c>
      <c r="I5">
        <v>35</v>
      </c>
      <c r="J5">
        <v>65</v>
      </c>
      <c r="L5">
        <v>94</v>
      </c>
      <c r="M5">
        <v>6</v>
      </c>
      <c r="N5">
        <v>21</v>
      </c>
      <c r="O5">
        <v>79</v>
      </c>
      <c r="Q5">
        <f t="shared" si="0"/>
        <v>36.5</v>
      </c>
      <c r="R5">
        <f t="shared" si="1"/>
        <v>28</v>
      </c>
      <c r="S5">
        <f t="shared" si="2"/>
        <v>13.5</v>
      </c>
      <c r="T5">
        <f t="shared" si="3"/>
        <v>26</v>
      </c>
      <c r="U5">
        <f t="shared" si="4"/>
        <v>13.5</v>
      </c>
      <c r="V5">
        <f t="shared" si="5"/>
        <v>12.5</v>
      </c>
    </row>
    <row r="6" spans="1:32" x14ac:dyDescent="0.3">
      <c r="B6">
        <v>61</v>
      </c>
      <c r="C6">
        <v>39</v>
      </c>
      <c r="D6">
        <v>23</v>
      </c>
      <c r="E6">
        <v>77</v>
      </c>
      <c r="G6">
        <v>64</v>
      </c>
      <c r="H6">
        <v>36</v>
      </c>
      <c r="I6">
        <v>31</v>
      </c>
      <c r="J6">
        <v>69</v>
      </c>
      <c r="L6">
        <v>91</v>
      </c>
      <c r="M6">
        <v>9</v>
      </c>
      <c r="N6">
        <v>12</v>
      </c>
      <c r="O6">
        <v>88</v>
      </c>
      <c r="Q6">
        <f t="shared" si="0"/>
        <v>31</v>
      </c>
      <c r="R6">
        <f t="shared" si="1"/>
        <v>33.5</v>
      </c>
      <c r="S6">
        <f t="shared" si="2"/>
        <v>10.5</v>
      </c>
      <c r="T6">
        <f t="shared" si="3"/>
        <v>25</v>
      </c>
      <c r="U6">
        <f t="shared" si="4"/>
        <v>10.5</v>
      </c>
      <c r="V6">
        <f t="shared" si="5"/>
        <v>14.5</v>
      </c>
    </row>
    <row r="7" spans="1:32" x14ac:dyDescent="0.3">
      <c r="B7">
        <v>73</v>
      </c>
      <c r="C7">
        <v>27</v>
      </c>
      <c r="D7">
        <v>37</v>
      </c>
      <c r="E7">
        <v>63</v>
      </c>
      <c r="G7">
        <v>77</v>
      </c>
      <c r="H7">
        <v>23</v>
      </c>
      <c r="I7">
        <v>48</v>
      </c>
      <c r="J7">
        <v>52</v>
      </c>
      <c r="L7">
        <v>93</v>
      </c>
      <c r="M7">
        <v>7</v>
      </c>
      <c r="N7">
        <v>19</v>
      </c>
      <c r="O7">
        <v>81</v>
      </c>
      <c r="Q7">
        <f t="shared" si="0"/>
        <v>32</v>
      </c>
      <c r="R7">
        <f t="shared" si="1"/>
        <v>35.5</v>
      </c>
      <c r="S7">
        <f t="shared" si="2"/>
        <v>13</v>
      </c>
      <c r="T7">
        <f t="shared" si="3"/>
        <v>26.833333333333332</v>
      </c>
      <c r="U7">
        <f t="shared" si="4"/>
        <v>13</v>
      </c>
      <c r="V7">
        <f t="shared" si="5"/>
        <v>13.833333333333332</v>
      </c>
    </row>
    <row r="8" spans="1:32" x14ac:dyDescent="0.3">
      <c r="B8">
        <v>55</v>
      </c>
      <c r="C8">
        <v>45</v>
      </c>
      <c r="D8">
        <v>24</v>
      </c>
      <c r="E8">
        <v>76</v>
      </c>
      <c r="G8">
        <v>76</v>
      </c>
      <c r="H8">
        <v>24</v>
      </c>
      <c r="I8">
        <v>49</v>
      </c>
      <c r="J8">
        <v>51</v>
      </c>
      <c r="L8">
        <v>94</v>
      </c>
      <c r="M8">
        <v>6</v>
      </c>
      <c r="N8">
        <v>17</v>
      </c>
      <c r="O8">
        <v>83</v>
      </c>
      <c r="Q8">
        <f t="shared" si="0"/>
        <v>34.5</v>
      </c>
      <c r="R8">
        <f t="shared" si="1"/>
        <v>36.5</v>
      </c>
      <c r="S8">
        <f t="shared" si="2"/>
        <v>11.5</v>
      </c>
      <c r="T8">
        <f t="shared" si="3"/>
        <v>27.5</v>
      </c>
      <c r="U8">
        <f t="shared" si="4"/>
        <v>11.5</v>
      </c>
      <c r="V8">
        <f t="shared" si="5"/>
        <v>16</v>
      </c>
    </row>
    <row r="9" spans="1:32" x14ac:dyDescent="0.3">
      <c r="B9">
        <v>63</v>
      </c>
      <c r="C9">
        <v>37</v>
      </c>
      <c r="D9">
        <v>28</v>
      </c>
      <c r="E9">
        <v>72</v>
      </c>
      <c r="G9">
        <v>77</v>
      </c>
      <c r="H9">
        <v>23</v>
      </c>
      <c r="I9">
        <v>30</v>
      </c>
      <c r="J9">
        <v>70</v>
      </c>
      <c r="L9">
        <v>92</v>
      </c>
      <c r="M9">
        <v>8</v>
      </c>
      <c r="N9">
        <v>14</v>
      </c>
      <c r="O9">
        <v>86</v>
      </c>
      <c r="Q9">
        <f t="shared" si="0"/>
        <v>32.5</v>
      </c>
      <c r="R9">
        <f t="shared" si="1"/>
        <v>26.5</v>
      </c>
      <c r="S9">
        <f t="shared" si="2"/>
        <v>11</v>
      </c>
      <c r="T9">
        <f t="shared" si="3"/>
        <v>23.333333333333332</v>
      </c>
      <c r="U9">
        <f t="shared" si="4"/>
        <v>11</v>
      </c>
      <c r="V9">
        <f t="shared" si="5"/>
        <v>12.333333333333332</v>
      </c>
    </row>
    <row r="10" spans="1:32" x14ac:dyDescent="0.3">
      <c r="B10">
        <v>58</v>
      </c>
      <c r="C10">
        <v>42</v>
      </c>
      <c r="D10">
        <v>41</v>
      </c>
      <c r="E10">
        <v>59</v>
      </c>
      <c r="G10">
        <v>70</v>
      </c>
      <c r="H10">
        <v>30</v>
      </c>
      <c r="I10">
        <v>30</v>
      </c>
      <c r="J10">
        <v>70</v>
      </c>
      <c r="L10">
        <v>93</v>
      </c>
      <c r="M10">
        <v>7</v>
      </c>
      <c r="N10">
        <v>11</v>
      </c>
      <c r="O10">
        <v>89</v>
      </c>
      <c r="Q10">
        <f t="shared" si="0"/>
        <v>41.5</v>
      </c>
      <c r="R10">
        <f t="shared" si="1"/>
        <v>30</v>
      </c>
      <c r="S10">
        <f t="shared" si="2"/>
        <v>9</v>
      </c>
      <c r="T10">
        <f t="shared" si="3"/>
        <v>26.833333333333332</v>
      </c>
      <c r="U10">
        <f t="shared" si="4"/>
        <v>9</v>
      </c>
      <c r="V10">
        <f t="shared" si="5"/>
        <v>17.833333333333332</v>
      </c>
    </row>
    <row r="11" spans="1:32" x14ac:dyDescent="0.3">
      <c r="B11">
        <v>63</v>
      </c>
      <c r="C11">
        <v>37</v>
      </c>
      <c r="D11">
        <v>36</v>
      </c>
      <c r="E11">
        <v>64</v>
      </c>
      <c r="G11">
        <v>83</v>
      </c>
      <c r="H11">
        <v>17</v>
      </c>
      <c r="I11">
        <v>42</v>
      </c>
      <c r="J11">
        <v>58</v>
      </c>
      <c r="L11">
        <v>92</v>
      </c>
      <c r="M11">
        <v>8</v>
      </c>
      <c r="N11">
        <v>18</v>
      </c>
      <c r="O11">
        <v>82</v>
      </c>
      <c r="Q11">
        <f t="shared" si="0"/>
        <v>36.5</v>
      </c>
      <c r="R11">
        <f t="shared" si="1"/>
        <v>29.5</v>
      </c>
      <c r="S11">
        <f t="shared" si="2"/>
        <v>13</v>
      </c>
      <c r="T11">
        <f t="shared" si="3"/>
        <v>26.333333333333332</v>
      </c>
      <c r="U11">
        <f t="shared" si="4"/>
        <v>13</v>
      </c>
      <c r="V11">
        <f t="shared" si="5"/>
        <v>13.333333333333332</v>
      </c>
    </row>
    <row r="12" spans="1:32" x14ac:dyDescent="0.3">
      <c r="B12">
        <v>68</v>
      </c>
      <c r="C12">
        <v>32</v>
      </c>
      <c r="D12">
        <v>26</v>
      </c>
      <c r="E12">
        <v>74</v>
      </c>
      <c r="G12">
        <v>77</v>
      </c>
      <c r="H12">
        <v>23</v>
      </c>
      <c r="I12">
        <v>32</v>
      </c>
      <c r="J12">
        <v>68</v>
      </c>
      <c r="L12">
        <v>98</v>
      </c>
      <c r="M12">
        <v>2</v>
      </c>
      <c r="N12">
        <v>9</v>
      </c>
      <c r="O12">
        <v>91</v>
      </c>
      <c r="Q12">
        <f t="shared" si="0"/>
        <v>29</v>
      </c>
      <c r="R12">
        <f t="shared" si="1"/>
        <v>27.5</v>
      </c>
      <c r="S12">
        <f t="shared" si="2"/>
        <v>5.5</v>
      </c>
      <c r="T12">
        <f t="shared" si="3"/>
        <v>20.666666666666668</v>
      </c>
      <c r="U12">
        <f t="shared" si="4"/>
        <v>5.5</v>
      </c>
      <c r="V12">
        <f t="shared" si="5"/>
        <v>15.166666666666668</v>
      </c>
    </row>
    <row r="13" spans="1:32" x14ac:dyDescent="0.3">
      <c r="B13">
        <v>66</v>
      </c>
      <c r="C13">
        <v>34</v>
      </c>
      <c r="D13">
        <v>28</v>
      </c>
      <c r="E13">
        <v>72</v>
      </c>
      <c r="G13">
        <v>78</v>
      </c>
      <c r="H13">
        <v>22</v>
      </c>
      <c r="I13">
        <v>45</v>
      </c>
      <c r="J13">
        <v>55</v>
      </c>
      <c r="L13">
        <v>94</v>
      </c>
      <c r="M13">
        <v>6</v>
      </c>
      <c r="N13">
        <v>14</v>
      </c>
      <c r="O13">
        <v>86</v>
      </c>
      <c r="Q13">
        <f t="shared" si="0"/>
        <v>31</v>
      </c>
      <c r="R13">
        <f t="shared" si="1"/>
        <v>33.5</v>
      </c>
      <c r="S13">
        <f t="shared" si="2"/>
        <v>10</v>
      </c>
      <c r="T13">
        <f t="shared" si="3"/>
        <v>24.833333333333332</v>
      </c>
      <c r="U13">
        <f t="shared" si="4"/>
        <v>10</v>
      </c>
      <c r="V13">
        <f t="shared" si="5"/>
        <v>14.833333333333332</v>
      </c>
    </row>
    <row r="14" spans="1:32" x14ac:dyDescent="0.3">
      <c r="B14">
        <v>69</v>
      </c>
      <c r="C14">
        <v>31</v>
      </c>
      <c r="D14">
        <v>28</v>
      </c>
      <c r="E14">
        <v>72</v>
      </c>
      <c r="G14">
        <v>63</v>
      </c>
      <c r="H14">
        <v>37</v>
      </c>
      <c r="I14">
        <v>25</v>
      </c>
      <c r="J14">
        <v>75</v>
      </c>
      <c r="L14">
        <v>86</v>
      </c>
      <c r="M14">
        <v>14</v>
      </c>
      <c r="N14">
        <v>19</v>
      </c>
      <c r="O14">
        <v>81</v>
      </c>
      <c r="Q14">
        <f t="shared" si="0"/>
        <v>29.5</v>
      </c>
      <c r="R14">
        <f t="shared" si="1"/>
        <v>31</v>
      </c>
      <c r="S14">
        <f t="shared" si="2"/>
        <v>16.5</v>
      </c>
      <c r="T14">
        <f t="shared" si="3"/>
        <v>25.666666666666668</v>
      </c>
      <c r="U14">
        <f t="shared" si="4"/>
        <v>16.5</v>
      </c>
      <c r="V14">
        <f t="shared" si="5"/>
        <v>9.1666666666666679</v>
      </c>
    </row>
    <row r="15" spans="1:32" x14ac:dyDescent="0.3">
      <c r="B15">
        <v>58</v>
      </c>
      <c r="C15">
        <v>42</v>
      </c>
      <c r="D15">
        <v>33</v>
      </c>
      <c r="E15">
        <v>67</v>
      </c>
      <c r="G15">
        <v>77</v>
      </c>
      <c r="H15">
        <v>23</v>
      </c>
      <c r="I15">
        <v>45</v>
      </c>
      <c r="J15">
        <v>55</v>
      </c>
      <c r="L15">
        <v>89</v>
      </c>
      <c r="M15">
        <v>11</v>
      </c>
      <c r="N15">
        <v>10</v>
      </c>
      <c r="O15">
        <v>90</v>
      </c>
      <c r="Q15">
        <f t="shared" si="0"/>
        <v>37.5</v>
      </c>
      <c r="R15">
        <f t="shared" si="1"/>
        <v>34</v>
      </c>
      <c r="S15">
        <f t="shared" si="2"/>
        <v>10.5</v>
      </c>
      <c r="T15">
        <f t="shared" si="3"/>
        <v>27.333333333333332</v>
      </c>
      <c r="U15">
        <f t="shared" si="4"/>
        <v>10.5</v>
      </c>
      <c r="V15">
        <f t="shared" si="5"/>
        <v>16.833333333333332</v>
      </c>
    </row>
    <row r="16" spans="1:32" x14ac:dyDescent="0.3">
      <c r="B16">
        <v>64</v>
      </c>
      <c r="C16">
        <v>36</v>
      </c>
      <c r="D16">
        <v>24</v>
      </c>
      <c r="E16">
        <v>76</v>
      </c>
      <c r="G16">
        <v>72</v>
      </c>
      <c r="H16">
        <v>28</v>
      </c>
      <c r="I16">
        <v>32</v>
      </c>
      <c r="J16">
        <v>68</v>
      </c>
      <c r="L16">
        <v>92</v>
      </c>
      <c r="M16">
        <v>8</v>
      </c>
      <c r="N16">
        <v>15</v>
      </c>
      <c r="O16">
        <v>85</v>
      </c>
      <c r="Q16">
        <f t="shared" si="0"/>
        <v>30</v>
      </c>
      <c r="R16">
        <f t="shared" si="1"/>
        <v>30</v>
      </c>
      <c r="S16">
        <f t="shared" si="2"/>
        <v>11.5</v>
      </c>
      <c r="T16">
        <f t="shared" si="3"/>
        <v>23.833333333333332</v>
      </c>
      <c r="U16">
        <f t="shared" si="4"/>
        <v>11.5</v>
      </c>
      <c r="V16">
        <f t="shared" si="5"/>
        <v>12.333333333333332</v>
      </c>
    </row>
    <row r="17" spans="2:22" x14ac:dyDescent="0.3">
      <c r="B17">
        <v>72</v>
      </c>
      <c r="C17">
        <v>28</v>
      </c>
      <c r="D17">
        <v>36</v>
      </c>
      <c r="E17">
        <v>64</v>
      </c>
      <c r="G17">
        <v>78</v>
      </c>
      <c r="H17">
        <v>22</v>
      </c>
      <c r="I17">
        <v>43</v>
      </c>
      <c r="J17">
        <v>57</v>
      </c>
      <c r="L17">
        <v>96</v>
      </c>
      <c r="M17">
        <v>4</v>
      </c>
      <c r="N17">
        <v>13</v>
      </c>
      <c r="O17">
        <v>87</v>
      </c>
      <c r="Q17">
        <f t="shared" si="0"/>
        <v>32</v>
      </c>
      <c r="R17">
        <f t="shared" si="1"/>
        <v>32.5</v>
      </c>
      <c r="S17">
        <f t="shared" si="2"/>
        <v>8.5</v>
      </c>
      <c r="T17">
        <f t="shared" si="3"/>
        <v>24.333333333333332</v>
      </c>
      <c r="U17">
        <f t="shared" si="4"/>
        <v>8.5</v>
      </c>
      <c r="V17">
        <f t="shared" si="5"/>
        <v>15.833333333333332</v>
      </c>
    </row>
    <row r="18" spans="2:22" x14ac:dyDescent="0.3">
      <c r="B18">
        <v>77</v>
      </c>
      <c r="C18">
        <v>23</v>
      </c>
      <c r="D18">
        <v>39</v>
      </c>
      <c r="E18">
        <v>61</v>
      </c>
      <c r="G18">
        <v>85</v>
      </c>
      <c r="H18">
        <v>15</v>
      </c>
      <c r="I18">
        <v>43</v>
      </c>
      <c r="J18">
        <v>57</v>
      </c>
      <c r="L18">
        <v>93</v>
      </c>
      <c r="M18">
        <v>7</v>
      </c>
      <c r="N18">
        <v>17</v>
      </c>
      <c r="O18">
        <v>83</v>
      </c>
      <c r="Q18">
        <f t="shared" si="0"/>
        <v>31</v>
      </c>
      <c r="R18">
        <f t="shared" si="1"/>
        <v>29</v>
      </c>
      <c r="S18">
        <f t="shared" si="2"/>
        <v>12</v>
      </c>
      <c r="T18">
        <f t="shared" si="3"/>
        <v>24</v>
      </c>
      <c r="U18">
        <f t="shared" si="4"/>
        <v>12</v>
      </c>
      <c r="V18">
        <f t="shared" si="5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7"/>
  <sheetViews>
    <sheetView topLeftCell="L1" workbookViewId="0">
      <selection activeCell="W3" sqref="W3:AF3"/>
    </sheetView>
  </sheetViews>
  <sheetFormatPr defaultRowHeight="14.4" x14ac:dyDescent="0.3"/>
  <cols>
    <col min="23" max="23" width="13.109375" customWidth="1"/>
  </cols>
  <sheetData>
    <row r="1" spans="1:32" x14ac:dyDescent="0.3">
      <c r="A1" t="s">
        <v>0</v>
      </c>
      <c r="Q1" t="s">
        <v>10</v>
      </c>
    </row>
    <row r="2" spans="1:32" x14ac:dyDescent="0.3">
      <c r="A2" t="s">
        <v>18</v>
      </c>
      <c r="Q2" t="s">
        <v>21</v>
      </c>
      <c r="R2" t="s">
        <v>22</v>
      </c>
      <c r="S2" t="s">
        <v>23</v>
      </c>
      <c r="T2" t="s">
        <v>12</v>
      </c>
      <c r="U2" t="s">
        <v>14</v>
      </c>
      <c r="V2" t="s">
        <v>11</v>
      </c>
      <c r="W2" t="s">
        <v>29</v>
      </c>
      <c r="X2" t="s">
        <v>24</v>
      </c>
      <c r="Y2" t="s">
        <v>6</v>
      </c>
      <c r="Z2" t="s">
        <v>25</v>
      </c>
      <c r="AA2" t="s">
        <v>8</v>
      </c>
      <c r="AB2" t="s">
        <v>26</v>
      </c>
      <c r="AC2" t="s">
        <v>1</v>
      </c>
      <c r="AD2" t="s">
        <v>13</v>
      </c>
      <c r="AE2" t="s">
        <v>15</v>
      </c>
      <c r="AF2" t="s">
        <v>16</v>
      </c>
    </row>
    <row r="3" spans="1:32" x14ac:dyDescent="0.3">
      <c r="B3">
        <v>64</v>
      </c>
      <c r="C3">
        <v>36</v>
      </c>
      <c r="D3">
        <v>20</v>
      </c>
      <c r="E3">
        <v>80</v>
      </c>
      <c r="G3">
        <v>72</v>
      </c>
      <c r="H3">
        <v>28</v>
      </c>
      <c r="I3">
        <v>34</v>
      </c>
      <c r="J3">
        <v>66</v>
      </c>
      <c r="L3">
        <v>92</v>
      </c>
      <c r="M3">
        <v>8</v>
      </c>
      <c r="N3">
        <v>9</v>
      </c>
      <c r="O3">
        <v>91</v>
      </c>
      <c r="Q3">
        <f>AVERAGE(C3:D3)</f>
        <v>28</v>
      </c>
      <c r="R3">
        <f>AVERAGE(H3:I3)</f>
        <v>31</v>
      </c>
      <c r="S3">
        <f>AVERAGE(M3:N3)</f>
        <v>8.5</v>
      </c>
      <c r="T3">
        <f>AVERAGE(Q3:S3)</f>
        <v>22.5</v>
      </c>
      <c r="U3">
        <f>MIN(Q3:S3)</f>
        <v>8.5</v>
      </c>
      <c r="V3">
        <f>T3-U3</f>
        <v>14</v>
      </c>
      <c r="W3">
        <f>AVERAGE(Q3:Q17)</f>
        <v>34.233333333333334</v>
      </c>
      <c r="X3">
        <f>_xlfn.STDEV.S(Q3:Q17)</f>
        <v>4.7316059893122233</v>
      </c>
      <c r="Y3">
        <f>AVERAGE(R3:R17)</f>
        <v>31.3</v>
      </c>
      <c r="Z3">
        <f>_xlfn.STDEV.S(R3:R17)</f>
        <v>4.4231533677101549</v>
      </c>
      <c r="AA3">
        <f>AVERAGE(S3:S17)</f>
        <v>12.333333333333334</v>
      </c>
      <c r="AB3">
        <f>_xlfn.STDEV.S(S3:S17)</f>
        <v>2.2334044054078626</v>
      </c>
      <c r="AC3">
        <f>AVERAGE(T3:T17)</f>
        <v>25.955555555555563</v>
      </c>
      <c r="AD3">
        <f>_xlfn.STDEV.S(T3:T17)</f>
        <v>2.6431002319206196</v>
      </c>
      <c r="AE3">
        <f>AVERAGE(V3:V17)</f>
        <v>13.622222222222218</v>
      </c>
      <c r="AF3">
        <f>_xlfn.STDEV.S(V3:V17)</f>
        <v>2.345602662825041</v>
      </c>
    </row>
    <row r="4" spans="1:32" x14ac:dyDescent="0.3">
      <c r="B4">
        <v>71</v>
      </c>
      <c r="C4">
        <v>29</v>
      </c>
      <c r="D4">
        <v>26</v>
      </c>
      <c r="E4">
        <v>74</v>
      </c>
      <c r="G4">
        <v>72</v>
      </c>
      <c r="H4">
        <v>28</v>
      </c>
      <c r="I4">
        <v>24</v>
      </c>
      <c r="J4">
        <v>76</v>
      </c>
      <c r="L4">
        <v>89</v>
      </c>
      <c r="M4">
        <v>11</v>
      </c>
      <c r="N4">
        <v>17</v>
      </c>
      <c r="O4">
        <v>83</v>
      </c>
      <c r="Q4">
        <f t="shared" ref="Q4:Q17" si="0">AVERAGE(C4:D4)</f>
        <v>27.5</v>
      </c>
      <c r="R4">
        <f t="shared" ref="R4:R17" si="1">AVERAGE(H4:I4)</f>
        <v>26</v>
      </c>
      <c r="S4">
        <f t="shared" ref="S4:S17" si="2">AVERAGE(M4:N4)</f>
        <v>14</v>
      </c>
      <c r="T4">
        <f t="shared" ref="T4:T17" si="3">AVERAGE(Q4:S4)</f>
        <v>22.5</v>
      </c>
      <c r="U4">
        <f t="shared" ref="U4:U17" si="4">MIN(Q4:S4)</f>
        <v>14</v>
      </c>
      <c r="V4">
        <f t="shared" ref="V4:V17" si="5">T4-U4</f>
        <v>8.5</v>
      </c>
    </row>
    <row r="5" spans="1:32" x14ac:dyDescent="0.3">
      <c r="B5">
        <v>53</v>
      </c>
      <c r="C5">
        <v>47</v>
      </c>
      <c r="D5">
        <v>26</v>
      </c>
      <c r="E5">
        <v>74</v>
      </c>
      <c r="G5">
        <v>51</v>
      </c>
      <c r="H5">
        <v>49</v>
      </c>
      <c r="I5">
        <v>21</v>
      </c>
      <c r="J5">
        <v>79</v>
      </c>
      <c r="L5">
        <v>91</v>
      </c>
      <c r="M5">
        <v>9</v>
      </c>
      <c r="N5">
        <v>11</v>
      </c>
      <c r="O5">
        <v>89</v>
      </c>
      <c r="Q5">
        <f t="shared" si="0"/>
        <v>36.5</v>
      </c>
      <c r="R5">
        <f t="shared" si="1"/>
        <v>35</v>
      </c>
      <c r="S5">
        <f t="shared" si="2"/>
        <v>10</v>
      </c>
      <c r="T5">
        <f t="shared" si="3"/>
        <v>27.166666666666668</v>
      </c>
      <c r="U5">
        <f t="shared" si="4"/>
        <v>10</v>
      </c>
      <c r="V5">
        <f t="shared" si="5"/>
        <v>17.166666666666668</v>
      </c>
    </row>
    <row r="6" spans="1:32" x14ac:dyDescent="0.3">
      <c r="B6">
        <v>69</v>
      </c>
      <c r="C6">
        <v>31</v>
      </c>
      <c r="D6">
        <v>28</v>
      </c>
      <c r="E6">
        <v>72</v>
      </c>
      <c r="G6">
        <v>61</v>
      </c>
      <c r="H6">
        <v>39</v>
      </c>
      <c r="I6">
        <v>37</v>
      </c>
      <c r="J6">
        <v>63</v>
      </c>
      <c r="L6">
        <v>84</v>
      </c>
      <c r="M6">
        <v>16</v>
      </c>
      <c r="N6">
        <v>10</v>
      </c>
      <c r="O6">
        <v>90</v>
      </c>
      <c r="Q6">
        <f t="shared" si="0"/>
        <v>29.5</v>
      </c>
      <c r="R6">
        <f t="shared" si="1"/>
        <v>38</v>
      </c>
      <c r="S6">
        <f t="shared" si="2"/>
        <v>13</v>
      </c>
      <c r="T6">
        <f t="shared" si="3"/>
        <v>26.833333333333332</v>
      </c>
      <c r="U6">
        <f t="shared" si="4"/>
        <v>13</v>
      </c>
      <c r="V6">
        <f t="shared" si="5"/>
        <v>13.833333333333332</v>
      </c>
    </row>
    <row r="7" spans="1:32" x14ac:dyDescent="0.3">
      <c r="B7">
        <v>69</v>
      </c>
      <c r="C7">
        <v>31</v>
      </c>
      <c r="D7">
        <v>28</v>
      </c>
      <c r="E7">
        <v>72</v>
      </c>
      <c r="G7">
        <v>80</v>
      </c>
      <c r="H7">
        <v>20</v>
      </c>
      <c r="I7">
        <v>50</v>
      </c>
      <c r="J7">
        <v>50</v>
      </c>
      <c r="L7">
        <v>84</v>
      </c>
      <c r="M7">
        <v>16</v>
      </c>
      <c r="N7">
        <v>11</v>
      </c>
      <c r="O7">
        <v>89</v>
      </c>
      <c r="Q7">
        <f t="shared" si="0"/>
        <v>29.5</v>
      </c>
      <c r="R7">
        <f t="shared" si="1"/>
        <v>35</v>
      </c>
      <c r="S7">
        <f t="shared" si="2"/>
        <v>13.5</v>
      </c>
      <c r="T7">
        <f t="shared" si="3"/>
        <v>26</v>
      </c>
      <c r="U7">
        <f t="shared" si="4"/>
        <v>13.5</v>
      </c>
      <c r="V7">
        <f t="shared" si="5"/>
        <v>12.5</v>
      </c>
    </row>
    <row r="8" spans="1:32" x14ac:dyDescent="0.3">
      <c r="B8">
        <v>56</v>
      </c>
      <c r="C8">
        <v>44</v>
      </c>
      <c r="D8">
        <v>31</v>
      </c>
      <c r="E8">
        <v>69</v>
      </c>
      <c r="G8">
        <v>55</v>
      </c>
      <c r="H8">
        <v>45</v>
      </c>
      <c r="I8">
        <v>28</v>
      </c>
      <c r="J8">
        <v>72</v>
      </c>
      <c r="L8">
        <v>82</v>
      </c>
      <c r="M8">
        <v>18</v>
      </c>
      <c r="N8">
        <v>16</v>
      </c>
      <c r="O8">
        <v>84</v>
      </c>
      <c r="Q8">
        <f t="shared" si="0"/>
        <v>37.5</v>
      </c>
      <c r="R8">
        <f t="shared" si="1"/>
        <v>36.5</v>
      </c>
      <c r="S8">
        <f t="shared" si="2"/>
        <v>17</v>
      </c>
      <c r="T8">
        <f t="shared" si="3"/>
        <v>30.333333333333332</v>
      </c>
      <c r="U8">
        <f t="shared" si="4"/>
        <v>17</v>
      </c>
      <c r="V8">
        <f t="shared" si="5"/>
        <v>13.333333333333332</v>
      </c>
    </row>
    <row r="9" spans="1:32" x14ac:dyDescent="0.3">
      <c r="B9">
        <v>64</v>
      </c>
      <c r="C9">
        <v>36</v>
      </c>
      <c r="D9">
        <v>40</v>
      </c>
      <c r="E9">
        <v>60</v>
      </c>
      <c r="G9">
        <v>75</v>
      </c>
      <c r="H9">
        <v>25</v>
      </c>
      <c r="I9">
        <v>35</v>
      </c>
      <c r="J9">
        <v>65</v>
      </c>
      <c r="L9">
        <v>89</v>
      </c>
      <c r="M9">
        <v>11</v>
      </c>
      <c r="N9">
        <v>18</v>
      </c>
      <c r="O9">
        <v>82</v>
      </c>
      <c r="Q9">
        <f t="shared" si="0"/>
        <v>38</v>
      </c>
      <c r="R9">
        <f t="shared" si="1"/>
        <v>30</v>
      </c>
      <c r="S9">
        <f t="shared" si="2"/>
        <v>14.5</v>
      </c>
      <c r="T9">
        <f t="shared" si="3"/>
        <v>27.5</v>
      </c>
      <c r="U9">
        <f t="shared" si="4"/>
        <v>14.5</v>
      </c>
      <c r="V9">
        <f t="shared" si="5"/>
        <v>13</v>
      </c>
    </row>
    <row r="10" spans="1:32" x14ac:dyDescent="0.3">
      <c r="B10">
        <v>62</v>
      </c>
      <c r="C10">
        <v>38</v>
      </c>
      <c r="D10">
        <v>32</v>
      </c>
      <c r="E10">
        <v>68</v>
      </c>
      <c r="G10">
        <v>73</v>
      </c>
      <c r="H10">
        <v>27</v>
      </c>
      <c r="I10">
        <v>23</v>
      </c>
      <c r="J10">
        <v>77</v>
      </c>
      <c r="L10">
        <v>83</v>
      </c>
      <c r="M10">
        <v>17</v>
      </c>
      <c r="N10">
        <v>10</v>
      </c>
      <c r="O10">
        <v>90</v>
      </c>
      <c r="Q10">
        <f t="shared" si="0"/>
        <v>35</v>
      </c>
      <c r="R10">
        <f t="shared" si="1"/>
        <v>25</v>
      </c>
      <c r="S10">
        <f t="shared" si="2"/>
        <v>13.5</v>
      </c>
      <c r="T10">
        <f t="shared" si="3"/>
        <v>24.5</v>
      </c>
      <c r="U10">
        <f t="shared" si="4"/>
        <v>13.5</v>
      </c>
      <c r="V10">
        <f t="shared" si="5"/>
        <v>11</v>
      </c>
    </row>
    <row r="11" spans="1:32" x14ac:dyDescent="0.3">
      <c r="B11">
        <v>55</v>
      </c>
      <c r="C11">
        <v>45</v>
      </c>
      <c r="D11">
        <v>29</v>
      </c>
      <c r="E11">
        <v>71</v>
      </c>
      <c r="G11">
        <v>60</v>
      </c>
      <c r="H11">
        <v>40</v>
      </c>
      <c r="I11">
        <v>23</v>
      </c>
      <c r="J11">
        <v>77</v>
      </c>
      <c r="L11">
        <v>87</v>
      </c>
      <c r="M11">
        <v>13</v>
      </c>
      <c r="N11">
        <v>9</v>
      </c>
      <c r="O11">
        <v>91</v>
      </c>
      <c r="Q11">
        <f t="shared" si="0"/>
        <v>37</v>
      </c>
      <c r="R11">
        <f t="shared" si="1"/>
        <v>31.5</v>
      </c>
      <c r="S11">
        <f t="shared" si="2"/>
        <v>11</v>
      </c>
      <c r="T11">
        <f t="shared" si="3"/>
        <v>26.5</v>
      </c>
      <c r="U11">
        <f t="shared" si="4"/>
        <v>11</v>
      </c>
      <c r="V11">
        <f t="shared" si="5"/>
        <v>15.5</v>
      </c>
    </row>
    <row r="12" spans="1:32" x14ac:dyDescent="0.3">
      <c r="B12">
        <v>51</v>
      </c>
      <c r="C12">
        <v>49</v>
      </c>
      <c r="D12">
        <v>33</v>
      </c>
      <c r="E12">
        <v>67</v>
      </c>
      <c r="G12">
        <v>68</v>
      </c>
      <c r="H12">
        <v>32</v>
      </c>
      <c r="I12">
        <v>28</v>
      </c>
      <c r="J12">
        <v>72</v>
      </c>
      <c r="L12">
        <v>89</v>
      </c>
      <c r="M12">
        <v>11</v>
      </c>
      <c r="N12">
        <v>15</v>
      </c>
      <c r="O12">
        <v>85</v>
      </c>
      <c r="Q12">
        <f t="shared" si="0"/>
        <v>41</v>
      </c>
      <c r="R12">
        <f t="shared" si="1"/>
        <v>30</v>
      </c>
      <c r="S12">
        <f t="shared" si="2"/>
        <v>13</v>
      </c>
      <c r="T12">
        <f t="shared" si="3"/>
        <v>28</v>
      </c>
      <c r="U12">
        <f t="shared" si="4"/>
        <v>13</v>
      </c>
      <c r="V12">
        <f t="shared" si="5"/>
        <v>15</v>
      </c>
    </row>
    <row r="13" spans="1:32" x14ac:dyDescent="0.3">
      <c r="B13">
        <v>64</v>
      </c>
      <c r="C13">
        <v>36</v>
      </c>
      <c r="D13">
        <v>31</v>
      </c>
      <c r="E13">
        <v>69</v>
      </c>
      <c r="G13">
        <v>65</v>
      </c>
      <c r="H13">
        <v>35</v>
      </c>
      <c r="I13">
        <v>28</v>
      </c>
      <c r="J13">
        <v>72</v>
      </c>
      <c r="L13">
        <v>90</v>
      </c>
      <c r="M13">
        <v>10</v>
      </c>
      <c r="N13">
        <v>11</v>
      </c>
      <c r="O13">
        <v>89</v>
      </c>
      <c r="Q13">
        <f t="shared" si="0"/>
        <v>33.5</v>
      </c>
      <c r="R13">
        <f t="shared" si="1"/>
        <v>31.5</v>
      </c>
      <c r="S13">
        <f t="shared" si="2"/>
        <v>10.5</v>
      </c>
      <c r="T13">
        <f t="shared" si="3"/>
        <v>25.166666666666668</v>
      </c>
      <c r="U13">
        <f t="shared" si="4"/>
        <v>10.5</v>
      </c>
      <c r="V13">
        <f t="shared" si="5"/>
        <v>14.666666666666668</v>
      </c>
    </row>
    <row r="14" spans="1:32" x14ac:dyDescent="0.3">
      <c r="B14">
        <v>46</v>
      </c>
      <c r="C14">
        <v>54</v>
      </c>
      <c r="D14">
        <v>33</v>
      </c>
      <c r="E14">
        <v>67</v>
      </c>
      <c r="G14">
        <v>62</v>
      </c>
      <c r="H14">
        <v>38</v>
      </c>
      <c r="I14">
        <v>33</v>
      </c>
      <c r="J14">
        <v>67</v>
      </c>
      <c r="L14">
        <v>85</v>
      </c>
      <c r="M14">
        <v>15</v>
      </c>
      <c r="N14">
        <v>13</v>
      </c>
      <c r="O14">
        <v>87</v>
      </c>
      <c r="Q14">
        <f t="shared" si="0"/>
        <v>43.5</v>
      </c>
      <c r="R14">
        <f t="shared" si="1"/>
        <v>35.5</v>
      </c>
      <c r="S14">
        <f t="shared" si="2"/>
        <v>14</v>
      </c>
      <c r="T14">
        <f t="shared" si="3"/>
        <v>31</v>
      </c>
      <c r="U14">
        <f t="shared" si="4"/>
        <v>14</v>
      </c>
      <c r="V14">
        <f t="shared" si="5"/>
        <v>17</v>
      </c>
    </row>
    <row r="15" spans="1:32" x14ac:dyDescent="0.3">
      <c r="B15">
        <v>57</v>
      </c>
      <c r="C15">
        <v>43</v>
      </c>
      <c r="D15">
        <v>19</v>
      </c>
      <c r="E15">
        <v>81</v>
      </c>
      <c r="G15">
        <v>67</v>
      </c>
      <c r="H15">
        <v>33</v>
      </c>
      <c r="I15">
        <v>25</v>
      </c>
      <c r="J15">
        <v>75</v>
      </c>
      <c r="L15">
        <v>88</v>
      </c>
      <c r="M15">
        <v>12</v>
      </c>
      <c r="N15">
        <v>9</v>
      </c>
      <c r="O15">
        <v>91</v>
      </c>
      <c r="Q15">
        <f t="shared" si="0"/>
        <v>31</v>
      </c>
      <c r="R15">
        <f t="shared" si="1"/>
        <v>29</v>
      </c>
      <c r="S15">
        <f t="shared" si="2"/>
        <v>10.5</v>
      </c>
      <c r="T15">
        <f t="shared" si="3"/>
        <v>23.5</v>
      </c>
      <c r="U15">
        <f t="shared" si="4"/>
        <v>10.5</v>
      </c>
      <c r="V15">
        <f t="shared" si="5"/>
        <v>13</v>
      </c>
    </row>
    <row r="16" spans="1:32" x14ac:dyDescent="0.3">
      <c r="B16">
        <v>67</v>
      </c>
      <c r="C16">
        <v>33</v>
      </c>
      <c r="D16">
        <v>34</v>
      </c>
      <c r="E16">
        <v>66</v>
      </c>
      <c r="G16">
        <v>77</v>
      </c>
      <c r="H16">
        <v>23</v>
      </c>
      <c r="I16">
        <v>22</v>
      </c>
      <c r="J16">
        <v>78</v>
      </c>
      <c r="L16">
        <v>85</v>
      </c>
      <c r="M16">
        <v>15</v>
      </c>
      <c r="N16">
        <v>9</v>
      </c>
      <c r="O16">
        <v>91</v>
      </c>
      <c r="Q16">
        <f t="shared" si="0"/>
        <v>33.5</v>
      </c>
      <c r="R16">
        <f t="shared" si="1"/>
        <v>22.5</v>
      </c>
      <c r="S16">
        <f t="shared" si="2"/>
        <v>12</v>
      </c>
      <c r="T16">
        <f t="shared" si="3"/>
        <v>22.666666666666668</v>
      </c>
      <c r="U16">
        <f t="shared" si="4"/>
        <v>12</v>
      </c>
      <c r="V16">
        <f t="shared" si="5"/>
        <v>10.666666666666668</v>
      </c>
    </row>
    <row r="17" spans="2:22" x14ac:dyDescent="0.3">
      <c r="B17">
        <v>61</v>
      </c>
      <c r="C17">
        <v>39</v>
      </c>
      <c r="D17">
        <v>26</v>
      </c>
      <c r="E17">
        <v>74</v>
      </c>
      <c r="G17">
        <v>64</v>
      </c>
      <c r="H17">
        <v>36</v>
      </c>
      <c r="I17">
        <v>30</v>
      </c>
      <c r="J17">
        <v>70</v>
      </c>
      <c r="L17">
        <v>90</v>
      </c>
      <c r="M17">
        <v>10</v>
      </c>
      <c r="N17">
        <v>10</v>
      </c>
      <c r="O17">
        <v>90</v>
      </c>
      <c r="Q17">
        <f t="shared" si="0"/>
        <v>32.5</v>
      </c>
      <c r="R17">
        <f t="shared" si="1"/>
        <v>33</v>
      </c>
      <c r="S17">
        <f t="shared" si="2"/>
        <v>10</v>
      </c>
      <c r="T17">
        <f t="shared" si="3"/>
        <v>25.166666666666668</v>
      </c>
      <c r="U17">
        <f t="shared" si="4"/>
        <v>10</v>
      </c>
      <c r="V17">
        <f t="shared" si="5"/>
        <v>15.166666666666668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DIFF_ONLYMIN</vt:lpstr>
      <vt:lpstr>DIFF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2026-03-24T20:47:50Z</dcterms:modified>
</cp:coreProperties>
</file>