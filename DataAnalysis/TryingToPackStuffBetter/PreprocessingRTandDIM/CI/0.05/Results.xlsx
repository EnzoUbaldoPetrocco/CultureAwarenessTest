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CI\0.05\"/>
    </mc:Choice>
  </mc:AlternateContent>
  <xr:revisionPtr revIDLastSave="0" documentId="13_ncr:1_{44D505D7-FCCF-4FE1-AA9C-A620E2194B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8" r:id="rId2"/>
    <sheet name="DIFF_" sheetId="21" r:id="rId3"/>
    <sheet name="STD_BAL_STDAUG" sheetId="5" r:id="rId4"/>
    <sheet name="STD_BAL_NOAU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21" l="1"/>
  <c r="AE4" i="21"/>
  <c r="AB4" i="21"/>
  <c r="AA4" i="21"/>
  <c r="Z4" i="21"/>
  <c r="Y4" i="21"/>
  <c r="X4" i="21"/>
  <c r="W4" i="21"/>
  <c r="V4" i="21"/>
  <c r="U4" i="21"/>
  <c r="Q8" i="21"/>
  <c r="R8" i="21"/>
  <c r="S8" i="21"/>
  <c r="T8" i="21"/>
  <c r="AC8" i="21"/>
  <c r="AD8" i="21"/>
  <c r="Q9" i="21"/>
  <c r="R9" i="21"/>
  <c r="S9" i="21"/>
  <c r="T9" i="21"/>
  <c r="AC9" i="21"/>
  <c r="AD9" i="21"/>
  <c r="Q10" i="21"/>
  <c r="AC10" i="21" s="1"/>
  <c r="R10" i="21"/>
  <c r="S10" i="21"/>
  <c r="T10" i="21"/>
  <c r="AD10" i="21" s="1"/>
  <c r="V4" i="5"/>
  <c r="V5" i="5"/>
  <c r="V6" i="5"/>
  <c r="V7" i="5"/>
  <c r="V8" i="5"/>
  <c r="V3" i="5"/>
  <c r="Q8" i="8"/>
  <c r="T8" i="8" s="1"/>
  <c r="R8" i="8"/>
  <c r="S8" i="8"/>
  <c r="Q9" i="8"/>
  <c r="R9" i="8"/>
  <c r="S9" i="8"/>
  <c r="T9" i="8"/>
  <c r="U9" i="8"/>
  <c r="V9" i="8"/>
  <c r="AB3" i="5"/>
  <c r="Z3" i="5"/>
  <c r="X3" i="5"/>
  <c r="AA3" i="5"/>
  <c r="Y3" i="5"/>
  <c r="W3" i="5"/>
  <c r="AF3" i="2"/>
  <c r="AE3" i="2"/>
  <c r="AD3" i="2"/>
  <c r="AC3" i="2"/>
  <c r="AB3" i="2"/>
  <c r="AA3" i="2"/>
  <c r="Z3" i="2"/>
  <c r="Y3" i="2"/>
  <c r="X3" i="2"/>
  <c r="W3" i="2"/>
  <c r="Q6" i="2"/>
  <c r="R6" i="2"/>
  <c r="S6" i="2"/>
  <c r="T6" i="2"/>
  <c r="U6" i="2"/>
  <c r="V6" i="2"/>
  <c r="Q7" i="2"/>
  <c r="R7" i="2"/>
  <c r="S7" i="2"/>
  <c r="T7" i="2"/>
  <c r="U7" i="2"/>
  <c r="V7" i="2"/>
  <c r="Q8" i="2"/>
  <c r="U8" i="2" s="1"/>
  <c r="R8" i="2"/>
  <c r="S8" i="2"/>
  <c r="T8" i="2"/>
  <c r="V8" i="2" s="1"/>
  <c r="Q9" i="2"/>
  <c r="R9" i="2"/>
  <c r="S9" i="2"/>
  <c r="T9" i="2"/>
  <c r="U9" i="2"/>
  <c r="V9" i="2"/>
  <c r="Q10" i="2"/>
  <c r="R10" i="2"/>
  <c r="S10" i="2"/>
  <c r="T10" i="2"/>
  <c r="U10" i="2"/>
  <c r="V10" i="2"/>
  <c r="Q11" i="2"/>
  <c r="T11" i="2" s="1"/>
  <c r="R11" i="2"/>
  <c r="S11" i="2"/>
  <c r="Q5" i="21"/>
  <c r="R5" i="21"/>
  <c r="S5" i="21"/>
  <c r="Q6" i="21"/>
  <c r="R6" i="21"/>
  <c r="S6" i="21"/>
  <c r="Q7" i="21"/>
  <c r="R7" i="21"/>
  <c r="S7" i="21"/>
  <c r="S4" i="21"/>
  <c r="R4" i="21"/>
  <c r="Q4" i="21"/>
  <c r="AC4" i="21" s="1"/>
  <c r="Q5" i="8"/>
  <c r="R5" i="8"/>
  <c r="S5" i="8"/>
  <c r="Q6" i="8"/>
  <c r="R6" i="8"/>
  <c r="U6" i="8" s="1"/>
  <c r="S6" i="8"/>
  <c r="Q7" i="8"/>
  <c r="R7" i="8"/>
  <c r="S7" i="8"/>
  <c r="T7" i="8"/>
  <c r="Q4" i="2"/>
  <c r="R4" i="2"/>
  <c r="S4" i="2"/>
  <c r="Q5" i="2"/>
  <c r="R5" i="2"/>
  <c r="S5" i="2"/>
  <c r="S3" i="2"/>
  <c r="R3" i="2"/>
  <c r="Q3" i="2"/>
  <c r="T3" i="2" s="1"/>
  <c r="S4" i="8"/>
  <c r="R4" i="8"/>
  <c r="Q4" i="8"/>
  <c r="S4" i="5"/>
  <c r="S5" i="5"/>
  <c r="S6" i="5"/>
  <c r="S7" i="5"/>
  <c r="S8" i="5"/>
  <c r="S3" i="5"/>
  <c r="R4" i="5"/>
  <c r="R5" i="5"/>
  <c r="R6" i="5"/>
  <c r="R7" i="5"/>
  <c r="R8" i="5"/>
  <c r="R3" i="5"/>
  <c r="Q4" i="5"/>
  <c r="Q5" i="5"/>
  <c r="Q6" i="5"/>
  <c r="Q7" i="5"/>
  <c r="Q8" i="5"/>
  <c r="Q3" i="5"/>
  <c r="T5" i="21" l="1"/>
  <c r="T7" i="21"/>
  <c r="T6" i="21"/>
  <c r="AC7" i="21"/>
  <c r="AC6" i="21"/>
  <c r="AD6" i="21" s="1"/>
  <c r="AC5" i="21"/>
  <c r="AD5" i="21" s="1"/>
  <c r="U8" i="8"/>
  <c r="V8" i="8" s="1"/>
  <c r="Z4" i="8"/>
  <c r="T4" i="5"/>
  <c r="U3" i="5"/>
  <c r="U11" i="2"/>
  <c r="V11" i="2" s="1"/>
  <c r="T4" i="2"/>
  <c r="T4" i="21"/>
  <c r="AD4" i="21" s="1"/>
  <c r="AB4" i="8"/>
  <c r="U7" i="8"/>
  <c r="V7" i="8" s="1"/>
  <c r="U4" i="8"/>
  <c r="T6" i="8"/>
  <c r="T5" i="8"/>
  <c r="V6" i="8"/>
  <c r="W4" i="8"/>
  <c r="X4" i="8"/>
  <c r="Y4" i="8"/>
  <c r="AA4" i="8"/>
  <c r="U5" i="8"/>
  <c r="T3" i="5"/>
  <c r="T5" i="2"/>
  <c r="U4" i="2"/>
  <c r="V4" i="2" s="1"/>
  <c r="U3" i="2"/>
  <c r="V3" i="2" s="1"/>
  <c r="U5" i="2"/>
  <c r="V5" i="2" s="1"/>
  <c r="U8" i="5"/>
  <c r="T8" i="5"/>
  <c r="T6" i="5"/>
  <c r="U6" i="5"/>
  <c r="T7" i="5"/>
  <c r="U7" i="5"/>
  <c r="T5" i="5"/>
  <c r="U5" i="5"/>
  <c r="U4" i="5"/>
  <c r="T4" i="8"/>
  <c r="AD7" i="21" l="1"/>
  <c r="V5" i="8"/>
  <c r="AD3" i="5"/>
  <c r="AD4" i="8"/>
  <c r="AC4" i="8"/>
  <c r="V4" i="8"/>
  <c r="AC3" i="5"/>
  <c r="AF3" i="5"/>
  <c r="AE3" i="5"/>
  <c r="AF4" i="8" l="1"/>
  <c r="AE4" i="8"/>
</calcChain>
</file>

<file path=xl/sharedStrings.xml><?xml version="1.0" encoding="utf-8"?>
<sst xmlns="http://schemas.openxmlformats.org/spreadsheetml/2006/main" count="88" uniqueCount="36">
  <si>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</si>
  <si>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</si>
  <si>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</si>
  <si>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</si>
  <si>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</si>
  <si>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</si>
  <si>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</si>
  <si>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</si>
  <si>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</si>
  <si>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</si>
  <si>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</si>
  <si>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</si>
  <si>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</si>
  <si>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</si>
  <si>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</si>
  <si>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</si>
  <si>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</si>
  <si>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</si>
  <si>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</si>
  <si>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</si>
  <si>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c0</t>
  </si>
  <si>
    <t>c1</t>
  </si>
  <si>
    <t>c2</t>
  </si>
  <si>
    <t>ERR_0_i</t>
  </si>
  <si>
    <t>ERR_1_i</t>
  </si>
  <si>
    <t>ERR_2_i</t>
  </si>
  <si>
    <t>ERR0_STD</t>
  </si>
  <si>
    <t>ERR1_STD</t>
  </si>
  <si>
    <t>ERR2_STD</t>
  </si>
  <si>
    <t>DIFF</t>
  </si>
  <si>
    <t>DIFF Without retest</t>
  </si>
  <si>
    <t>ERR_0</t>
  </si>
  <si>
    <t>ERR_1</t>
  </si>
  <si>
    <t>ERR_2</t>
  </si>
  <si>
    <t>ONLYMIN</t>
  </si>
  <si>
    <t xml:space="preserve">DIFF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</si>
</sst>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rgb="FFCCCCCC"/>
      <name val="Consolas"/>
      <family val="3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sqref="A1:A1048576"/>
    </sheetView>
  </sheetViews>
  <sheetFormatPr defaultRowHeight="14.4" x14ac:dyDescent="0.3"/>
  <sheetData>
    <row r="1" spans="1:13" x14ac:dyDescent="0.3"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</v>
      </c>
      <c r="K1" t="s">
        <v>16</v>
      </c>
      <c r="L1" t="s">
        <v>18</v>
      </c>
      <c r="M1" t="s">
        <v>19</v>
      </c>
    </row>
    <row r="2" spans="1:13" x14ac:dyDescent="0.3">
      <c r="A2" t="s">
        <v>3</v>
      </c>
    </row>
    <row r="3" spans="1:13" x14ac:dyDescent="0.3">
      <c r="B3" t="s">
        <v>4</v>
      </c>
      <c r="D3">
        <v>16.722222222222221</v>
      </c>
      <c r="E3">
        <v>2.635231383473652</v>
      </c>
      <c r="F3">
        <v>22.166666666666668</v>
      </c>
      <c r="G3">
        <v>5.2380817099392409</v>
      </c>
      <c r="H3">
        <v>31.5</v>
      </c>
      <c r="I3">
        <v>3.2691742076555053</v>
      </c>
      <c r="J3">
        <v>23.462962962962958</v>
      </c>
      <c r="K3">
        <v>2.8096779394544562</v>
      </c>
      <c r="L3">
        <v>7.5740740740740744</v>
      </c>
      <c r="M3">
        <v>0.90948364131916359</v>
      </c>
    </row>
    <row r="4" spans="1:13" x14ac:dyDescent="0.3">
      <c r="B4" t="s">
        <v>2</v>
      </c>
      <c r="D4">
        <v>17.333333333333332</v>
      </c>
      <c r="E4">
        <v>3.2812599206199211</v>
      </c>
      <c r="F4">
        <v>21.083333333333332</v>
      </c>
      <c r="G4">
        <v>2.1544527534078504</v>
      </c>
      <c r="H4">
        <v>30.833333333333332</v>
      </c>
      <c r="I4">
        <v>2.0655911179772892</v>
      </c>
      <c r="J4">
        <v>23.083333333333332</v>
      </c>
      <c r="K4">
        <v>0.67288764127287815</v>
      </c>
      <c r="L4">
        <v>6.583333333333333</v>
      </c>
      <c r="M4">
        <v>2.2329601678290456</v>
      </c>
    </row>
    <row r="5" spans="1:13" x14ac:dyDescent="0.3">
      <c r="B5" t="s">
        <v>29</v>
      </c>
      <c r="D5">
        <v>17.214285714285715</v>
      </c>
      <c r="E5">
        <v>2.6276913640612221</v>
      </c>
      <c r="F5">
        <v>22.214285714285715</v>
      </c>
      <c r="G5">
        <v>2.3954321610296625</v>
      </c>
      <c r="H5">
        <v>30.214285714285715</v>
      </c>
      <c r="I5">
        <v>2.03832330722138</v>
      </c>
      <c r="J5">
        <v>23.214285714285715</v>
      </c>
      <c r="K5">
        <v>0.55872113989835059</v>
      </c>
      <c r="L5">
        <v>6.1428571428571432</v>
      </c>
      <c r="M5">
        <v>2.2161623725204915</v>
      </c>
    </row>
    <row r="6" spans="1:13" x14ac:dyDescent="0.3">
      <c r="B6" t="s">
        <v>35</v>
      </c>
    </row>
    <row r="7" spans="1:13" x14ac:dyDescent="0.3">
      <c r="C7" t="s">
        <v>34</v>
      </c>
      <c r="D7">
        <v>16</v>
      </c>
      <c r="E7">
        <v>1.5491933384829668</v>
      </c>
      <c r="F7">
        <v>18.916666666666668</v>
      </c>
      <c r="G7">
        <v>1.8551729479125838</v>
      </c>
      <c r="H7">
        <v>31</v>
      </c>
      <c r="I7">
        <v>2.4289915602982237</v>
      </c>
      <c r="J7">
        <v>21.972222222222225</v>
      </c>
      <c r="K7">
        <v>0.41387956738198212</v>
      </c>
      <c r="L7">
        <v>6.0555555555555562</v>
      </c>
      <c r="M7">
        <v>1.4324286550651826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0"/>
  <sheetViews>
    <sheetView topLeftCell="O1" workbookViewId="0">
      <selection activeCell="W4" sqref="W4:AF4"/>
    </sheetView>
  </sheetViews>
  <sheetFormatPr defaultRowHeight="14.4" x14ac:dyDescent="0.3"/>
  <sheetData>
    <row r="2" spans="1:32" x14ac:dyDescent="0.3">
      <c r="A2" t="s">
        <v>30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31</v>
      </c>
      <c r="X2" t="s">
        <v>26</v>
      </c>
      <c r="Y2" t="s">
        <v>32</v>
      </c>
      <c r="Z2" t="s">
        <v>27</v>
      </c>
      <c r="AA2" t="s">
        <v>33</v>
      </c>
      <c r="AB2" t="s">
        <v>28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A3" t="s">
        <v>20</v>
      </c>
      <c r="F3" t="s">
        <v>21</v>
      </c>
      <c r="K3" t="s">
        <v>22</v>
      </c>
    </row>
    <row r="4" spans="1:32" x14ac:dyDescent="0.3">
      <c r="B4">
        <v>86</v>
      </c>
      <c r="C4">
        <v>14</v>
      </c>
      <c r="D4">
        <v>20</v>
      </c>
      <c r="E4">
        <v>80</v>
      </c>
      <c r="F4" s="2"/>
      <c r="G4" s="3">
        <v>72</v>
      </c>
      <c r="H4" s="3">
        <v>28</v>
      </c>
      <c r="I4" s="3">
        <v>10</v>
      </c>
      <c r="J4" s="3">
        <v>90</v>
      </c>
      <c r="K4" s="2"/>
      <c r="L4" s="3">
        <v>66</v>
      </c>
      <c r="M4" s="3">
        <v>34</v>
      </c>
      <c r="N4" s="3">
        <v>26</v>
      </c>
      <c r="O4" s="3">
        <v>74</v>
      </c>
      <c r="Q4">
        <f>AVERAGE(C4,D4)</f>
        <v>17</v>
      </c>
      <c r="R4">
        <f>AVERAGE(H4,I4)</f>
        <v>19</v>
      </c>
      <c r="S4">
        <f>AVERAGE(M4,N4)</f>
        <v>30</v>
      </c>
      <c r="T4">
        <f>AVERAGE(Q4:S4)</f>
        <v>22</v>
      </c>
      <c r="U4">
        <f>MIN(Q4:S4)</f>
        <v>17</v>
      </c>
      <c r="V4">
        <f>T4-U4</f>
        <v>5</v>
      </c>
      <c r="W4">
        <f>AVERAGE(Q4:Q10)</f>
        <v>16</v>
      </c>
      <c r="X4">
        <f>_xlfn.STDEV.S(Q4:Q10)</f>
        <v>1.5491933384829668</v>
      </c>
      <c r="Y4">
        <f>AVERAGE(R4:R10)</f>
        <v>18.916666666666668</v>
      </c>
      <c r="Z4">
        <f>_xlfn.STDEV.S(R4:R10)</f>
        <v>1.8551729479125838</v>
      </c>
      <c r="AA4">
        <f>AVERAGE(S4:S10)</f>
        <v>31</v>
      </c>
      <c r="AB4">
        <f>_xlfn.STDEV.S(S4:S10)</f>
        <v>2.4289915602982237</v>
      </c>
      <c r="AC4">
        <f>AVERAGE(T4:T10)</f>
        <v>21.972222222222225</v>
      </c>
      <c r="AD4">
        <f>_xlfn.STDEV.S(T4:T10)</f>
        <v>0.41387956738198212</v>
      </c>
      <c r="AE4">
        <f>AVERAGE(V4:V10)</f>
        <v>6.0555555555555562</v>
      </c>
      <c r="AF4">
        <f>_xlfn.STDEV.S(V4:V10)</f>
        <v>1.4324286550651826</v>
      </c>
    </row>
    <row r="5" spans="1:32" x14ac:dyDescent="0.3">
      <c r="B5">
        <v>81</v>
      </c>
      <c r="C5">
        <v>19</v>
      </c>
      <c r="D5">
        <v>11</v>
      </c>
      <c r="E5">
        <v>89</v>
      </c>
      <c r="F5" s="2"/>
      <c r="G5" s="3">
        <v>71</v>
      </c>
      <c r="H5" s="3">
        <v>29</v>
      </c>
      <c r="I5" s="3">
        <v>11</v>
      </c>
      <c r="J5" s="3">
        <v>89</v>
      </c>
      <c r="K5" s="2"/>
      <c r="L5" s="3">
        <v>55</v>
      </c>
      <c r="M5" s="3">
        <v>45</v>
      </c>
      <c r="N5" s="3">
        <v>18</v>
      </c>
      <c r="O5" s="3">
        <v>82</v>
      </c>
      <c r="Q5">
        <f t="shared" ref="Q5:Q10" si="0">AVERAGE(C5,D5)</f>
        <v>15</v>
      </c>
      <c r="R5">
        <f t="shared" ref="R5:R10" si="1">AVERAGE(H5,I5)</f>
        <v>20</v>
      </c>
      <c r="S5">
        <f t="shared" ref="S5:S10" si="2">AVERAGE(M5,N5)</f>
        <v>31.5</v>
      </c>
      <c r="T5">
        <f t="shared" ref="T5:T10" si="3">AVERAGE(Q5:S5)</f>
        <v>22.166666666666668</v>
      </c>
      <c r="U5">
        <f t="shared" ref="U5:U10" si="4">MIN(Q5:S5)</f>
        <v>15</v>
      </c>
      <c r="V5">
        <f t="shared" ref="V5:V10" si="5">T5-U5</f>
        <v>7.1666666666666679</v>
      </c>
    </row>
    <row r="6" spans="1:32" x14ac:dyDescent="0.3">
      <c r="B6">
        <v>82</v>
      </c>
      <c r="C6">
        <v>18</v>
      </c>
      <c r="D6">
        <v>16</v>
      </c>
      <c r="E6">
        <v>84</v>
      </c>
      <c r="F6" s="2"/>
      <c r="G6" s="3">
        <v>69</v>
      </c>
      <c r="H6" s="3">
        <v>31</v>
      </c>
      <c r="I6" s="3">
        <v>3</v>
      </c>
      <c r="J6" s="3">
        <v>97</v>
      </c>
      <c r="K6" s="2"/>
      <c r="L6" s="3">
        <v>53</v>
      </c>
      <c r="M6" s="3">
        <v>47</v>
      </c>
      <c r="N6" s="3">
        <v>21</v>
      </c>
      <c r="O6" s="3">
        <v>79</v>
      </c>
      <c r="Q6">
        <f t="shared" si="0"/>
        <v>17</v>
      </c>
      <c r="R6">
        <f t="shared" si="1"/>
        <v>17</v>
      </c>
      <c r="S6">
        <f t="shared" si="2"/>
        <v>34</v>
      </c>
      <c r="T6">
        <f t="shared" si="3"/>
        <v>22.666666666666668</v>
      </c>
      <c r="U6">
        <f t="shared" si="4"/>
        <v>17</v>
      </c>
      <c r="V6">
        <f t="shared" si="5"/>
        <v>5.6666666666666679</v>
      </c>
    </row>
    <row r="7" spans="1:32" x14ac:dyDescent="0.3">
      <c r="B7">
        <v>86</v>
      </c>
      <c r="C7">
        <v>14</v>
      </c>
      <c r="D7">
        <v>16</v>
      </c>
      <c r="E7">
        <v>84</v>
      </c>
      <c r="F7" s="2"/>
      <c r="G7" s="3">
        <v>63</v>
      </c>
      <c r="H7" s="3">
        <v>37</v>
      </c>
      <c r="I7" s="3">
        <v>7</v>
      </c>
      <c r="J7" s="3">
        <v>93</v>
      </c>
      <c r="K7" s="2"/>
      <c r="L7" s="3">
        <v>65</v>
      </c>
      <c r="M7" s="3">
        <v>35</v>
      </c>
      <c r="N7" s="3">
        <v>21</v>
      </c>
      <c r="O7" s="3">
        <v>79</v>
      </c>
      <c r="Q7">
        <f t="shared" si="0"/>
        <v>15</v>
      </c>
      <c r="R7">
        <f t="shared" si="1"/>
        <v>22</v>
      </c>
      <c r="S7">
        <f t="shared" si="2"/>
        <v>28</v>
      </c>
      <c r="T7">
        <f t="shared" si="3"/>
        <v>21.666666666666668</v>
      </c>
      <c r="U7">
        <f t="shared" si="4"/>
        <v>15</v>
      </c>
      <c r="V7">
        <f t="shared" si="5"/>
        <v>6.6666666666666679</v>
      </c>
    </row>
    <row r="8" spans="1:32" x14ac:dyDescent="0.3">
      <c r="B8">
        <v>92</v>
      </c>
      <c r="C8">
        <v>8</v>
      </c>
      <c r="D8">
        <v>20</v>
      </c>
      <c r="E8">
        <v>80</v>
      </c>
      <c r="F8" s="2"/>
      <c r="G8" s="3">
        <v>72</v>
      </c>
      <c r="H8" s="3">
        <v>28</v>
      </c>
      <c r="I8" s="3">
        <v>8</v>
      </c>
      <c r="J8" s="3">
        <v>92</v>
      </c>
      <c r="K8" s="2"/>
      <c r="L8" s="3">
        <v>64</v>
      </c>
      <c r="M8" s="3">
        <v>36</v>
      </c>
      <c r="N8" s="3">
        <v>31</v>
      </c>
      <c r="O8" s="3">
        <v>69</v>
      </c>
      <c r="Q8">
        <f t="shared" ref="Q8:Q9" si="6">AVERAGE(C8,D8)</f>
        <v>14</v>
      </c>
      <c r="R8">
        <f t="shared" ref="R8:R9" si="7">AVERAGE(H8,I8)</f>
        <v>18</v>
      </c>
      <c r="S8">
        <f t="shared" ref="S8:S9" si="8">AVERAGE(M8,N8)</f>
        <v>33.5</v>
      </c>
      <c r="T8">
        <f t="shared" ref="T8:T9" si="9">AVERAGE(Q8:S8)</f>
        <v>21.833333333333332</v>
      </c>
      <c r="U8">
        <f t="shared" ref="U8:U9" si="10">MIN(Q8:S8)</f>
        <v>14</v>
      </c>
      <c r="V8">
        <f t="shared" ref="V8:V9" si="11">T8-U8</f>
        <v>7.8333333333333321</v>
      </c>
    </row>
    <row r="9" spans="1:32" x14ac:dyDescent="0.3">
      <c r="B9">
        <v>82</v>
      </c>
      <c r="C9">
        <v>18</v>
      </c>
      <c r="D9">
        <v>18</v>
      </c>
      <c r="E9">
        <v>82</v>
      </c>
      <c r="F9" s="2"/>
      <c r="G9" s="3">
        <v>68</v>
      </c>
      <c r="H9" s="3">
        <v>32</v>
      </c>
      <c r="I9" s="3">
        <v>3</v>
      </c>
      <c r="J9" s="3">
        <v>97</v>
      </c>
      <c r="K9" s="2"/>
      <c r="L9" s="3">
        <v>71</v>
      </c>
      <c r="M9" s="3">
        <v>29</v>
      </c>
      <c r="N9" s="3">
        <v>29</v>
      </c>
      <c r="O9" s="3">
        <v>71</v>
      </c>
      <c r="Q9">
        <f t="shared" si="6"/>
        <v>18</v>
      </c>
      <c r="R9">
        <f t="shared" si="7"/>
        <v>17.5</v>
      </c>
      <c r="S9">
        <f t="shared" si="8"/>
        <v>29</v>
      </c>
      <c r="T9">
        <f t="shared" si="9"/>
        <v>21.5</v>
      </c>
      <c r="U9">
        <f t="shared" si="10"/>
        <v>17.5</v>
      </c>
      <c r="V9">
        <f t="shared" si="11"/>
        <v>4</v>
      </c>
    </row>
    <row r="10" spans="1:32" x14ac:dyDescent="0.3">
      <c r="F10" s="2"/>
      <c r="G10" s="2"/>
      <c r="H10" s="2"/>
      <c r="I10" s="2"/>
      <c r="J10" s="2"/>
      <c r="K10" s="2"/>
      <c r="L10" s="2"/>
      <c r="M10" s="2"/>
      <c r="N10" s="2"/>
      <c r="O1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1D148-F1AF-4FC9-8C19-77A1A130E3CB}">
  <dimension ref="B2:AF10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2:32" x14ac:dyDescent="0.3">
      <c r="Q2" t="s">
        <v>11</v>
      </c>
      <c r="R2" t="s">
        <v>12</v>
      </c>
      <c r="S2" t="s">
        <v>13</v>
      </c>
      <c r="T2" t="s">
        <v>15</v>
      </c>
      <c r="U2" t="s">
        <v>31</v>
      </c>
      <c r="V2" t="s">
        <v>26</v>
      </c>
      <c r="W2" t="s">
        <v>32</v>
      </c>
      <c r="X2" t="s">
        <v>27</v>
      </c>
      <c r="Y2" t="s">
        <v>33</v>
      </c>
      <c r="Z2" t="s">
        <v>28</v>
      </c>
      <c r="AA2" t="s">
        <v>1</v>
      </c>
      <c r="AB2" t="s">
        <v>16</v>
      </c>
      <c r="AC2" t="s">
        <v>17</v>
      </c>
      <c r="AD2" t="s">
        <v>14</v>
      </c>
      <c r="AE2" t="s">
        <v>18</v>
      </c>
      <c r="AF2" t="s">
        <v>19</v>
      </c>
    </row>
    <row r="4" spans="2:32" x14ac:dyDescent="0.3">
      <c r="B4">
        <v>82</v>
      </c>
      <c r="C4">
        <v>18</v>
      </c>
      <c r="D4">
        <v>15</v>
      </c>
      <c r="E4">
        <v>85</v>
      </c>
      <c r="G4">
        <v>63</v>
      </c>
      <c r="H4">
        <v>37</v>
      </c>
      <c r="I4">
        <v>9</v>
      </c>
      <c r="J4">
        <v>91</v>
      </c>
      <c r="L4">
        <v>57</v>
      </c>
      <c r="M4">
        <v>43</v>
      </c>
      <c r="N4">
        <v>18</v>
      </c>
      <c r="O4">
        <v>82</v>
      </c>
      <c r="Q4">
        <f>AVERAGE(C4:D4)</f>
        <v>16.5</v>
      </c>
      <c r="R4">
        <f>AVERAGE(H4:I4)</f>
        <v>23</v>
      </c>
      <c r="S4">
        <f>AVERAGE(M4:N4)</f>
        <v>30.5</v>
      </c>
      <c r="T4">
        <f>AVERAGE(Q4:S4)</f>
        <v>23.333333333333332</v>
      </c>
      <c r="U4">
        <f>AVERAGE(Q4:Q10)</f>
        <v>17.214285714285715</v>
      </c>
      <c r="V4">
        <f>_xlfn.STDEV.S(Q4:Q10)</f>
        <v>2.6276913640612221</v>
      </c>
      <c r="W4">
        <f>AVERAGE(R4:R10)</f>
        <v>22.214285714285715</v>
      </c>
      <c r="X4">
        <f>_xlfn.STDEV.S(R4:R10)</f>
        <v>2.3954321610296625</v>
      </c>
      <c r="Y4">
        <f>AVERAGE(S4:S10)</f>
        <v>30.214285714285715</v>
      </c>
      <c r="Z4">
        <f>_xlfn.STDEV.S(S4:S10)</f>
        <v>2.03832330722138</v>
      </c>
      <c r="AA4">
        <f>AVERAGE(T4:T10)</f>
        <v>23.214285714285715</v>
      </c>
      <c r="AB4">
        <f>_xlfn.STDEV.S(T4:T10)</f>
        <v>0.55872113989835059</v>
      </c>
      <c r="AC4">
        <f>MIN(Q4:S4)</f>
        <v>16.5</v>
      </c>
      <c r="AD4">
        <f>T4-AC4</f>
        <v>6.8333333333333321</v>
      </c>
      <c r="AE4">
        <f>AVERAGE(AD4:AD10)</f>
        <v>6.1428571428571432</v>
      </c>
      <c r="AF4">
        <f>_xlfn.STDEV.S(AD4:AD10)</f>
        <v>2.2161623725204915</v>
      </c>
    </row>
    <row r="5" spans="2:32" x14ac:dyDescent="0.3">
      <c r="B5">
        <v>84</v>
      </c>
      <c r="C5">
        <v>16</v>
      </c>
      <c r="D5">
        <v>16</v>
      </c>
      <c r="E5">
        <v>84</v>
      </c>
      <c r="G5">
        <v>63</v>
      </c>
      <c r="H5">
        <v>37</v>
      </c>
      <c r="I5">
        <v>3</v>
      </c>
      <c r="J5">
        <v>97</v>
      </c>
      <c r="L5">
        <v>56</v>
      </c>
      <c r="M5">
        <v>44</v>
      </c>
      <c r="N5">
        <v>22</v>
      </c>
      <c r="O5">
        <v>78</v>
      </c>
      <c r="Q5">
        <f t="shared" ref="Q5:Q7" si="0">AVERAGE(C5:D5)</f>
        <v>16</v>
      </c>
      <c r="R5">
        <f t="shared" ref="R5:R7" si="1">AVERAGE(H5:I5)</f>
        <v>20</v>
      </c>
      <c r="S5">
        <f t="shared" ref="S5:S7" si="2">AVERAGE(M5:N5)</f>
        <v>33</v>
      </c>
      <c r="T5">
        <f t="shared" ref="T5:T7" si="3">AVERAGE(Q5:S5)</f>
        <v>23</v>
      </c>
      <c r="AC5">
        <f t="shared" ref="AC5:AC7" si="4">MIN(Q5:S5)</f>
        <v>16</v>
      </c>
      <c r="AD5">
        <f t="shared" ref="AD5:AD7" si="5">T5-AC5</f>
        <v>7</v>
      </c>
    </row>
    <row r="6" spans="2:32" x14ac:dyDescent="0.3">
      <c r="B6">
        <v>82</v>
      </c>
      <c r="C6">
        <v>18</v>
      </c>
      <c r="D6">
        <v>22</v>
      </c>
      <c r="E6">
        <v>78</v>
      </c>
      <c r="G6">
        <v>67</v>
      </c>
      <c r="H6">
        <v>33</v>
      </c>
      <c r="I6">
        <v>13</v>
      </c>
      <c r="J6">
        <v>87</v>
      </c>
      <c r="L6">
        <v>67</v>
      </c>
      <c r="M6">
        <v>33</v>
      </c>
      <c r="N6">
        <v>26</v>
      </c>
      <c r="O6">
        <v>74</v>
      </c>
      <c r="Q6">
        <f t="shared" si="0"/>
        <v>20</v>
      </c>
      <c r="R6">
        <f t="shared" si="1"/>
        <v>23</v>
      </c>
      <c r="S6">
        <f t="shared" si="2"/>
        <v>29.5</v>
      </c>
      <c r="T6">
        <f t="shared" si="3"/>
        <v>24.166666666666668</v>
      </c>
      <c r="AC6">
        <f t="shared" si="4"/>
        <v>20</v>
      </c>
      <c r="AD6">
        <f t="shared" si="5"/>
        <v>4.1666666666666679</v>
      </c>
    </row>
    <row r="7" spans="2:32" x14ac:dyDescent="0.3">
      <c r="B7">
        <v>88</v>
      </c>
      <c r="C7">
        <v>12</v>
      </c>
      <c r="D7">
        <v>24</v>
      </c>
      <c r="E7">
        <v>76</v>
      </c>
      <c r="G7">
        <v>67</v>
      </c>
      <c r="H7">
        <v>33</v>
      </c>
      <c r="I7">
        <v>6</v>
      </c>
      <c r="J7">
        <v>94</v>
      </c>
      <c r="L7">
        <v>68</v>
      </c>
      <c r="M7">
        <v>32</v>
      </c>
      <c r="N7">
        <v>33</v>
      </c>
      <c r="O7">
        <v>67</v>
      </c>
      <c r="Q7">
        <f t="shared" si="0"/>
        <v>18</v>
      </c>
      <c r="R7">
        <f t="shared" si="1"/>
        <v>19.5</v>
      </c>
      <c r="S7">
        <f t="shared" si="2"/>
        <v>32.5</v>
      </c>
      <c r="T7">
        <f t="shared" si="3"/>
        <v>23.333333333333332</v>
      </c>
      <c r="AC7">
        <f t="shared" si="4"/>
        <v>18</v>
      </c>
      <c r="AD7">
        <f t="shared" si="5"/>
        <v>5.3333333333333321</v>
      </c>
    </row>
    <row r="8" spans="2:32" x14ac:dyDescent="0.3">
      <c r="B8">
        <v>87</v>
      </c>
      <c r="C8">
        <v>13</v>
      </c>
      <c r="D8">
        <v>14</v>
      </c>
      <c r="E8">
        <v>86</v>
      </c>
      <c r="G8">
        <v>61</v>
      </c>
      <c r="H8">
        <v>39</v>
      </c>
      <c r="I8">
        <v>10</v>
      </c>
      <c r="J8">
        <v>90</v>
      </c>
      <c r="L8">
        <v>66</v>
      </c>
      <c r="M8">
        <v>34</v>
      </c>
      <c r="N8">
        <v>25</v>
      </c>
      <c r="O8">
        <v>75</v>
      </c>
      <c r="Q8">
        <f t="shared" ref="Q8:Q10" si="6">AVERAGE(C8:D8)</f>
        <v>13.5</v>
      </c>
      <c r="R8">
        <f t="shared" ref="R8:R10" si="7">AVERAGE(H8:I8)</f>
        <v>24.5</v>
      </c>
      <c r="S8">
        <f t="shared" ref="S8:S10" si="8">AVERAGE(M8:N8)</f>
        <v>29.5</v>
      </c>
      <c r="T8">
        <f t="shared" ref="T8:T10" si="9">AVERAGE(Q8:S8)</f>
        <v>22.5</v>
      </c>
      <c r="AC8">
        <f t="shared" ref="AC8:AC10" si="10">MIN(Q8:S8)</f>
        <v>13.5</v>
      </c>
      <c r="AD8">
        <f t="shared" ref="AD8:AD10" si="11">T8-AC8</f>
        <v>9</v>
      </c>
    </row>
    <row r="9" spans="2:32" x14ac:dyDescent="0.3">
      <c r="B9">
        <v>82</v>
      </c>
      <c r="C9">
        <v>18</v>
      </c>
      <c r="D9">
        <v>24</v>
      </c>
      <c r="E9">
        <v>76</v>
      </c>
      <c r="G9">
        <v>73</v>
      </c>
      <c r="H9">
        <v>27</v>
      </c>
      <c r="I9">
        <v>13</v>
      </c>
      <c r="J9">
        <v>87</v>
      </c>
      <c r="L9">
        <v>71</v>
      </c>
      <c r="M9">
        <v>29</v>
      </c>
      <c r="N9">
        <v>25</v>
      </c>
      <c r="O9">
        <v>75</v>
      </c>
      <c r="Q9">
        <f t="shared" si="6"/>
        <v>21</v>
      </c>
      <c r="R9">
        <f t="shared" si="7"/>
        <v>20</v>
      </c>
      <c r="S9">
        <f t="shared" si="8"/>
        <v>27</v>
      </c>
      <c r="T9">
        <f t="shared" si="9"/>
        <v>22.666666666666668</v>
      </c>
      <c r="AC9">
        <f t="shared" si="10"/>
        <v>20</v>
      </c>
      <c r="AD9">
        <f t="shared" si="11"/>
        <v>2.6666666666666679</v>
      </c>
    </row>
    <row r="10" spans="2:32" x14ac:dyDescent="0.3">
      <c r="B10">
        <v>82</v>
      </c>
      <c r="C10">
        <v>18</v>
      </c>
      <c r="D10">
        <v>13</v>
      </c>
      <c r="E10">
        <v>87</v>
      </c>
      <c r="G10">
        <v>58</v>
      </c>
      <c r="H10">
        <v>42</v>
      </c>
      <c r="I10">
        <v>9</v>
      </c>
      <c r="J10">
        <v>91</v>
      </c>
      <c r="L10">
        <v>52</v>
      </c>
      <c r="M10">
        <v>48</v>
      </c>
      <c r="N10">
        <v>11</v>
      </c>
      <c r="O10">
        <v>89</v>
      </c>
      <c r="Q10">
        <f t="shared" si="6"/>
        <v>15.5</v>
      </c>
      <c r="R10">
        <f t="shared" si="7"/>
        <v>25.5</v>
      </c>
      <c r="S10">
        <f t="shared" si="8"/>
        <v>29.5</v>
      </c>
      <c r="T10">
        <f t="shared" si="9"/>
        <v>23.5</v>
      </c>
      <c r="AC10">
        <f t="shared" si="10"/>
        <v>15.5</v>
      </c>
      <c r="AD10">
        <f t="shared" si="11"/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B2:AF8"/>
  <sheetViews>
    <sheetView topLeftCell="L1" workbookViewId="0">
      <selection activeCell="W3" sqref="W3:AF3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2" spans="2:32" x14ac:dyDescent="0.3">
      <c r="F2" t="s">
        <v>21</v>
      </c>
      <c r="K2" t="s">
        <v>22</v>
      </c>
      <c r="Q2" t="s">
        <v>23</v>
      </c>
      <c r="R2" t="s">
        <v>24</v>
      </c>
      <c r="S2" t="s">
        <v>25</v>
      </c>
      <c r="T2" t="s">
        <v>15</v>
      </c>
      <c r="U2" t="s">
        <v>17</v>
      </c>
      <c r="V2" t="s">
        <v>14</v>
      </c>
      <c r="W2" t="s">
        <v>5</v>
      </c>
      <c r="X2" t="s">
        <v>26</v>
      </c>
      <c r="Y2" t="s">
        <v>7</v>
      </c>
      <c r="Z2" t="s">
        <v>27</v>
      </c>
      <c r="AA2" t="s">
        <v>9</v>
      </c>
      <c r="AB2" t="s">
        <v>28</v>
      </c>
      <c r="AC2" t="s">
        <v>1</v>
      </c>
      <c r="AD2" t="s">
        <v>16</v>
      </c>
      <c r="AE2" t="s">
        <v>18</v>
      </c>
      <c r="AF2" t="s">
        <v>19</v>
      </c>
    </row>
    <row r="3" spans="2:32" x14ac:dyDescent="0.3">
      <c r="B3">
        <v>78</v>
      </c>
      <c r="C3">
        <v>22</v>
      </c>
      <c r="D3">
        <v>22</v>
      </c>
      <c r="E3">
        <v>78</v>
      </c>
      <c r="G3">
        <v>69</v>
      </c>
      <c r="H3">
        <v>31</v>
      </c>
      <c r="I3">
        <v>6</v>
      </c>
      <c r="J3">
        <v>94</v>
      </c>
      <c r="L3">
        <v>64</v>
      </c>
      <c r="M3">
        <v>36</v>
      </c>
      <c r="N3">
        <v>20</v>
      </c>
      <c r="O3">
        <v>80</v>
      </c>
      <c r="Q3">
        <f>AVERAGE(C3,D3)</f>
        <v>22</v>
      </c>
      <c r="R3">
        <f>AVERAGE(H3:I3)</f>
        <v>18.5</v>
      </c>
      <c r="S3">
        <f>AVERAGE(M3,N3)</f>
        <v>28</v>
      </c>
      <c r="T3">
        <f>AVERAGE(Q3:S3)</f>
        <v>22.833333333333332</v>
      </c>
      <c r="U3">
        <f>MIN(Q3:S3)</f>
        <v>18.5</v>
      </c>
      <c r="V3">
        <f>(T3-U3)</f>
        <v>4.3333333333333321</v>
      </c>
      <c r="W3">
        <f>AVERAGE(Q3:Q8)</f>
        <v>17.333333333333332</v>
      </c>
      <c r="X3">
        <f>_xlfn.STDEV.S(Q3:Q8)</f>
        <v>3.2812599206199211</v>
      </c>
      <c r="Y3">
        <f>AVERAGE(R3:R8)</f>
        <v>21.083333333333332</v>
      </c>
      <c r="Z3">
        <f>_xlfn.STDEV.S(R3:R8)</f>
        <v>2.1544527534078504</v>
      </c>
      <c r="AA3">
        <f>AVERAGE(S3:S8)</f>
        <v>30.833333333333332</v>
      </c>
      <c r="AB3">
        <f>_xlfn.STDEV.S(S3:S8)</f>
        <v>2.0655911179772892</v>
      </c>
      <c r="AC3">
        <f>AVERAGE(T3:T12)</f>
        <v>23.083333333333332</v>
      </c>
      <c r="AD3">
        <f>_xlfn.STDEV.S(T3:T12)</f>
        <v>0.67288764127287815</v>
      </c>
      <c r="AE3">
        <f>AVERAGE(V3:V12)</f>
        <v>6.583333333333333</v>
      </c>
      <c r="AF3">
        <f>_xlfn.STDEV.S(V3:V12)</f>
        <v>2.2329601678290456</v>
      </c>
    </row>
    <row r="4" spans="2:32" x14ac:dyDescent="0.3">
      <c r="B4">
        <v>93</v>
      </c>
      <c r="C4">
        <v>7</v>
      </c>
      <c r="D4">
        <v>20</v>
      </c>
      <c r="E4">
        <v>80</v>
      </c>
      <c r="G4">
        <v>61</v>
      </c>
      <c r="H4">
        <v>39</v>
      </c>
      <c r="I4">
        <v>6</v>
      </c>
      <c r="J4">
        <v>94</v>
      </c>
      <c r="L4">
        <v>59</v>
      </c>
      <c r="M4">
        <v>41</v>
      </c>
      <c r="N4">
        <v>20</v>
      </c>
      <c r="O4">
        <v>80</v>
      </c>
      <c r="Q4">
        <f t="shared" ref="Q4:Q67" si="0">AVERAGE(C4,D4)</f>
        <v>13.5</v>
      </c>
      <c r="R4">
        <f t="shared" ref="R4:R67" si="1">AVERAGE(H4:I4)</f>
        <v>22.5</v>
      </c>
      <c r="S4">
        <f t="shared" ref="S4:S67" si="2">AVERAGE(M4,N4)</f>
        <v>30.5</v>
      </c>
      <c r="T4">
        <f t="shared" ref="T4:T67" si="3">AVERAGE(Q4:S4)</f>
        <v>22.166666666666668</v>
      </c>
      <c r="U4">
        <f t="shared" ref="U4:U67" si="4">MIN(Q4:S4)</f>
        <v>13.5</v>
      </c>
      <c r="V4">
        <f t="shared" ref="V4:V8" si="5">(T4-U4)</f>
        <v>8.6666666666666679</v>
      </c>
    </row>
    <row r="5" spans="2:32" x14ac:dyDescent="0.3">
      <c r="B5">
        <v>82</v>
      </c>
      <c r="C5">
        <v>18</v>
      </c>
      <c r="D5">
        <v>22</v>
      </c>
      <c r="E5">
        <v>78</v>
      </c>
      <c r="G5">
        <v>69</v>
      </c>
      <c r="H5">
        <v>31</v>
      </c>
      <c r="I5">
        <v>6</v>
      </c>
      <c r="J5">
        <v>94</v>
      </c>
      <c r="L5">
        <v>63</v>
      </c>
      <c r="M5">
        <v>37</v>
      </c>
      <c r="N5">
        <v>22</v>
      </c>
      <c r="O5">
        <v>78</v>
      </c>
      <c r="Q5">
        <f t="shared" si="0"/>
        <v>20</v>
      </c>
      <c r="R5">
        <f t="shared" si="1"/>
        <v>18.5</v>
      </c>
      <c r="S5">
        <f t="shared" si="2"/>
        <v>29.5</v>
      </c>
      <c r="T5">
        <f t="shared" si="3"/>
        <v>22.666666666666668</v>
      </c>
      <c r="U5">
        <f t="shared" si="4"/>
        <v>18.5</v>
      </c>
      <c r="V5">
        <f t="shared" si="5"/>
        <v>4.1666666666666679</v>
      </c>
    </row>
    <row r="6" spans="2:32" x14ac:dyDescent="0.3">
      <c r="B6">
        <v>85</v>
      </c>
      <c r="C6">
        <v>15</v>
      </c>
      <c r="D6">
        <v>21</v>
      </c>
      <c r="E6">
        <v>79</v>
      </c>
      <c r="G6">
        <v>66</v>
      </c>
      <c r="H6">
        <v>34</v>
      </c>
      <c r="I6">
        <v>8</v>
      </c>
      <c r="J6">
        <v>92</v>
      </c>
      <c r="L6">
        <v>62</v>
      </c>
      <c r="M6">
        <v>38</v>
      </c>
      <c r="N6">
        <v>26</v>
      </c>
      <c r="O6">
        <v>74</v>
      </c>
      <c r="Q6">
        <f t="shared" si="0"/>
        <v>18</v>
      </c>
      <c r="R6">
        <f t="shared" si="1"/>
        <v>21</v>
      </c>
      <c r="S6">
        <f t="shared" si="2"/>
        <v>32</v>
      </c>
      <c r="T6">
        <f t="shared" si="3"/>
        <v>23.666666666666668</v>
      </c>
      <c r="U6">
        <f t="shared" si="4"/>
        <v>18</v>
      </c>
      <c r="V6">
        <f t="shared" si="5"/>
        <v>5.6666666666666679</v>
      </c>
    </row>
    <row r="7" spans="2:32" x14ac:dyDescent="0.3">
      <c r="B7">
        <v>85</v>
      </c>
      <c r="C7">
        <v>15</v>
      </c>
      <c r="D7">
        <v>17</v>
      </c>
      <c r="E7">
        <v>83</v>
      </c>
      <c r="G7">
        <v>64</v>
      </c>
      <c r="H7">
        <v>36</v>
      </c>
      <c r="I7">
        <v>9</v>
      </c>
      <c r="J7">
        <v>91</v>
      </c>
      <c r="L7">
        <v>57</v>
      </c>
      <c r="M7">
        <v>43</v>
      </c>
      <c r="N7">
        <v>19</v>
      </c>
      <c r="O7">
        <v>81</v>
      </c>
      <c r="Q7">
        <f t="shared" si="0"/>
        <v>16</v>
      </c>
      <c r="R7">
        <f t="shared" si="1"/>
        <v>22.5</v>
      </c>
      <c r="S7">
        <f t="shared" si="2"/>
        <v>31</v>
      </c>
      <c r="T7">
        <f t="shared" si="3"/>
        <v>23.166666666666668</v>
      </c>
      <c r="U7">
        <f t="shared" si="4"/>
        <v>16</v>
      </c>
      <c r="V7">
        <f t="shared" si="5"/>
        <v>7.1666666666666679</v>
      </c>
    </row>
    <row r="8" spans="2:32" x14ac:dyDescent="0.3">
      <c r="B8">
        <v>86</v>
      </c>
      <c r="C8">
        <v>14</v>
      </c>
      <c r="D8">
        <v>15</v>
      </c>
      <c r="E8">
        <v>85</v>
      </c>
      <c r="G8">
        <v>72</v>
      </c>
      <c r="H8">
        <v>28</v>
      </c>
      <c r="I8">
        <v>19</v>
      </c>
      <c r="J8">
        <v>81</v>
      </c>
      <c r="L8">
        <v>67</v>
      </c>
      <c r="M8">
        <v>33</v>
      </c>
      <c r="N8">
        <v>35</v>
      </c>
      <c r="O8">
        <v>65</v>
      </c>
      <c r="Q8">
        <f t="shared" si="0"/>
        <v>14.5</v>
      </c>
      <c r="R8">
        <f t="shared" si="1"/>
        <v>23.5</v>
      </c>
      <c r="S8">
        <f t="shared" si="2"/>
        <v>34</v>
      </c>
      <c r="T8">
        <f t="shared" si="3"/>
        <v>24</v>
      </c>
      <c r="U8">
        <f t="shared" si="4"/>
        <v>14.5</v>
      </c>
      <c r="V8">
        <f t="shared" si="5"/>
        <v>9.5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1"/>
  <sheetViews>
    <sheetView topLeftCell="O1" workbookViewId="0">
      <selection activeCell="W3" sqref="W3:AF3"/>
    </sheetView>
  </sheetViews>
  <sheetFormatPr defaultRowHeight="14.4" x14ac:dyDescent="0.3"/>
  <cols>
    <col min="29" max="29" width="13.109375" customWidth="1"/>
  </cols>
  <sheetData>
    <row r="1" spans="1:32" x14ac:dyDescent="0.3">
      <c r="A1" t="s">
        <v>0</v>
      </c>
    </row>
    <row r="2" spans="1:32" x14ac:dyDescent="0.3">
      <c r="A2" t="s">
        <v>20</v>
      </c>
      <c r="Q2" t="s">
        <v>11</v>
      </c>
      <c r="R2" t="s">
        <v>12</v>
      </c>
      <c r="S2" t="s">
        <v>13</v>
      </c>
      <c r="T2" t="s">
        <v>15</v>
      </c>
      <c r="U2" t="s">
        <v>17</v>
      </c>
      <c r="V2" t="s">
        <v>14</v>
      </c>
      <c r="W2" t="s">
        <v>5</v>
      </c>
      <c r="X2" t="s">
        <v>26</v>
      </c>
      <c r="Y2" t="s">
        <v>7</v>
      </c>
      <c r="Z2" t="s">
        <v>27</v>
      </c>
      <c r="AA2" t="s">
        <v>9</v>
      </c>
      <c r="AB2" t="s">
        <v>28</v>
      </c>
      <c r="AC2" t="s">
        <v>1</v>
      </c>
      <c r="AD2" t="s">
        <v>16</v>
      </c>
      <c r="AE2" t="s">
        <v>18</v>
      </c>
      <c r="AF2" t="s">
        <v>19</v>
      </c>
    </row>
    <row r="3" spans="1:32" x14ac:dyDescent="0.3">
      <c r="B3" s="1">
        <v>87</v>
      </c>
      <c r="C3">
        <v>13</v>
      </c>
      <c r="D3">
        <v>15</v>
      </c>
      <c r="E3">
        <v>85</v>
      </c>
      <c r="G3">
        <v>63</v>
      </c>
      <c r="H3">
        <v>37</v>
      </c>
      <c r="I3">
        <v>6</v>
      </c>
      <c r="J3">
        <v>94</v>
      </c>
      <c r="L3">
        <v>71</v>
      </c>
      <c r="M3">
        <v>29</v>
      </c>
      <c r="N3">
        <v>23</v>
      </c>
      <c r="O3">
        <v>77</v>
      </c>
      <c r="Q3">
        <f>AVERAGE(C3:D3)</f>
        <v>14</v>
      </c>
      <c r="R3">
        <f>AVERAGE(H3:I3)</f>
        <v>21.5</v>
      </c>
      <c r="S3">
        <f>AVERAGE(M3:N3)</f>
        <v>26</v>
      </c>
      <c r="T3">
        <f>AVERAGE(Q3:S3)</f>
        <v>20.5</v>
      </c>
      <c r="U3">
        <f>MIN(Q3:S3)</f>
        <v>14</v>
      </c>
      <c r="V3">
        <f>T3-U3</f>
        <v>6.5</v>
      </c>
      <c r="W3">
        <f>AVERAGE(Q3:Q11)</f>
        <v>16.722222222222221</v>
      </c>
      <c r="X3">
        <f>_xlfn.STDEV.S(Q3:Q11)</f>
        <v>2.635231383473652</v>
      </c>
      <c r="Y3">
        <f>AVERAGE(R3:R11)</f>
        <v>22.166666666666668</v>
      </c>
      <c r="Z3">
        <f>_xlfn.STDEV.S(R3:R11)</f>
        <v>5.2380817099392409</v>
      </c>
      <c r="AA3">
        <f>AVERAGE(S3:S11)</f>
        <v>31.5</v>
      </c>
      <c r="AB3">
        <f>_xlfn.STDEV.S(S3:S11)</f>
        <v>3.2691742076555053</v>
      </c>
      <c r="AC3">
        <f>AVERAGE(T3:T11)</f>
        <v>23.462962962962958</v>
      </c>
      <c r="AD3">
        <f>_xlfn.STDEV.S(T3:T11)</f>
        <v>2.8096779394544562</v>
      </c>
      <c r="AE3">
        <f>AVERAGE(V3:V11)</f>
        <v>7.5740740740740744</v>
      </c>
      <c r="AF3">
        <f>_xlfn.STDEV.S(V3:V11)</f>
        <v>0.90948364131916359</v>
      </c>
    </row>
    <row r="4" spans="1:32" x14ac:dyDescent="0.3">
      <c r="B4" s="1">
        <v>81</v>
      </c>
      <c r="C4">
        <v>19</v>
      </c>
      <c r="D4">
        <v>16</v>
      </c>
      <c r="E4">
        <v>84</v>
      </c>
      <c r="G4">
        <v>51</v>
      </c>
      <c r="H4">
        <v>49</v>
      </c>
      <c r="I4">
        <v>5</v>
      </c>
      <c r="J4">
        <v>95</v>
      </c>
      <c r="L4">
        <v>61</v>
      </c>
      <c r="M4">
        <v>39</v>
      </c>
      <c r="N4">
        <v>25</v>
      </c>
      <c r="O4">
        <v>75</v>
      </c>
      <c r="Q4">
        <f t="shared" ref="Q4:Q5" si="0">AVERAGE(C4:D4)</f>
        <v>17.5</v>
      </c>
      <c r="R4">
        <f t="shared" ref="R4:R5" si="1">AVERAGE(H4:I4)</f>
        <v>27</v>
      </c>
      <c r="S4">
        <f t="shared" ref="S4:S5" si="2">AVERAGE(M4:N4)</f>
        <v>32</v>
      </c>
      <c r="T4">
        <f t="shared" ref="T4:T5" si="3">AVERAGE(Q4:S4)</f>
        <v>25.5</v>
      </c>
      <c r="U4">
        <f>MIN(Q4:S4)</f>
        <v>17.5</v>
      </c>
      <c r="V4">
        <f>T4-U4</f>
        <v>8</v>
      </c>
    </row>
    <row r="5" spans="1:32" x14ac:dyDescent="0.3">
      <c r="B5" s="1">
        <v>86</v>
      </c>
      <c r="C5">
        <v>14</v>
      </c>
      <c r="D5">
        <v>19</v>
      </c>
      <c r="E5">
        <v>81</v>
      </c>
      <c r="G5">
        <v>63</v>
      </c>
      <c r="H5">
        <v>37</v>
      </c>
      <c r="I5">
        <v>8</v>
      </c>
      <c r="J5">
        <v>92</v>
      </c>
      <c r="L5">
        <v>53</v>
      </c>
      <c r="M5">
        <v>47</v>
      </c>
      <c r="N5">
        <v>19</v>
      </c>
      <c r="O5">
        <v>81</v>
      </c>
      <c r="Q5">
        <f t="shared" si="0"/>
        <v>16.5</v>
      </c>
      <c r="R5">
        <f t="shared" si="1"/>
        <v>22.5</v>
      </c>
      <c r="S5">
        <f t="shared" si="2"/>
        <v>33</v>
      </c>
      <c r="T5">
        <f t="shared" si="3"/>
        <v>24</v>
      </c>
      <c r="U5">
        <f>MIN(Q5:S5)</f>
        <v>16.5</v>
      </c>
      <c r="V5">
        <f>T5-U5</f>
        <v>7.5</v>
      </c>
    </row>
    <row r="6" spans="1:32" x14ac:dyDescent="0.3">
      <c r="B6">
        <v>79</v>
      </c>
      <c r="C6">
        <v>21</v>
      </c>
      <c r="D6">
        <v>22</v>
      </c>
      <c r="E6">
        <v>78</v>
      </c>
      <c r="G6">
        <v>52</v>
      </c>
      <c r="H6">
        <v>48</v>
      </c>
      <c r="I6">
        <v>6</v>
      </c>
      <c r="J6">
        <v>94</v>
      </c>
      <c r="L6">
        <v>64</v>
      </c>
      <c r="M6">
        <v>36</v>
      </c>
      <c r="N6">
        <v>40</v>
      </c>
      <c r="O6">
        <v>60</v>
      </c>
      <c r="Q6">
        <f t="shared" ref="Q6:Q11" si="4">AVERAGE(C6:D6)</f>
        <v>21.5</v>
      </c>
      <c r="R6">
        <f t="shared" ref="R6:R11" si="5">AVERAGE(H6:I6)</f>
        <v>27</v>
      </c>
      <c r="S6">
        <f t="shared" ref="S6:S11" si="6">AVERAGE(M6:N6)</f>
        <v>38</v>
      </c>
      <c r="T6">
        <f t="shared" ref="T6:T11" si="7">AVERAGE(Q6:S6)</f>
        <v>28.833333333333332</v>
      </c>
      <c r="U6">
        <f t="shared" ref="U6:U11" si="8">MIN(Q6:S6)</f>
        <v>21.5</v>
      </c>
      <c r="V6">
        <f t="shared" ref="V6:V11" si="9">T6-U6</f>
        <v>7.3333333333333321</v>
      </c>
    </row>
    <row r="7" spans="1:32" x14ac:dyDescent="0.3">
      <c r="B7">
        <v>84</v>
      </c>
      <c r="C7">
        <v>16</v>
      </c>
      <c r="D7">
        <v>24</v>
      </c>
      <c r="E7">
        <v>76</v>
      </c>
      <c r="G7">
        <v>79</v>
      </c>
      <c r="H7">
        <v>21</v>
      </c>
      <c r="I7">
        <v>4</v>
      </c>
      <c r="J7">
        <v>96</v>
      </c>
      <c r="L7">
        <v>68</v>
      </c>
      <c r="M7">
        <v>32</v>
      </c>
      <c r="N7">
        <v>32</v>
      </c>
      <c r="O7">
        <v>68</v>
      </c>
      <c r="Q7">
        <f t="shared" si="4"/>
        <v>20</v>
      </c>
      <c r="R7">
        <f t="shared" si="5"/>
        <v>12.5</v>
      </c>
      <c r="S7">
        <f t="shared" si="6"/>
        <v>32</v>
      </c>
      <c r="T7">
        <f t="shared" si="7"/>
        <v>21.5</v>
      </c>
      <c r="U7">
        <f t="shared" si="8"/>
        <v>12.5</v>
      </c>
      <c r="V7">
        <f t="shared" si="9"/>
        <v>9</v>
      </c>
    </row>
    <row r="8" spans="1:32" x14ac:dyDescent="0.3">
      <c r="B8">
        <v>85</v>
      </c>
      <c r="C8">
        <v>15</v>
      </c>
      <c r="D8">
        <v>16</v>
      </c>
      <c r="E8">
        <v>84</v>
      </c>
      <c r="G8">
        <v>56</v>
      </c>
      <c r="H8">
        <v>44</v>
      </c>
      <c r="I8">
        <v>6</v>
      </c>
      <c r="J8">
        <v>94</v>
      </c>
      <c r="L8">
        <v>66</v>
      </c>
      <c r="M8">
        <v>34</v>
      </c>
      <c r="N8">
        <v>29</v>
      </c>
      <c r="O8">
        <v>71</v>
      </c>
      <c r="Q8">
        <f t="shared" si="4"/>
        <v>15.5</v>
      </c>
      <c r="R8">
        <f t="shared" si="5"/>
        <v>25</v>
      </c>
      <c r="S8">
        <f t="shared" si="6"/>
        <v>31.5</v>
      </c>
      <c r="T8">
        <f t="shared" si="7"/>
        <v>24</v>
      </c>
      <c r="U8">
        <f t="shared" si="8"/>
        <v>15.5</v>
      </c>
      <c r="V8">
        <f t="shared" si="9"/>
        <v>8.5</v>
      </c>
    </row>
    <row r="9" spans="1:32" x14ac:dyDescent="0.3">
      <c r="B9">
        <v>84</v>
      </c>
      <c r="C9">
        <v>16</v>
      </c>
      <c r="D9">
        <v>18</v>
      </c>
      <c r="E9">
        <v>82</v>
      </c>
      <c r="G9">
        <v>55</v>
      </c>
      <c r="H9">
        <v>45</v>
      </c>
      <c r="I9">
        <v>11</v>
      </c>
      <c r="J9">
        <v>89</v>
      </c>
      <c r="L9">
        <v>69</v>
      </c>
      <c r="M9">
        <v>31</v>
      </c>
      <c r="N9">
        <v>30</v>
      </c>
      <c r="O9">
        <v>70</v>
      </c>
      <c r="Q9">
        <f t="shared" si="4"/>
        <v>17</v>
      </c>
      <c r="R9">
        <f t="shared" si="5"/>
        <v>28</v>
      </c>
      <c r="S9">
        <f t="shared" si="6"/>
        <v>30.5</v>
      </c>
      <c r="T9">
        <f t="shared" si="7"/>
        <v>25.166666666666668</v>
      </c>
      <c r="U9">
        <f t="shared" si="8"/>
        <v>17</v>
      </c>
      <c r="V9">
        <f t="shared" si="9"/>
        <v>8.1666666666666679</v>
      </c>
    </row>
    <row r="10" spans="1:32" x14ac:dyDescent="0.3">
      <c r="B10">
        <v>88</v>
      </c>
      <c r="C10">
        <v>12</v>
      </c>
      <c r="D10">
        <v>16</v>
      </c>
      <c r="E10">
        <v>84</v>
      </c>
      <c r="G10">
        <v>70</v>
      </c>
      <c r="H10">
        <v>30</v>
      </c>
      <c r="I10">
        <v>8</v>
      </c>
      <c r="J10">
        <v>92</v>
      </c>
      <c r="L10">
        <v>63</v>
      </c>
      <c r="M10">
        <v>37</v>
      </c>
      <c r="N10">
        <v>20</v>
      </c>
      <c r="O10">
        <v>80</v>
      </c>
      <c r="Q10">
        <f t="shared" si="4"/>
        <v>14</v>
      </c>
      <c r="R10">
        <f t="shared" si="5"/>
        <v>19</v>
      </c>
      <c r="S10">
        <f t="shared" si="6"/>
        <v>28.5</v>
      </c>
      <c r="T10">
        <f t="shared" si="7"/>
        <v>20.5</v>
      </c>
      <c r="U10">
        <f t="shared" si="8"/>
        <v>14</v>
      </c>
      <c r="V10">
        <f t="shared" si="9"/>
        <v>6.5</v>
      </c>
    </row>
    <row r="11" spans="1:32" x14ac:dyDescent="0.3">
      <c r="B11">
        <v>87</v>
      </c>
      <c r="C11">
        <v>13</v>
      </c>
      <c r="D11">
        <v>16</v>
      </c>
      <c r="E11">
        <v>84</v>
      </c>
      <c r="G11">
        <v>70</v>
      </c>
      <c r="H11">
        <v>30</v>
      </c>
      <c r="I11">
        <v>4</v>
      </c>
      <c r="J11">
        <v>96</v>
      </c>
      <c r="L11">
        <v>59</v>
      </c>
      <c r="M11">
        <v>41</v>
      </c>
      <c r="N11">
        <v>23</v>
      </c>
      <c r="O11">
        <v>77</v>
      </c>
      <c r="Q11">
        <f t="shared" si="4"/>
        <v>14.5</v>
      </c>
      <c r="R11">
        <f t="shared" si="5"/>
        <v>17</v>
      </c>
      <c r="S11">
        <f t="shared" si="6"/>
        <v>32</v>
      </c>
      <c r="T11">
        <f t="shared" si="7"/>
        <v>21.166666666666668</v>
      </c>
      <c r="U11">
        <f t="shared" si="8"/>
        <v>14.5</v>
      </c>
      <c r="V11">
        <f t="shared" si="9"/>
        <v>6.6666666666666679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Foglio1</vt:lpstr>
      <vt:lpstr>DIFF_ONLYMIN</vt:lpstr>
      <vt:lpstr>DIFF_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2026-03-23T19:55:52Z</dcterms:modified>
</cp:coreProperties>
</file>