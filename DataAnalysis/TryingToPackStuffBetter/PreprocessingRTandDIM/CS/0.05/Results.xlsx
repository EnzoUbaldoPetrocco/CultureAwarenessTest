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RTandDIM\CS\0.05\"/>
    </mc:Choice>
  </mc:AlternateContent>
  <xr:revisionPtr revIDLastSave="0" documentId="13_ncr:1_{9B59159F-A9ED-4060-825E-7B1EA2CEA08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oglio1" sheetId="1" r:id="rId1"/>
    <sheet name="DIFF_ONLYMIN" sheetId="21" r:id="rId2"/>
    <sheet name="DIFF" sheetId="8" r:id="rId3"/>
    <sheet name="STD_BAL_STDAUG" sheetId="5" r:id="rId4"/>
    <sheet name="STD_BAL_NOAU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5" l="1"/>
  <c r="T3" i="5" s="1"/>
  <c r="R3" i="5"/>
  <c r="S3" i="5"/>
  <c r="AF2" i="21"/>
  <c r="AE2" i="21"/>
  <c r="AD2" i="21"/>
  <c r="AC2" i="21"/>
  <c r="AB2" i="21"/>
  <c r="AA2" i="21"/>
  <c r="Z2" i="21"/>
  <c r="Y2" i="21"/>
  <c r="X2" i="21"/>
  <c r="W2" i="21"/>
  <c r="Q3" i="21"/>
  <c r="T3" i="21" s="1"/>
  <c r="R3" i="21"/>
  <c r="S3" i="21"/>
  <c r="Q4" i="21"/>
  <c r="R4" i="21"/>
  <c r="S4" i="21"/>
  <c r="T4" i="21"/>
  <c r="U4" i="21"/>
  <c r="V4" i="21"/>
  <c r="Q5" i="21"/>
  <c r="R5" i="21"/>
  <c r="S5" i="21"/>
  <c r="T5" i="21"/>
  <c r="V5" i="21" s="1"/>
  <c r="U5" i="21"/>
  <c r="Q6" i="21"/>
  <c r="R6" i="21"/>
  <c r="S6" i="21"/>
  <c r="T6" i="21"/>
  <c r="V6" i="21" s="1"/>
  <c r="U6" i="21"/>
  <c r="AF3" i="8"/>
  <c r="AE3" i="8"/>
  <c r="AD3" i="8"/>
  <c r="AC3" i="8"/>
  <c r="AB3" i="8"/>
  <c r="AA3" i="8"/>
  <c r="Z3" i="8"/>
  <c r="Y3" i="8"/>
  <c r="X3" i="8"/>
  <c r="W3" i="8"/>
  <c r="Q4" i="8"/>
  <c r="R4" i="8"/>
  <c r="S4" i="8"/>
  <c r="T4" i="8"/>
  <c r="U4" i="8"/>
  <c r="V4" i="8"/>
  <c r="Q5" i="8"/>
  <c r="R5" i="8"/>
  <c r="S5" i="8"/>
  <c r="T5" i="8"/>
  <c r="U5" i="8"/>
  <c r="V5" i="8"/>
  <c r="Q6" i="8"/>
  <c r="U6" i="8" s="1"/>
  <c r="R6" i="8"/>
  <c r="S6" i="8"/>
  <c r="T6" i="8"/>
  <c r="V6" i="8" s="1"/>
  <c r="Q7" i="8"/>
  <c r="R7" i="8"/>
  <c r="S7" i="8"/>
  <c r="T7" i="8"/>
  <c r="U7" i="8"/>
  <c r="V7" i="8"/>
  <c r="Q8" i="8"/>
  <c r="R8" i="8"/>
  <c r="S8" i="8"/>
  <c r="T8" i="8"/>
  <c r="U8" i="8"/>
  <c r="V8" i="8"/>
  <c r="Q9" i="8"/>
  <c r="T9" i="8" s="1"/>
  <c r="R9" i="8"/>
  <c r="S9" i="8"/>
  <c r="Q10" i="8"/>
  <c r="R10" i="8"/>
  <c r="S10" i="8"/>
  <c r="T10" i="8"/>
  <c r="U10" i="8"/>
  <c r="V10" i="8"/>
  <c r="Q11" i="8"/>
  <c r="R11" i="8"/>
  <c r="S11" i="8"/>
  <c r="U11" i="8" s="1"/>
  <c r="Q4" i="5"/>
  <c r="R4" i="5"/>
  <c r="S4" i="5"/>
  <c r="Q5" i="5"/>
  <c r="R5" i="5"/>
  <c r="S5" i="5"/>
  <c r="T5" i="5"/>
  <c r="Q6" i="5"/>
  <c r="R6" i="5"/>
  <c r="S6" i="5"/>
  <c r="T6" i="5"/>
  <c r="U6" i="5"/>
  <c r="Q7" i="5"/>
  <c r="R7" i="5"/>
  <c r="S7" i="5"/>
  <c r="AA3" i="2"/>
  <c r="Q6" i="2"/>
  <c r="R6" i="2"/>
  <c r="T6" i="2" s="1"/>
  <c r="S6" i="2"/>
  <c r="Q7" i="2"/>
  <c r="R7" i="2"/>
  <c r="S7" i="2"/>
  <c r="T7" i="2"/>
  <c r="U7" i="2"/>
  <c r="Q8" i="2"/>
  <c r="R8" i="2"/>
  <c r="S8" i="2"/>
  <c r="T8" i="2"/>
  <c r="Q9" i="2"/>
  <c r="R9" i="2"/>
  <c r="S9" i="2"/>
  <c r="AB3" i="2" s="1"/>
  <c r="T9" i="2"/>
  <c r="Q10" i="2"/>
  <c r="R10" i="2"/>
  <c r="S10" i="2"/>
  <c r="T10" i="2"/>
  <c r="U10" i="2"/>
  <c r="Q11" i="2"/>
  <c r="R11" i="2"/>
  <c r="S11" i="2"/>
  <c r="S2" i="21"/>
  <c r="R2" i="21"/>
  <c r="Q2" i="21"/>
  <c r="S3" i="8"/>
  <c r="R3" i="8"/>
  <c r="Q3" i="8"/>
  <c r="Q4" i="2"/>
  <c r="R4" i="2"/>
  <c r="S4" i="2"/>
  <c r="Q5" i="2"/>
  <c r="R5" i="2"/>
  <c r="Z3" i="2" s="1"/>
  <c r="S5" i="2"/>
  <c r="S3" i="2"/>
  <c r="R3" i="2"/>
  <c r="Y3" i="2" s="1"/>
  <c r="Q3" i="2"/>
  <c r="X3" i="2" s="1"/>
  <c r="U3" i="5" l="1"/>
  <c r="V3" i="5" s="1"/>
  <c r="U5" i="5"/>
  <c r="V5" i="5" s="1"/>
  <c r="AB3" i="5"/>
  <c r="Z3" i="5"/>
  <c r="T4" i="5"/>
  <c r="T7" i="5"/>
  <c r="V6" i="5"/>
  <c r="U7" i="5"/>
  <c r="V7" i="5" s="1"/>
  <c r="U8" i="2"/>
  <c r="V8" i="2" s="1"/>
  <c r="V7" i="2"/>
  <c r="T11" i="2"/>
  <c r="V10" i="2"/>
  <c r="U6" i="2"/>
  <c r="V6" i="2" s="1"/>
  <c r="U9" i="2"/>
  <c r="V9" i="2" s="1"/>
  <c r="W3" i="2"/>
  <c r="V3" i="21"/>
  <c r="U3" i="21"/>
  <c r="T11" i="8"/>
  <c r="V11" i="8" s="1"/>
  <c r="U9" i="8"/>
  <c r="V9" i="8" s="1"/>
  <c r="X3" i="5"/>
  <c r="U4" i="5"/>
  <c r="V4" i="5" s="1"/>
  <c r="U11" i="2"/>
  <c r="U3" i="2"/>
  <c r="T4" i="2"/>
  <c r="T2" i="21"/>
  <c r="U2" i="21"/>
  <c r="T3" i="8"/>
  <c r="U3" i="8"/>
  <c r="W3" i="5"/>
  <c r="Y3" i="5"/>
  <c r="AA3" i="5"/>
  <c r="U4" i="2"/>
  <c r="U5" i="2"/>
  <c r="T3" i="2"/>
  <c r="T5" i="2"/>
  <c r="V5" i="2" l="1"/>
  <c r="V11" i="2"/>
  <c r="AD3" i="2"/>
  <c r="AC3" i="2"/>
  <c r="V4" i="2"/>
  <c r="V3" i="2"/>
  <c r="V2" i="21"/>
  <c r="V3" i="8"/>
  <c r="AD3" i="5"/>
  <c r="AC3" i="5"/>
  <c r="AF3" i="2" l="1"/>
  <c r="AE3" i="2"/>
  <c r="AF3" i="5"/>
  <c r="AE3" i="5"/>
</calcChain>
</file>

<file path=xl/sharedStrings.xml><?xml version="1.0" encoding="utf-8"?>
<sst xmlns="http://schemas.openxmlformats.org/spreadsheetml/2006/main" count="84" uniqueCount="29">
  <si>
    <t>Dati originali</t>
  </si>
  <si>
    <t>ERR</t>
  </si>
  <si>
    <t>STD</t>
  </si>
  <si>
    <t>NOAUG</t>
  </si>
  <si>
    <t>CULTURE0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</si>
  <si>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</si>
  <si>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</si>
  <si>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</si>
  <si>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</si>
  <si>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</si>
  <si>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</si>
  <si>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</si>
  <si>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</si>
  <si>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</si>
  <si>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</si>
  <si>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</si>
  <si>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</si>
  <si>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</si>
  <si>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</si>
  <si>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</si>
  <si>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</si>
  <si>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</si>
  <si>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</si>
  <si>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ERR0_STD</t>
  </si>
  <si>
    <t>ERR1_STD</t>
  </si>
  <si>
    <t>ERR2_STD</t>
  </si>
  <si>
    <t>DIFF</t>
  </si>
  <si>
    <t>DIFF Without retest</t>
  </si>
  <si>
    <t>DIFF_ONLYMIN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</si>
</sst>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"/>
  <sheetViews>
    <sheetView workbookViewId="0">
      <selection activeCell="C4" sqref="C4:L4"/>
    </sheetView>
  </sheetViews>
  <sheetFormatPr defaultRowHeight="14.4" x14ac:dyDescent="0.3"/>
  <cols>
    <col min="2" max="2" width="16.109375" customWidth="1"/>
  </cols>
  <sheetData>
    <row r="1" spans="2:12" x14ac:dyDescent="0.3"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</v>
      </c>
      <c r="J1" t="s">
        <v>16</v>
      </c>
      <c r="K1" t="s">
        <v>18</v>
      </c>
      <c r="L1" t="s">
        <v>19</v>
      </c>
    </row>
    <row r="3" spans="2:12" x14ac:dyDescent="0.3">
      <c r="B3" t="s">
        <v>3</v>
      </c>
      <c r="C3">
        <v>24.555555555555557</v>
      </c>
      <c r="D3">
        <v>2.0531141657924863</v>
      </c>
      <c r="E3">
        <v>17.888888888888889</v>
      </c>
      <c r="F3">
        <v>3.4980153103025557</v>
      </c>
      <c r="G3">
        <v>25.222222222222221</v>
      </c>
      <c r="H3">
        <v>1.9702650695894817</v>
      </c>
      <c r="I3">
        <v>22.555555555555557</v>
      </c>
      <c r="J3">
        <v>1.3176156917368251</v>
      </c>
      <c r="K3">
        <v>4.7777777777777777</v>
      </c>
      <c r="L3">
        <v>2.5792979234236939</v>
      </c>
    </row>
    <row r="4" spans="2:12" x14ac:dyDescent="0.3">
      <c r="B4" t="s">
        <v>2</v>
      </c>
      <c r="C4">
        <v>26.166666666666668</v>
      </c>
      <c r="D4">
        <v>2.753785273643051</v>
      </c>
      <c r="E4">
        <v>20</v>
      </c>
      <c r="F4">
        <v>2.2912878474779199</v>
      </c>
      <c r="G4">
        <v>24.333333333333332</v>
      </c>
      <c r="H4">
        <v>1.8929694486000914</v>
      </c>
      <c r="I4">
        <v>23.5</v>
      </c>
      <c r="J4">
        <v>2.179449471770337</v>
      </c>
      <c r="K4">
        <v>3.5</v>
      </c>
      <c r="L4">
        <v>1</v>
      </c>
    </row>
    <row r="5" spans="2:12" x14ac:dyDescent="0.3">
      <c r="B5" t="s">
        <v>26</v>
      </c>
      <c r="C5">
        <v>24.111111111111111</v>
      </c>
      <c r="D5">
        <v>2.2329601678290438</v>
      </c>
      <c r="E5">
        <v>19.722222222222221</v>
      </c>
      <c r="F5">
        <v>5.380004130522992</v>
      </c>
      <c r="G5">
        <v>22.722222222222221</v>
      </c>
      <c r="H5">
        <v>2.2653795365113645</v>
      </c>
      <c r="I5">
        <v>22.185185185185183</v>
      </c>
      <c r="J5">
        <v>1.6403007101605136</v>
      </c>
      <c r="K5">
        <v>4.0185185185185182</v>
      </c>
      <c r="L5">
        <v>1.7939799880519469</v>
      </c>
    </row>
    <row r="6" spans="2:12" x14ac:dyDescent="0.3">
      <c r="B6" t="s">
        <v>28</v>
      </c>
      <c r="C6">
        <v>23.9</v>
      </c>
      <c r="D6">
        <v>3.1898275815473092</v>
      </c>
      <c r="E6">
        <v>18.5</v>
      </c>
      <c r="F6">
        <v>2.8504385627478448</v>
      </c>
      <c r="G6">
        <v>24.2</v>
      </c>
      <c r="H6">
        <v>2.4647515087732472</v>
      </c>
      <c r="I6">
        <v>22.2</v>
      </c>
      <c r="J6">
        <v>2.340465290872261</v>
      </c>
      <c r="K6">
        <v>3.7</v>
      </c>
      <c r="L6">
        <v>2.0662634015159931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5332-554B-48D6-B8B1-1EA56C11B3D2}">
  <dimension ref="B1:AF6"/>
  <sheetViews>
    <sheetView topLeftCell="Q1" workbookViewId="0">
      <selection activeCell="W2" sqref="W2:AF2"/>
    </sheetView>
  </sheetViews>
  <sheetFormatPr defaultRowHeight="14.4" x14ac:dyDescent="0.3"/>
  <sheetData>
    <row r="1" spans="2:32" x14ac:dyDescent="0.3">
      <c r="Q1" t="s">
        <v>11</v>
      </c>
      <c r="R1" t="s">
        <v>12</v>
      </c>
      <c r="S1" t="s">
        <v>13</v>
      </c>
      <c r="T1" t="s">
        <v>15</v>
      </c>
      <c r="U1" t="s">
        <v>17</v>
      </c>
      <c r="V1" t="s">
        <v>14</v>
      </c>
      <c r="W1" t="s">
        <v>5</v>
      </c>
      <c r="X1" t="s">
        <v>23</v>
      </c>
      <c r="Y1" t="s">
        <v>7</v>
      </c>
      <c r="Z1" t="s">
        <v>24</v>
      </c>
      <c r="AA1" t="s">
        <v>9</v>
      </c>
      <c r="AB1" t="s">
        <v>25</v>
      </c>
      <c r="AC1" t="s">
        <v>1</v>
      </c>
      <c r="AD1" t="s">
        <v>16</v>
      </c>
      <c r="AE1" t="s">
        <v>18</v>
      </c>
      <c r="AF1" t="s">
        <v>19</v>
      </c>
    </row>
    <row r="2" spans="2:32" x14ac:dyDescent="0.3">
      <c r="B2">
        <v>86</v>
      </c>
      <c r="C2">
        <v>14</v>
      </c>
      <c r="D2">
        <v>35</v>
      </c>
      <c r="E2">
        <v>65</v>
      </c>
      <c r="G2">
        <v>84</v>
      </c>
      <c r="H2">
        <v>16</v>
      </c>
      <c r="I2">
        <v>13</v>
      </c>
      <c r="J2">
        <v>87</v>
      </c>
      <c r="L2">
        <v>76</v>
      </c>
      <c r="M2">
        <v>24</v>
      </c>
      <c r="N2">
        <v>26</v>
      </c>
      <c r="O2">
        <v>74</v>
      </c>
      <c r="Q2">
        <f>AVERAGE(C2:D2)</f>
        <v>24.5</v>
      </c>
      <c r="R2">
        <f>AVERAGE(H2:I2)</f>
        <v>14.5</v>
      </c>
      <c r="S2">
        <f>AVERAGE(M2:N2)</f>
        <v>25</v>
      </c>
      <c r="T2">
        <f>AVERAGE(Q2:S2)</f>
        <v>21.333333333333332</v>
      </c>
      <c r="U2">
        <f>MIN(Q2:S2)</f>
        <v>14.5</v>
      </c>
      <c r="V2">
        <f>T2-U2</f>
        <v>6.8333333333333321</v>
      </c>
      <c r="W2">
        <f>AVERAGE(Q2:Q6)</f>
        <v>23.9</v>
      </c>
      <c r="X2">
        <f>_xlfn.STDEV.S(Q2:Q6)</f>
        <v>3.1898275815473092</v>
      </c>
      <c r="Y2">
        <f>AVERAGE(R2:R6)</f>
        <v>18.5</v>
      </c>
      <c r="Z2">
        <f>_xlfn.STDEV.S(R2:R6)</f>
        <v>2.8504385627478448</v>
      </c>
      <c r="AA2">
        <f>AVERAGE(S2:S6)</f>
        <v>24.2</v>
      </c>
      <c r="AB2">
        <f>_xlfn.STDEV.S(S2:S6)</f>
        <v>2.4647515087732472</v>
      </c>
      <c r="AC2">
        <f>AVERAGE(T2:T6)</f>
        <v>22.2</v>
      </c>
      <c r="AD2">
        <f>_xlfn.STDEV.S(T2:T6)</f>
        <v>2.340465290872261</v>
      </c>
      <c r="AE2">
        <f>AVERAGE(V2:V6)</f>
        <v>3.7</v>
      </c>
      <c r="AF2">
        <f>_xlfn.STDEV.S(V2:V6)</f>
        <v>2.0662634015159931</v>
      </c>
    </row>
    <row r="3" spans="2:32" x14ac:dyDescent="0.3">
      <c r="B3">
        <v>89</v>
      </c>
      <c r="C3">
        <v>11</v>
      </c>
      <c r="D3">
        <v>28</v>
      </c>
      <c r="E3">
        <v>72</v>
      </c>
      <c r="G3">
        <v>73</v>
      </c>
      <c r="H3">
        <v>27</v>
      </c>
      <c r="I3">
        <v>9</v>
      </c>
      <c r="J3">
        <v>91</v>
      </c>
      <c r="L3">
        <v>79</v>
      </c>
      <c r="M3">
        <v>21</v>
      </c>
      <c r="N3">
        <v>19</v>
      </c>
      <c r="O3">
        <v>81</v>
      </c>
      <c r="Q3">
        <f t="shared" ref="Q3:Q6" si="0">AVERAGE(C3:D3)</f>
        <v>19.5</v>
      </c>
      <c r="R3">
        <f t="shared" ref="R3:R6" si="1">AVERAGE(H3:I3)</f>
        <v>18</v>
      </c>
      <c r="S3">
        <f t="shared" ref="S3:S6" si="2">AVERAGE(M3:N3)</f>
        <v>20</v>
      </c>
      <c r="T3">
        <f t="shared" ref="T3:T6" si="3">AVERAGE(Q3:S3)</f>
        <v>19.166666666666668</v>
      </c>
      <c r="U3">
        <f t="shared" ref="U3:U6" si="4">MIN(Q3:S3)</f>
        <v>18</v>
      </c>
      <c r="V3">
        <f t="shared" ref="V3:V6" si="5">T3-U3</f>
        <v>1.1666666666666679</v>
      </c>
    </row>
    <row r="4" spans="2:32" x14ac:dyDescent="0.3">
      <c r="B4">
        <v>91</v>
      </c>
      <c r="C4">
        <v>9</v>
      </c>
      <c r="D4">
        <v>43</v>
      </c>
      <c r="E4">
        <v>57</v>
      </c>
      <c r="G4">
        <v>85</v>
      </c>
      <c r="H4">
        <v>15</v>
      </c>
      <c r="I4">
        <v>27</v>
      </c>
      <c r="J4">
        <v>73</v>
      </c>
      <c r="L4">
        <v>74</v>
      </c>
      <c r="M4">
        <v>26</v>
      </c>
      <c r="N4">
        <v>23</v>
      </c>
      <c r="O4">
        <v>77</v>
      </c>
      <c r="Q4">
        <f t="shared" si="0"/>
        <v>26</v>
      </c>
      <c r="R4">
        <f t="shared" si="1"/>
        <v>21</v>
      </c>
      <c r="S4">
        <f t="shared" si="2"/>
        <v>24.5</v>
      </c>
      <c r="T4">
        <f t="shared" si="3"/>
        <v>23.833333333333332</v>
      </c>
      <c r="U4">
        <f t="shared" si="4"/>
        <v>21</v>
      </c>
      <c r="V4">
        <f t="shared" si="5"/>
        <v>2.8333333333333321</v>
      </c>
    </row>
    <row r="5" spans="2:32" x14ac:dyDescent="0.3">
      <c r="B5">
        <v>91</v>
      </c>
      <c r="C5">
        <v>9</v>
      </c>
      <c r="D5">
        <v>35</v>
      </c>
      <c r="E5">
        <v>65</v>
      </c>
      <c r="G5">
        <v>81</v>
      </c>
      <c r="H5">
        <v>19</v>
      </c>
      <c r="I5">
        <v>16</v>
      </c>
      <c r="J5">
        <v>84</v>
      </c>
      <c r="L5">
        <v>72</v>
      </c>
      <c r="M5">
        <v>28</v>
      </c>
      <c r="N5">
        <v>22</v>
      </c>
      <c r="O5">
        <v>78</v>
      </c>
      <c r="Q5">
        <f t="shared" si="0"/>
        <v>22</v>
      </c>
      <c r="R5">
        <f t="shared" si="1"/>
        <v>17.5</v>
      </c>
      <c r="S5">
        <f t="shared" si="2"/>
        <v>25</v>
      </c>
      <c r="T5">
        <f t="shared" si="3"/>
        <v>21.5</v>
      </c>
      <c r="U5">
        <f t="shared" si="4"/>
        <v>17.5</v>
      </c>
      <c r="V5">
        <f t="shared" si="5"/>
        <v>4</v>
      </c>
    </row>
    <row r="6" spans="2:32" x14ac:dyDescent="0.3">
      <c r="B6">
        <v>93</v>
      </c>
      <c r="C6">
        <v>7</v>
      </c>
      <c r="D6">
        <v>48</v>
      </c>
      <c r="E6">
        <v>52</v>
      </c>
      <c r="G6">
        <v>79</v>
      </c>
      <c r="H6">
        <v>21</v>
      </c>
      <c r="I6">
        <v>22</v>
      </c>
      <c r="J6">
        <v>78</v>
      </c>
      <c r="L6">
        <v>80</v>
      </c>
      <c r="M6">
        <v>20</v>
      </c>
      <c r="N6">
        <v>33</v>
      </c>
      <c r="O6">
        <v>67</v>
      </c>
      <c r="Q6">
        <f t="shared" si="0"/>
        <v>27.5</v>
      </c>
      <c r="R6">
        <f t="shared" si="1"/>
        <v>21.5</v>
      </c>
      <c r="S6">
        <f t="shared" si="2"/>
        <v>26.5</v>
      </c>
      <c r="T6">
        <f t="shared" si="3"/>
        <v>25.166666666666668</v>
      </c>
      <c r="U6">
        <f t="shared" si="4"/>
        <v>21.5</v>
      </c>
      <c r="V6">
        <f t="shared" si="5"/>
        <v>3.6666666666666679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F6D0-ABAC-48C6-A867-062B0035D0C5}">
  <dimension ref="A2:AF11"/>
  <sheetViews>
    <sheetView topLeftCell="K1" workbookViewId="0">
      <selection activeCell="W3" sqref="W3"/>
    </sheetView>
  </sheetViews>
  <sheetFormatPr defaultRowHeight="14.4" x14ac:dyDescent="0.3"/>
  <sheetData>
    <row r="2" spans="1:32" x14ac:dyDescent="0.3">
      <c r="A2" t="s">
        <v>27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</v>
      </c>
      <c r="X2" t="s">
        <v>23</v>
      </c>
      <c r="Y2" t="s">
        <v>7</v>
      </c>
      <c r="Z2" t="s">
        <v>24</v>
      </c>
      <c r="AA2" t="s">
        <v>9</v>
      </c>
      <c r="AB2" t="s">
        <v>25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B3">
        <v>91</v>
      </c>
      <c r="C3">
        <v>9</v>
      </c>
      <c r="D3">
        <v>36</v>
      </c>
      <c r="E3">
        <v>64</v>
      </c>
      <c r="G3">
        <v>75</v>
      </c>
      <c r="H3">
        <v>25</v>
      </c>
      <c r="I3">
        <v>14</v>
      </c>
      <c r="J3">
        <v>86</v>
      </c>
      <c r="L3">
        <v>76</v>
      </c>
      <c r="M3">
        <v>24</v>
      </c>
      <c r="N3">
        <v>18</v>
      </c>
      <c r="O3">
        <v>82</v>
      </c>
      <c r="Q3">
        <f>AVERAGE(C3:D3)</f>
        <v>22.5</v>
      </c>
      <c r="R3">
        <f>AVERAGE(H3:I3)</f>
        <v>19.5</v>
      </c>
      <c r="S3">
        <f>AVERAGE(M3:N3)</f>
        <v>21</v>
      </c>
      <c r="T3">
        <f>AVERAGE(Q3:S3)</f>
        <v>21</v>
      </c>
      <c r="U3">
        <f>MIN(Q3:S3)</f>
        <v>19.5</v>
      </c>
      <c r="V3">
        <f>T3-U3</f>
        <v>1.5</v>
      </c>
      <c r="W3">
        <f>AVERAGE(Q3:Q11)</f>
        <v>24.111111111111111</v>
      </c>
      <c r="X3">
        <f>_xlfn.STDEV.S(Q3:Q11)</f>
        <v>2.2329601678290438</v>
      </c>
      <c r="Y3">
        <f>AVERAGE(R3:R11)</f>
        <v>19.722222222222221</v>
      </c>
      <c r="Z3">
        <f>_xlfn.STDEV.S(R3:R11)</f>
        <v>5.380004130522992</v>
      </c>
      <c r="AA3">
        <f>AVERAGE(S3:S11)</f>
        <v>22.722222222222221</v>
      </c>
      <c r="AB3">
        <f>_xlfn.STDEV.S(S3:S11)</f>
        <v>2.2653795365113645</v>
      </c>
      <c r="AC3">
        <f>AVERAGE(T3:T11)</f>
        <v>22.185185185185183</v>
      </c>
      <c r="AD3">
        <f>_xlfn.STDEV.S(T3:T11)</f>
        <v>1.6403007101605136</v>
      </c>
      <c r="AE3">
        <f>AVERAGE(V3:V11)</f>
        <v>4.0185185185185182</v>
      </c>
      <c r="AF3">
        <f>_xlfn.STDEV.S(V3:V11)</f>
        <v>1.7939799880519469</v>
      </c>
    </row>
    <row r="4" spans="1:32" x14ac:dyDescent="0.3">
      <c r="B4">
        <v>92</v>
      </c>
      <c r="C4">
        <v>8</v>
      </c>
      <c r="D4">
        <v>37</v>
      </c>
      <c r="E4">
        <v>63</v>
      </c>
      <c r="G4">
        <v>68</v>
      </c>
      <c r="H4">
        <v>32</v>
      </c>
      <c r="I4">
        <v>20</v>
      </c>
      <c r="J4">
        <v>80</v>
      </c>
      <c r="L4">
        <v>76</v>
      </c>
      <c r="M4">
        <v>24</v>
      </c>
      <c r="N4">
        <v>28</v>
      </c>
      <c r="O4">
        <v>72</v>
      </c>
      <c r="Q4">
        <f t="shared" ref="Q4:Q11" si="0">AVERAGE(C4:D4)</f>
        <v>22.5</v>
      </c>
      <c r="R4">
        <f t="shared" ref="R4:R11" si="1">AVERAGE(H4:I4)</f>
        <v>26</v>
      </c>
      <c r="S4">
        <f t="shared" ref="S4:S11" si="2">AVERAGE(M4:N4)</f>
        <v>26</v>
      </c>
      <c r="T4">
        <f t="shared" ref="T4:T11" si="3">AVERAGE(Q4:S4)</f>
        <v>24.833333333333332</v>
      </c>
      <c r="U4">
        <f t="shared" ref="U4:U11" si="4">MIN(Q4:S4)</f>
        <v>22.5</v>
      </c>
      <c r="V4">
        <f t="shared" ref="V4:V11" si="5">T4-U4</f>
        <v>2.3333333333333321</v>
      </c>
    </row>
    <row r="5" spans="1:32" x14ac:dyDescent="0.3">
      <c r="B5">
        <v>90</v>
      </c>
      <c r="C5">
        <v>10</v>
      </c>
      <c r="D5">
        <v>33</v>
      </c>
      <c r="E5">
        <v>67</v>
      </c>
      <c r="G5">
        <v>83</v>
      </c>
      <c r="H5">
        <v>17</v>
      </c>
      <c r="I5">
        <v>15</v>
      </c>
      <c r="J5">
        <v>85</v>
      </c>
      <c r="L5">
        <v>80</v>
      </c>
      <c r="M5">
        <v>20</v>
      </c>
      <c r="N5">
        <v>33</v>
      </c>
      <c r="O5">
        <v>67</v>
      </c>
      <c r="Q5">
        <f t="shared" si="0"/>
        <v>21.5</v>
      </c>
      <c r="R5">
        <f t="shared" si="1"/>
        <v>16</v>
      </c>
      <c r="S5">
        <f t="shared" si="2"/>
        <v>26.5</v>
      </c>
      <c r="T5">
        <f t="shared" si="3"/>
        <v>21.333333333333332</v>
      </c>
      <c r="U5">
        <f t="shared" si="4"/>
        <v>16</v>
      </c>
      <c r="V5">
        <f t="shared" si="5"/>
        <v>5.3333333333333321</v>
      </c>
    </row>
    <row r="6" spans="1:32" x14ac:dyDescent="0.3">
      <c r="B6">
        <v>83</v>
      </c>
      <c r="C6">
        <v>17</v>
      </c>
      <c r="D6">
        <v>35</v>
      </c>
      <c r="E6">
        <v>65</v>
      </c>
      <c r="G6">
        <v>79</v>
      </c>
      <c r="H6">
        <v>21</v>
      </c>
      <c r="I6">
        <v>8</v>
      </c>
      <c r="J6">
        <v>92</v>
      </c>
      <c r="L6">
        <v>75</v>
      </c>
      <c r="M6">
        <v>25</v>
      </c>
      <c r="N6">
        <v>21</v>
      </c>
      <c r="O6">
        <v>79</v>
      </c>
      <c r="Q6">
        <f t="shared" si="0"/>
        <v>26</v>
      </c>
      <c r="R6">
        <f t="shared" si="1"/>
        <v>14.5</v>
      </c>
      <c r="S6">
        <f t="shared" si="2"/>
        <v>23</v>
      </c>
      <c r="T6">
        <f t="shared" si="3"/>
        <v>21.166666666666668</v>
      </c>
      <c r="U6">
        <f t="shared" si="4"/>
        <v>14.5</v>
      </c>
      <c r="V6">
        <f t="shared" si="5"/>
        <v>6.6666666666666679</v>
      </c>
    </row>
    <row r="7" spans="1:32" x14ac:dyDescent="0.3">
      <c r="B7">
        <v>90</v>
      </c>
      <c r="C7">
        <v>10</v>
      </c>
      <c r="D7">
        <v>44</v>
      </c>
      <c r="E7">
        <v>56</v>
      </c>
      <c r="G7">
        <v>87</v>
      </c>
      <c r="H7">
        <v>13</v>
      </c>
      <c r="I7">
        <v>19</v>
      </c>
      <c r="J7">
        <v>81</v>
      </c>
      <c r="L7">
        <v>76</v>
      </c>
      <c r="M7">
        <v>24</v>
      </c>
      <c r="N7">
        <v>21</v>
      </c>
      <c r="O7">
        <v>79</v>
      </c>
      <c r="Q7">
        <f t="shared" si="0"/>
        <v>27</v>
      </c>
      <c r="R7">
        <f t="shared" si="1"/>
        <v>16</v>
      </c>
      <c r="S7">
        <f t="shared" si="2"/>
        <v>22.5</v>
      </c>
      <c r="T7">
        <f t="shared" si="3"/>
        <v>21.833333333333332</v>
      </c>
      <c r="U7">
        <f t="shared" si="4"/>
        <v>16</v>
      </c>
      <c r="V7">
        <f t="shared" si="5"/>
        <v>5.8333333333333321</v>
      </c>
    </row>
    <row r="8" spans="1:32" x14ac:dyDescent="0.3">
      <c r="B8">
        <v>92</v>
      </c>
      <c r="C8">
        <v>8</v>
      </c>
      <c r="D8">
        <v>36</v>
      </c>
      <c r="E8">
        <v>64</v>
      </c>
      <c r="G8">
        <v>84</v>
      </c>
      <c r="H8">
        <v>16</v>
      </c>
      <c r="I8">
        <v>18</v>
      </c>
      <c r="J8">
        <v>82</v>
      </c>
      <c r="L8">
        <v>78</v>
      </c>
      <c r="M8">
        <v>22</v>
      </c>
      <c r="N8">
        <v>24</v>
      </c>
      <c r="O8">
        <v>76</v>
      </c>
      <c r="Q8">
        <f t="shared" si="0"/>
        <v>22</v>
      </c>
      <c r="R8">
        <f t="shared" si="1"/>
        <v>17</v>
      </c>
      <c r="S8">
        <f t="shared" si="2"/>
        <v>23</v>
      </c>
      <c r="T8">
        <f t="shared" si="3"/>
        <v>20.666666666666668</v>
      </c>
      <c r="U8">
        <f t="shared" si="4"/>
        <v>17</v>
      </c>
      <c r="V8">
        <f t="shared" si="5"/>
        <v>3.6666666666666679</v>
      </c>
    </row>
    <row r="9" spans="1:32" x14ac:dyDescent="0.3">
      <c r="B9">
        <v>83</v>
      </c>
      <c r="C9">
        <v>17</v>
      </c>
      <c r="D9">
        <v>29</v>
      </c>
      <c r="E9">
        <v>71</v>
      </c>
      <c r="G9">
        <v>57</v>
      </c>
      <c r="H9">
        <v>43</v>
      </c>
      <c r="I9">
        <v>18</v>
      </c>
      <c r="J9">
        <v>82</v>
      </c>
      <c r="L9">
        <v>73</v>
      </c>
      <c r="M9">
        <v>27</v>
      </c>
      <c r="N9">
        <v>13</v>
      </c>
      <c r="O9">
        <v>87</v>
      </c>
      <c r="Q9">
        <f t="shared" si="0"/>
        <v>23</v>
      </c>
      <c r="R9">
        <f t="shared" si="1"/>
        <v>30.5</v>
      </c>
      <c r="S9">
        <f t="shared" si="2"/>
        <v>20</v>
      </c>
      <c r="T9">
        <f t="shared" si="3"/>
        <v>24.5</v>
      </c>
      <c r="U9">
        <f t="shared" si="4"/>
        <v>20</v>
      </c>
      <c r="V9">
        <f t="shared" si="5"/>
        <v>4.5</v>
      </c>
    </row>
    <row r="10" spans="1:32" x14ac:dyDescent="0.3">
      <c r="B10">
        <v>94</v>
      </c>
      <c r="C10">
        <v>6</v>
      </c>
      <c r="D10">
        <v>48</v>
      </c>
      <c r="E10">
        <v>52</v>
      </c>
      <c r="G10">
        <v>81</v>
      </c>
      <c r="H10">
        <v>19</v>
      </c>
      <c r="I10">
        <v>24</v>
      </c>
      <c r="J10">
        <v>76</v>
      </c>
      <c r="L10">
        <v>81</v>
      </c>
      <c r="M10">
        <v>19</v>
      </c>
      <c r="N10">
        <v>25</v>
      </c>
      <c r="O10">
        <v>75</v>
      </c>
      <c r="Q10">
        <f t="shared" si="0"/>
        <v>27</v>
      </c>
      <c r="R10">
        <f t="shared" si="1"/>
        <v>21.5</v>
      </c>
      <c r="S10">
        <f t="shared" si="2"/>
        <v>22</v>
      </c>
      <c r="T10">
        <f t="shared" si="3"/>
        <v>23.5</v>
      </c>
      <c r="U10">
        <f t="shared" si="4"/>
        <v>21.5</v>
      </c>
      <c r="V10">
        <f t="shared" si="5"/>
        <v>2</v>
      </c>
    </row>
    <row r="11" spans="1:32" x14ac:dyDescent="0.3">
      <c r="B11">
        <v>87</v>
      </c>
      <c r="C11">
        <v>13</v>
      </c>
      <c r="D11">
        <v>38</v>
      </c>
      <c r="E11">
        <v>62</v>
      </c>
      <c r="G11">
        <v>79</v>
      </c>
      <c r="H11">
        <v>21</v>
      </c>
      <c r="I11">
        <v>12</v>
      </c>
      <c r="J11">
        <v>88</v>
      </c>
      <c r="L11">
        <v>80</v>
      </c>
      <c r="M11">
        <v>20</v>
      </c>
      <c r="N11">
        <v>21</v>
      </c>
      <c r="O11">
        <v>79</v>
      </c>
      <c r="Q11">
        <f t="shared" si="0"/>
        <v>25.5</v>
      </c>
      <c r="R11">
        <f t="shared" si="1"/>
        <v>16.5</v>
      </c>
      <c r="S11">
        <f t="shared" si="2"/>
        <v>20.5</v>
      </c>
      <c r="T11">
        <f t="shared" si="3"/>
        <v>20.833333333333332</v>
      </c>
      <c r="U11">
        <f t="shared" si="4"/>
        <v>16.5</v>
      </c>
      <c r="V11">
        <f t="shared" si="5"/>
        <v>4.3333333333333321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506E-E2C3-4105-A101-2ED902EAE848}">
  <dimension ref="A2:AF7"/>
  <sheetViews>
    <sheetView tabSelected="1" topLeftCell="B1" workbookViewId="0">
      <selection activeCell="Q3" sqref="Q3:V3"/>
    </sheetView>
  </sheetViews>
  <sheetFormatPr defaultRowHeight="14.4" x14ac:dyDescent="0.3"/>
  <cols>
    <col min="21" max="21" width="11.44140625" customWidth="1"/>
    <col min="34" max="34" width="19.44140625" customWidth="1"/>
    <col min="38" max="38" width="20.88671875" customWidth="1"/>
  </cols>
  <sheetData>
    <row r="2" spans="1:32" x14ac:dyDescent="0.3">
      <c r="A2" t="s">
        <v>20</v>
      </c>
      <c r="F2" t="s">
        <v>21</v>
      </c>
      <c r="K2" t="s">
        <v>22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</v>
      </c>
      <c r="X2" t="s">
        <v>23</v>
      </c>
      <c r="Y2" t="s">
        <v>7</v>
      </c>
      <c r="Z2" t="s">
        <v>24</v>
      </c>
      <c r="AA2" t="s">
        <v>9</v>
      </c>
      <c r="AB2" t="s">
        <v>25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B3">
        <v>90</v>
      </c>
      <c r="C3">
        <v>10</v>
      </c>
      <c r="D3">
        <v>48</v>
      </c>
      <c r="E3">
        <v>52</v>
      </c>
      <c r="G3">
        <v>78</v>
      </c>
      <c r="H3">
        <v>22</v>
      </c>
      <c r="I3">
        <v>23</v>
      </c>
      <c r="J3">
        <v>77</v>
      </c>
      <c r="L3">
        <v>75</v>
      </c>
      <c r="M3">
        <v>25</v>
      </c>
      <c r="N3">
        <v>28</v>
      </c>
      <c r="O3">
        <v>72</v>
      </c>
      <c r="Q3">
        <f>AVERAGE(C3:D3)</f>
        <v>29</v>
      </c>
      <c r="R3">
        <f>AVERAGE(H3:I3)</f>
        <v>22.5</v>
      </c>
      <c r="S3">
        <f>AVERAGE(M3:N3)</f>
        <v>26.5</v>
      </c>
      <c r="T3">
        <f>AVERAGE(Q3:S3)</f>
        <v>26</v>
      </c>
      <c r="U3">
        <f>MIN(Q3:S3)</f>
        <v>22.5</v>
      </c>
      <c r="V3">
        <f>T3-U3</f>
        <v>3.5</v>
      </c>
      <c r="W3">
        <f>AVERAGE(Q3:Q5)</f>
        <v>26.166666666666668</v>
      </c>
      <c r="X3">
        <f>_xlfn.STDEV.S(Q3:Q5)</f>
        <v>2.753785273643051</v>
      </c>
      <c r="Y3">
        <f>AVERAGE(R3:R5)</f>
        <v>20</v>
      </c>
      <c r="Z3">
        <f>_xlfn.STDEV.S(R3:R5)</f>
        <v>2.2912878474779199</v>
      </c>
      <c r="AA3">
        <f>AVERAGE(S3:S5)</f>
        <v>24.333333333333332</v>
      </c>
      <c r="AB3">
        <f>_xlfn.STDEV.S(S3:S5)</f>
        <v>1.8929694486000914</v>
      </c>
      <c r="AC3">
        <f>AVERAGE(T3:T5)</f>
        <v>23.5</v>
      </c>
      <c r="AD3">
        <f>_xlfn.STDEV.S(T3:T5)</f>
        <v>2.179449471770337</v>
      </c>
      <c r="AE3">
        <f>AVERAGE(V3:V5)</f>
        <v>3.5</v>
      </c>
      <c r="AF3">
        <f>_xlfn.STDEV.S(V3:V5)</f>
        <v>1</v>
      </c>
    </row>
    <row r="4" spans="1:32" x14ac:dyDescent="0.3">
      <c r="B4">
        <v>98</v>
      </c>
      <c r="C4">
        <v>2</v>
      </c>
      <c r="D4">
        <v>45</v>
      </c>
      <c r="E4">
        <v>55</v>
      </c>
      <c r="G4">
        <v>88</v>
      </c>
      <c r="H4">
        <v>12</v>
      </c>
      <c r="I4">
        <v>27</v>
      </c>
      <c r="J4">
        <v>73</v>
      </c>
      <c r="L4">
        <v>76</v>
      </c>
      <c r="M4">
        <v>24</v>
      </c>
      <c r="N4">
        <v>22</v>
      </c>
      <c r="O4">
        <v>78</v>
      </c>
      <c r="Q4">
        <f t="shared" ref="Q4:Q7" si="0">AVERAGE(C4:D4)</f>
        <v>23.5</v>
      </c>
      <c r="R4">
        <f t="shared" ref="R4:R7" si="1">AVERAGE(H4:I4)</f>
        <v>19.5</v>
      </c>
      <c r="S4">
        <f t="shared" ref="S4:S7" si="2">AVERAGE(M4:N4)</f>
        <v>23</v>
      </c>
      <c r="T4">
        <f t="shared" ref="T4:T7" si="3">AVERAGE(Q4:S4)</f>
        <v>22</v>
      </c>
      <c r="U4">
        <f t="shared" ref="U4:U7" si="4">MIN(Q4:S4)</f>
        <v>19.5</v>
      </c>
      <c r="V4">
        <f t="shared" ref="V4:V7" si="5">T4-U4</f>
        <v>2.5</v>
      </c>
    </row>
    <row r="5" spans="1:32" x14ac:dyDescent="0.3">
      <c r="B5">
        <v>92</v>
      </c>
      <c r="C5">
        <v>8</v>
      </c>
      <c r="D5">
        <v>44</v>
      </c>
      <c r="E5">
        <v>56</v>
      </c>
      <c r="G5">
        <v>78</v>
      </c>
      <c r="H5">
        <v>22</v>
      </c>
      <c r="I5">
        <v>14</v>
      </c>
      <c r="J5">
        <v>86</v>
      </c>
      <c r="L5">
        <v>79</v>
      </c>
      <c r="M5">
        <v>21</v>
      </c>
      <c r="N5">
        <v>26</v>
      </c>
      <c r="O5">
        <v>74</v>
      </c>
      <c r="Q5">
        <f t="shared" si="0"/>
        <v>26</v>
      </c>
      <c r="R5">
        <f t="shared" si="1"/>
        <v>18</v>
      </c>
      <c r="S5">
        <f t="shared" si="2"/>
        <v>23.5</v>
      </c>
      <c r="T5">
        <f t="shared" si="3"/>
        <v>22.5</v>
      </c>
      <c r="U5">
        <f t="shared" si="4"/>
        <v>18</v>
      </c>
      <c r="V5">
        <f t="shared" si="5"/>
        <v>4.5</v>
      </c>
    </row>
    <row r="6" spans="1:32" x14ac:dyDescent="0.3">
      <c r="B6">
        <v>97</v>
      </c>
      <c r="C6">
        <v>3</v>
      </c>
      <c r="D6">
        <v>43</v>
      </c>
      <c r="E6">
        <v>57</v>
      </c>
      <c r="G6">
        <v>80</v>
      </c>
      <c r="H6">
        <v>20</v>
      </c>
      <c r="I6">
        <v>26</v>
      </c>
      <c r="J6">
        <v>74</v>
      </c>
      <c r="L6">
        <v>82</v>
      </c>
      <c r="M6">
        <v>18</v>
      </c>
      <c r="N6">
        <v>25</v>
      </c>
      <c r="O6">
        <v>75</v>
      </c>
      <c r="Q6">
        <f t="shared" si="0"/>
        <v>23</v>
      </c>
      <c r="R6">
        <f t="shared" si="1"/>
        <v>23</v>
      </c>
      <c r="S6">
        <f t="shared" si="2"/>
        <v>21.5</v>
      </c>
      <c r="T6">
        <f t="shared" si="3"/>
        <v>22.5</v>
      </c>
      <c r="U6">
        <f t="shared" si="4"/>
        <v>21.5</v>
      </c>
      <c r="V6">
        <f t="shared" si="5"/>
        <v>1</v>
      </c>
    </row>
    <row r="7" spans="1:32" x14ac:dyDescent="0.3">
      <c r="B7">
        <v>90</v>
      </c>
      <c r="C7">
        <v>10</v>
      </c>
      <c r="D7">
        <v>39</v>
      </c>
      <c r="E7">
        <v>61</v>
      </c>
      <c r="G7">
        <v>83</v>
      </c>
      <c r="H7">
        <v>17</v>
      </c>
      <c r="I7">
        <v>20</v>
      </c>
      <c r="J7">
        <v>80</v>
      </c>
      <c r="L7">
        <v>78</v>
      </c>
      <c r="M7">
        <v>22</v>
      </c>
      <c r="N7">
        <v>28</v>
      </c>
      <c r="O7">
        <v>72</v>
      </c>
      <c r="Q7">
        <f t="shared" si="0"/>
        <v>24.5</v>
      </c>
      <c r="R7">
        <f t="shared" si="1"/>
        <v>18.5</v>
      </c>
      <c r="S7">
        <f t="shared" si="2"/>
        <v>25</v>
      </c>
      <c r="T7">
        <f t="shared" si="3"/>
        <v>22.666666666666668</v>
      </c>
      <c r="U7">
        <f t="shared" si="4"/>
        <v>18.5</v>
      </c>
      <c r="V7">
        <f t="shared" si="5"/>
        <v>4.1666666666666679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1"/>
  <sheetViews>
    <sheetView topLeftCell="F1" workbookViewId="0">
      <selection activeCell="L3" sqref="L3:L11"/>
    </sheetView>
  </sheetViews>
  <sheetFormatPr defaultRowHeight="14.4" x14ac:dyDescent="0.3"/>
  <cols>
    <col min="21" max="21" width="13.109375" customWidth="1"/>
  </cols>
  <sheetData>
    <row r="1" spans="1:32" x14ac:dyDescent="0.3">
      <c r="A1" t="s">
        <v>0</v>
      </c>
    </row>
    <row r="2" spans="1:32" x14ac:dyDescent="0.3">
      <c r="A2" t="s">
        <v>4</v>
      </c>
      <c r="Q2" t="s">
        <v>11</v>
      </c>
      <c r="R2" t="s">
        <v>12</v>
      </c>
      <c r="S2" t="s">
        <v>13</v>
      </c>
      <c r="T2" t="s">
        <v>15</v>
      </c>
      <c r="U2" t="s">
        <v>17</v>
      </c>
      <c r="V2" t="s">
        <v>14</v>
      </c>
      <c r="W2" t="s">
        <v>5</v>
      </c>
      <c r="X2" t="s">
        <v>23</v>
      </c>
      <c r="Y2" t="s">
        <v>7</v>
      </c>
      <c r="Z2" t="s">
        <v>24</v>
      </c>
      <c r="AA2" t="s">
        <v>9</v>
      </c>
      <c r="AB2" t="s">
        <v>25</v>
      </c>
      <c r="AC2" t="s">
        <v>1</v>
      </c>
      <c r="AD2" t="s">
        <v>16</v>
      </c>
      <c r="AE2" t="s">
        <v>18</v>
      </c>
      <c r="AF2" t="s">
        <v>19</v>
      </c>
    </row>
    <row r="3" spans="1:32" x14ac:dyDescent="0.3">
      <c r="B3">
        <v>86</v>
      </c>
      <c r="C3">
        <v>14</v>
      </c>
      <c r="D3">
        <v>33</v>
      </c>
      <c r="E3">
        <v>67</v>
      </c>
      <c r="G3">
        <v>79</v>
      </c>
      <c r="H3">
        <v>21</v>
      </c>
      <c r="I3">
        <v>15</v>
      </c>
      <c r="J3">
        <v>85</v>
      </c>
      <c r="L3">
        <v>74</v>
      </c>
      <c r="M3">
        <v>26</v>
      </c>
      <c r="N3">
        <v>25</v>
      </c>
      <c r="O3">
        <v>75</v>
      </c>
      <c r="Q3">
        <f>AVERAGE(C3:D3)</f>
        <v>23.5</v>
      </c>
      <c r="R3">
        <f>AVERAGE(H3:I3)</f>
        <v>18</v>
      </c>
      <c r="S3">
        <f>AVERAGE(M3:N3)</f>
        <v>25.5</v>
      </c>
      <c r="T3">
        <f>AVERAGE(Q3:S3)</f>
        <v>22.333333333333332</v>
      </c>
      <c r="U3">
        <f>MIN(Q3:S3)</f>
        <v>18</v>
      </c>
      <c r="V3">
        <f>T3-U3</f>
        <v>4.3333333333333321</v>
      </c>
      <c r="W3">
        <f>AVERAGE(Q3:Q11)</f>
        <v>24.555555555555557</v>
      </c>
      <c r="X3">
        <f>_xlfn.STDEV.S(Q3:Q11)</f>
        <v>2.0531141657924863</v>
      </c>
      <c r="Y3">
        <f>AVERAGE(R3:R11)</f>
        <v>17.888888888888889</v>
      </c>
      <c r="Z3">
        <f>_xlfn.STDEV.S(R3:R11)</f>
        <v>3.4980153103025557</v>
      </c>
      <c r="AA3">
        <f>AVERAGE(S3:S11)</f>
        <v>25.222222222222221</v>
      </c>
      <c r="AB3">
        <f>_xlfn.STDEV.S(S3:S11)</f>
        <v>1.9702650695894817</v>
      </c>
      <c r="AC3">
        <f>AVERAGE(T3:T11)</f>
        <v>22.555555555555557</v>
      </c>
      <c r="AD3">
        <f>_xlfn.STDEV.S(T3:T11)</f>
        <v>1.3176156917368251</v>
      </c>
      <c r="AE3">
        <f>AVERAGE(V3:V11)</f>
        <v>4.7777777777777777</v>
      </c>
      <c r="AF3">
        <f>_xlfn.STDEV.S(V3:V11)</f>
        <v>2.5792979234236939</v>
      </c>
    </row>
    <row r="4" spans="1:32" x14ac:dyDescent="0.3">
      <c r="B4">
        <v>92</v>
      </c>
      <c r="C4">
        <v>8</v>
      </c>
      <c r="D4">
        <v>37</v>
      </c>
      <c r="E4">
        <v>63</v>
      </c>
      <c r="G4">
        <v>78</v>
      </c>
      <c r="H4">
        <v>22</v>
      </c>
      <c r="I4">
        <v>12</v>
      </c>
      <c r="J4">
        <v>88</v>
      </c>
      <c r="L4">
        <v>75</v>
      </c>
      <c r="M4">
        <v>25</v>
      </c>
      <c r="N4">
        <v>22</v>
      </c>
      <c r="O4">
        <v>78</v>
      </c>
      <c r="Q4">
        <f t="shared" ref="Q4:Q5" si="0">AVERAGE(C4:D4)</f>
        <v>22.5</v>
      </c>
      <c r="R4">
        <f t="shared" ref="R4:R5" si="1">AVERAGE(H4:I4)</f>
        <v>17</v>
      </c>
      <c r="S4">
        <f t="shared" ref="S4:S5" si="2">AVERAGE(M4:N4)</f>
        <v>23.5</v>
      </c>
      <c r="T4">
        <f t="shared" ref="T4:T5" si="3">AVERAGE(Q4:S4)</f>
        <v>21</v>
      </c>
      <c r="U4">
        <f>MIN(Q4:S4)</f>
        <v>17</v>
      </c>
      <c r="V4">
        <f>T4-U4</f>
        <v>4</v>
      </c>
    </row>
    <row r="5" spans="1:32" x14ac:dyDescent="0.3">
      <c r="B5">
        <v>87</v>
      </c>
      <c r="C5">
        <v>13</v>
      </c>
      <c r="D5">
        <v>38</v>
      </c>
      <c r="E5">
        <v>62</v>
      </c>
      <c r="G5">
        <v>80</v>
      </c>
      <c r="H5">
        <v>20</v>
      </c>
      <c r="I5">
        <v>7</v>
      </c>
      <c r="J5">
        <v>93</v>
      </c>
      <c r="L5">
        <v>75</v>
      </c>
      <c r="M5">
        <v>25</v>
      </c>
      <c r="N5">
        <v>33</v>
      </c>
      <c r="O5">
        <v>67</v>
      </c>
      <c r="Q5">
        <f t="shared" si="0"/>
        <v>25.5</v>
      </c>
      <c r="R5">
        <f t="shared" si="1"/>
        <v>13.5</v>
      </c>
      <c r="S5">
        <f t="shared" si="2"/>
        <v>29</v>
      </c>
      <c r="T5">
        <f t="shared" si="3"/>
        <v>22.666666666666668</v>
      </c>
      <c r="U5">
        <f>MIN(Q5:S5)</f>
        <v>13.5</v>
      </c>
      <c r="V5">
        <f>T5-U5</f>
        <v>9.1666666666666679</v>
      </c>
    </row>
    <row r="6" spans="1:32" x14ac:dyDescent="0.3">
      <c r="B6">
        <v>93</v>
      </c>
      <c r="C6">
        <v>7</v>
      </c>
      <c r="D6">
        <v>44</v>
      </c>
      <c r="E6">
        <v>56</v>
      </c>
      <c r="G6">
        <v>86</v>
      </c>
      <c r="H6">
        <v>14</v>
      </c>
      <c r="I6">
        <v>12</v>
      </c>
      <c r="J6">
        <v>88</v>
      </c>
      <c r="L6">
        <v>72</v>
      </c>
      <c r="M6">
        <v>28</v>
      </c>
      <c r="N6">
        <v>21</v>
      </c>
      <c r="O6">
        <v>79</v>
      </c>
      <c r="Q6">
        <f t="shared" ref="Q6:Q11" si="4">AVERAGE(C6:D6)</f>
        <v>25.5</v>
      </c>
      <c r="R6">
        <f t="shared" ref="R6:R11" si="5">AVERAGE(H6:I6)</f>
        <v>13</v>
      </c>
      <c r="S6">
        <f t="shared" ref="S6:S11" si="6">AVERAGE(M6:N6)</f>
        <v>24.5</v>
      </c>
      <c r="T6">
        <f t="shared" ref="T6:T11" si="7">AVERAGE(Q6:S6)</f>
        <v>21</v>
      </c>
      <c r="U6">
        <f t="shared" ref="U6:U11" si="8">MIN(Q6:S6)</f>
        <v>13</v>
      </c>
      <c r="V6">
        <f t="shared" ref="V6:V11" si="9">T6-U6</f>
        <v>8</v>
      </c>
    </row>
    <row r="7" spans="1:32" x14ac:dyDescent="0.3">
      <c r="B7">
        <v>86</v>
      </c>
      <c r="C7">
        <v>14</v>
      </c>
      <c r="D7">
        <v>36</v>
      </c>
      <c r="E7">
        <v>64</v>
      </c>
      <c r="G7">
        <v>83</v>
      </c>
      <c r="H7">
        <v>17</v>
      </c>
      <c r="I7">
        <v>16</v>
      </c>
      <c r="J7">
        <v>84</v>
      </c>
      <c r="L7">
        <v>73</v>
      </c>
      <c r="M7">
        <v>27</v>
      </c>
      <c r="N7">
        <v>25</v>
      </c>
      <c r="O7">
        <v>75</v>
      </c>
      <c r="Q7">
        <f t="shared" si="4"/>
        <v>25</v>
      </c>
      <c r="R7">
        <f t="shared" si="5"/>
        <v>16.5</v>
      </c>
      <c r="S7">
        <f t="shared" si="6"/>
        <v>26</v>
      </c>
      <c r="T7">
        <f t="shared" si="7"/>
        <v>22.5</v>
      </c>
      <c r="U7">
        <f t="shared" si="8"/>
        <v>16.5</v>
      </c>
      <c r="V7">
        <f t="shared" si="9"/>
        <v>6</v>
      </c>
    </row>
    <row r="8" spans="1:32" x14ac:dyDescent="0.3">
      <c r="B8">
        <v>85</v>
      </c>
      <c r="C8">
        <v>15</v>
      </c>
      <c r="D8">
        <v>39</v>
      </c>
      <c r="E8">
        <v>61</v>
      </c>
      <c r="G8">
        <v>76</v>
      </c>
      <c r="H8">
        <v>24</v>
      </c>
      <c r="I8">
        <v>20</v>
      </c>
      <c r="J8">
        <v>80</v>
      </c>
      <c r="L8">
        <v>75</v>
      </c>
      <c r="M8">
        <v>25</v>
      </c>
      <c r="N8">
        <v>28</v>
      </c>
      <c r="O8">
        <v>72</v>
      </c>
      <c r="Q8">
        <f t="shared" si="4"/>
        <v>27</v>
      </c>
      <c r="R8">
        <f t="shared" si="5"/>
        <v>22</v>
      </c>
      <c r="S8">
        <f t="shared" si="6"/>
        <v>26.5</v>
      </c>
      <c r="T8">
        <f t="shared" si="7"/>
        <v>25.166666666666668</v>
      </c>
      <c r="U8">
        <f t="shared" si="8"/>
        <v>22</v>
      </c>
      <c r="V8">
        <f t="shared" si="9"/>
        <v>3.1666666666666679</v>
      </c>
    </row>
    <row r="9" spans="1:32" x14ac:dyDescent="0.3">
      <c r="B9">
        <v>81</v>
      </c>
      <c r="C9">
        <v>19</v>
      </c>
      <c r="D9">
        <v>31</v>
      </c>
      <c r="E9">
        <v>69</v>
      </c>
      <c r="G9">
        <v>75</v>
      </c>
      <c r="H9">
        <v>25</v>
      </c>
      <c r="I9">
        <v>9</v>
      </c>
      <c r="J9">
        <v>91</v>
      </c>
      <c r="L9">
        <v>69</v>
      </c>
      <c r="M9">
        <v>31</v>
      </c>
      <c r="N9">
        <v>16</v>
      </c>
      <c r="O9">
        <v>84</v>
      </c>
      <c r="Q9">
        <f t="shared" si="4"/>
        <v>25</v>
      </c>
      <c r="R9">
        <f t="shared" si="5"/>
        <v>17</v>
      </c>
      <c r="S9">
        <f t="shared" si="6"/>
        <v>23.5</v>
      </c>
      <c r="T9">
        <f t="shared" si="7"/>
        <v>21.833333333333332</v>
      </c>
      <c r="U9">
        <f t="shared" si="8"/>
        <v>17</v>
      </c>
      <c r="V9">
        <f t="shared" si="9"/>
        <v>4.8333333333333321</v>
      </c>
    </row>
    <row r="10" spans="1:32" x14ac:dyDescent="0.3">
      <c r="B10">
        <v>87</v>
      </c>
      <c r="C10">
        <v>13</v>
      </c>
      <c r="D10">
        <v>40</v>
      </c>
      <c r="E10">
        <v>60</v>
      </c>
      <c r="G10">
        <v>74</v>
      </c>
      <c r="H10">
        <v>26</v>
      </c>
      <c r="I10">
        <v>19</v>
      </c>
      <c r="J10">
        <v>81</v>
      </c>
      <c r="L10">
        <v>81</v>
      </c>
      <c r="M10">
        <v>19</v>
      </c>
      <c r="N10">
        <v>26</v>
      </c>
      <c r="O10">
        <v>74</v>
      </c>
      <c r="Q10">
        <f t="shared" si="4"/>
        <v>26.5</v>
      </c>
      <c r="R10">
        <f t="shared" si="5"/>
        <v>22.5</v>
      </c>
      <c r="S10">
        <f t="shared" si="6"/>
        <v>22.5</v>
      </c>
      <c r="T10">
        <f t="shared" si="7"/>
        <v>23.833333333333332</v>
      </c>
      <c r="U10">
        <f t="shared" si="8"/>
        <v>22.5</v>
      </c>
      <c r="V10">
        <f t="shared" si="9"/>
        <v>1.3333333333333321</v>
      </c>
    </row>
    <row r="11" spans="1:32" x14ac:dyDescent="0.3">
      <c r="B11">
        <v>94</v>
      </c>
      <c r="C11">
        <v>6</v>
      </c>
      <c r="D11">
        <v>35</v>
      </c>
      <c r="E11">
        <v>65</v>
      </c>
      <c r="G11">
        <v>72</v>
      </c>
      <c r="H11">
        <v>28</v>
      </c>
      <c r="I11">
        <v>15</v>
      </c>
      <c r="J11">
        <v>85</v>
      </c>
      <c r="L11">
        <v>75</v>
      </c>
      <c r="M11">
        <v>25</v>
      </c>
      <c r="N11">
        <v>27</v>
      </c>
      <c r="O11">
        <v>73</v>
      </c>
      <c r="Q11">
        <f t="shared" si="4"/>
        <v>20.5</v>
      </c>
      <c r="R11">
        <f t="shared" si="5"/>
        <v>21.5</v>
      </c>
      <c r="S11">
        <f t="shared" si="6"/>
        <v>26</v>
      </c>
      <c r="T11">
        <f t="shared" si="7"/>
        <v>22.666666666666668</v>
      </c>
      <c r="U11">
        <f t="shared" si="8"/>
        <v>20.5</v>
      </c>
      <c r="V11">
        <f t="shared" si="9"/>
        <v>2.1666666666666679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DIFF_ONLYMIN</vt:lpstr>
      <vt:lpstr>DIFF</vt:lpstr>
      <vt:lpstr>STD_BAL_STDAUG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2026-03-23T20:34:05Z</dcterms:modified>
</cp:coreProperties>
</file>