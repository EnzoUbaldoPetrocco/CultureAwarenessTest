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TryingToPackStuffBetter\Discriminators\LC\0.05\CLSDIV\"/>
    </mc:Choice>
  </mc:AlternateContent>
  <xr:revisionPtr revIDLastSave="0" documentId="13_ncr:1_{3912A8A6-C120-405B-A65C-E075DE97FF28}" xr6:coauthVersionLast="47" xr6:coauthVersionMax="47" xr10:uidLastSave="{00000000-0000-0000-0000-000000000000}"/>
  <bookViews>
    <workbookView xWindow="-108" yWindow="-108" windowWidth="23256" windowHeight="12456" xr2:uid="{0F214021-6FB1-40D5-9709-F0BEE25B15FC}"/>
  </bookViews>
  <sheets>
    <sheet name="res_scrimin=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AD3" i="1" s="1"/>
  <c r="Q3" i="1"/>
  <c r="W3" i="1" s="1"/>
  <c r="R3" i="1"/>
  <c r="S3" i="1"/>
  <c r="X3" i="1"/>
  <c r="Y3" i="1"/>
  <c r="Z3" i="1"/>
  <c r="AA3" i="1"/>
  <c r="AO2" i="1" s="1"/>
  <c r="AB3" i="1"/>
  <c r="AC3" i="1"/>
  <c r="P4" i="1"/>
  <c r="AD4" i="1" s="1"/>
  <c r="Q4" i="1"/>
  <c r="W4" i="1" s="1"/>
  <c r="R4" i="1"/>
  <c r="X4" i="1" s="1"/>
  <c r="S4" i="1"/>
  <c r="Y4" i="1" s="1"/>
  <c r="Z4" i="1"/>
  <c r="AA4" i="1"/>
  <c r="AB4" i="1"/>
  <c r="AC4" i="1"/>
  <c r="P5" i="1"/>
  <c r="AD5" i="1" s="1"/>
  <c r="Q5" i="1"/>
  <c r="W5" i="1" s="1"/>
  <c r="R5" i="1"/>
  <c r="X5" i="1" s="1"/>
  <c r="S5" i="1"/>
  <c r="Y5" i="1" s="1"/>
  <c r="Z5" i="1"/>
  <c r="AA5" i="1"/>
  <c r="AB5" i="1"/>
  <c r="AC5" i="1"/>
  <c r="P6" i="1"/>
  <c r="AD6" i="1" s="1"/>
  <c r="Q6" i="1"/>
  <c r="W6" i="1" s="1"/>
  <c r="R6" i="1"/>
  <c r="X6" i="1" s="1"/>
  <c r="S6" i="1"/>
  <c r="Y6" i="1"/>
  <c r="Z6" i="1"/>
  <c r="AA6" i="1"/>
  <c r="AB6" i="1"/>
  <c r="AC6" i="1"/>
  <c r="P7" i="1"/>
  <c r="AD7" i="1" s="1"/>
  <c r="Q7" i="1"/>
  <c r="W7" i="1" s="1"/>
  <c r="R7" i="1"/>
  <c r="X7" i="1" s="1"/>
  <c r="S7" i="1"/>
  <c r="Y7" i="1" s="1"/>
  <c r="Z7" i="1"/>
  <c r="AA7" i="1"/>
  <c r="AB7" i="1"/>
  <c r="AC7" i="1"/>
  <c r="AC2" i="1"/>
  <c r="AB2" i="1"/>
  <c r="AP2" i="1" s="1"/>
  <c r="AA2" i="1"/>
  <c r="Z2" i="1"/>
  <c r="AL2" i="1" s="1"/>
  <c r="S2" i="1"/>
  <c r="Y2" i="1" s="1"/>
  <c r="R2" i="1"/>
  <c r="X2" i="1" s="1"/>
  <c r="Q2" i="1"/>
  <c r="W2" i="1" s="1"/>
  <c r="P2" i="1"/>
  <c r="AJ2" i="1" l="1"/>
  <c r="AQ2" i="1"/>
  <c r="AI2" i="1"/>
  <c r="AH2" i="1"/>
  <c r="AN2" i="1"/>
  <c r="AK2" i="1"/>
  <c r="AG2" i="1"/>
  <c r="AF2" i="1"/>
  <c r="AM2" i="1"/>
  <c r="AD2" i="1"/>
  <c r="AR2" i="1" l="1"/>
  <c r="AS2" i="1"/>
</calcChain>
</file>

<file path=xl/sharedStrings.xml><?xml version="1.0" encoding="utf-8"?>
<sst xmlns="http://schemas.openxmlformats.org/spreadsheetml/2006/main" count="99" uniqueCount="44">
  <si>
    <t>Procedo per riga (prima riga, poi seconda riga, …)</t>
  </si>
  <si>
    <t>R0C0</t>
  </si>
  <si>
    <t>R0C1</t>
  </si>
  <si>
    <t>R0C2</t>
  </si>
  <si>
    <t>R1C0</t>
  </si>
  <si>
    <t>R1C1</t>
  </si>
  <si>
    <t>R1C2</t>
  </si>
  <si>
    <t>R2C0</t>
  </si>
  <si>
    <t>R2C1</t>
  </si>
  <si>
    <t>R2C2</t>
  </si>
  <si>
    <t>DiagSum</t>
  </si>
  <si>
    <t>Col0Sum</t>
  </si>
  <si>
    <t>Col1Sum</t>
  </si>
  <si>
    <t>Col2Sum</t>
  </si>
  <si>
    <t>Row0Sum</t>
  </si>
  <si>
    <t>Row1Sum</t>
  </si>
  <si>
    <t>Row2Sum</t>
  </si>
  <si>
    <t>Precision0</t>
  </si>
  <si>
    <t>Precision1</t>
  </si>
  <si>
    <t>Precision2</t>
  </si>
  <si>
    <t>Recall0</t>
  </si>
  <si>
    <t>Recall1</t>
  </si>
  <si>
    <t>Recall2</t>
  </si>
  <si>
    <t>Tot</t>
  </si>
  <si>
    <t>Accuracy</t>
  </si>
  <si>
    <t>Prec0</t>
  </si>
  <si>
    <t>Prec1</t>
  </si>
  <si>
    <t>Prec2</t>
  </si>
  <si>
    <t>Rec0</t>
  </si>
  <si>
    <t>Acc</t>
  </si>
  <si>
    <t>Rec1</t>
  </si>
  <si>
    <t>Rec2</t>
  </si>
  <si>
    <t>stdPrec0</t>
  </si>
  <si>
    <t>stdPrec1</t>
  </si>
  <si>
    <t>stdPrec2</t>
  </si>
  <si>
    <t>stdRec0</t>
  </si>
  <si>
    <t>stdRec1</t>
  </si>
  <si>
    <t>stdRec2</t>
  </si>
  <si>
    <t>stdAcc</t>
  </si>
  <si>
    <t>Matrix</t>
  </si>
  <si>
    <t>Class 0</t>
  </si>
  <si>
    <t>Class 1</t>
  </si>
  <si>
    <t>Class 2</t>
  </si>
  <si>
    <t>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</si>
</sst>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164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E7005-D29F-4A3A-8B33-A4338B8F6744}">
  <dimension ref="A1:AS44"/>
  <sheetViews>
    <sheetView tabSelected="1" topLeftCell="V1" zoomScale="79" zoomScaleNormal="90" workbookViewId="0">
      <selection activeCell="AF2" sqref="AF2:AS2"/>
    </sheetView>
  </sheetViews>
  <sheetFormatPr defaultRowHeight="14.4" x14ac:dyDescent="0.3"/>
  <cols>
    <col min="1" max="1" width="8.88671875" customWidth="1"/>
  </cols>
  <sheetData>
    <row r="1" spans="1:45" x14ac:dyDescent="0.3">
      <c r="A1" s="1"/>
      <c r="B1" s="1" t="s">
        <v>39</v>
      </c>
      <c r="C1" s="1" t="s">
        <v>40</v>
      </c>
      <c r="D1" s="1" t="s">
        <v>41</v>
      </c>
      <c r="E1" s="1" t="s">
        <v>42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F1" s="1" t="s">
        <v>25</v>
      </c>
      <c r="AG1" s="1" t="s">
        <v>32</v>
      </c>
      <c r="AH1" s="1" t="s">
        <v>26</v>
      </c>
      <c r="AI1" s="1" t="s">
        <v>33</v>
      </c>
      <c r="AJ1" s="1" t="s">
        <v>27</v>
      </c>
      <c r="AK1" s="1" t="s">
        <v>34</v>
      </c>
      <c r="AL1" s="1" t="s">
        <v>28</v>
      </c>
      <c r="AM1" s="1" t="s">
        <v>35</v>
      </c>
      <c r="AN1" s="1" t="s">
        <v>30</v>
      </c>
      <c r="AO1" s="1" t="s">
        <v>36</v>
      </c>
      <c r="AP1" s="1" t="s">
        <v>31</v>
      </c>
      <c r="AQ1" s="1" t="s">
        <v>37</v>
      </c>
      <c r="AR1" s="1" t="s">
        <v>29</v>
      </c>
      <c r="AS1" s="1" t="s">
        <v>38</v>
      </c>
    </row>
    <row r="2" spans="1:45" x14ac:dyDescent="0.3">
      <c r="A2" s="1" t="s">
        <v>40</v>
      </c>
      <c r="B2" s="1" t="s">
        <v>43</v>
      </c>
      <c r="C2" s="1">
        <v>200</v>
      </c>
      <c r="D2" s="1">
        <v>0</v>
      </c>
      <c r="E2" s="1">
        <v>0</v>
      </c>
      <c r="F2" s="1"/>
      <c r="G2" s="1">
        <v>200</v>
      </c>
      <c r="H2" s="1">
        <v>0</v>
      </c>
      <c r="I2" s="1">
        <v>0</v>
      </c>
      <c r="J2" s="1">
        <v>160</v>
      </c>
      <c r="K2" s="1">
        <v>38</v>
      </c>
      <c r="L2" s="1">
        <v>2</v>
      </c>
      <c r="M2" s="1">
        <v>23</v>
      </c>
      <c r="N2" s="1">
        <v>0</v>
      </c>
      <c r="O2" s="1">
        <v>177</v>
      </c>
      <c r="P2" s="1">
        <f>G2+K2+O2</f>
        <v>415</v>
      </c>
      <c r="Q2" s="1">
        <f>G2+J2+M2</f>
        <v>383</v>
      </c>
      <c r="R2" s="1">
        <f>H2+K2+N2</f>
        <v>38</v>
      </c>
      <c r="S2" s="1">
        <f>I2+L2+O2</f>
        <v>179</v>
      </c>
      <c r="T2" s="1">
        <v>200</v>
      </c>
      <c r="U2" s="1">
        <v>200</v>
      </c>
      <c r="V2" s="1">
        <v>200</v>
      </c>
      <c r="W2" s="1">
        <f>G2/Q2</f>
        <v>0.52219321148825071</v>
      </c>
      <c r="X2" s="1">
        <f>K2/R2</f>
        <v>1</v>
      </c>
      <c r="Y2" s="1">
        <f>O2/S2</f>
        <v>0.98882681564245811</v>
      </c>
      <c r="Z2" s="1">
        <f>G2/T2</f>
        <v>1</v>
      </c>
      <c r="AA2" s="1">
        <f>K2/U2</f>
        <v>0.19</v>
      </c>
      <c r="AB2" s="1">
        <f>O2/V2</f>
        <v>0.88500000000000001</v>
      </c>
      <c r="AC2" s="1">
        <f>SUM(T2:V2)</f>
        <v>600</v>
      </c>
      <c r="AD2" s="1">
        <f>P2/AC2</f>
        <v>0.69166666666666665</v>
      </c>
      <c r="AF2" s="2">
        <f t="shared" ref="AF2" si="0">AVERAGE(W2:W10)</f>
        <v>0.54963489732430304</v>
      </c>
      <c r="AG2" s="2">
        <f>_xlfn.STDEV.S(W2:W7)</f>
        <v>2.6407664696631559E-2</v>
      </c>
      <c r="AH2" s="2">
        <f>AVERAGE(X2:X10)</f>
        <v>0.92533789386401322</v>
      </c>
      <c r="AI2" s="2">
        <f>_xlfn.STDEV.S(X2:X7)</f>
        <v>5.5302026874455769E-2</v>
      </c>
      <c r="AJ2" s="2">
        <f>AVERAGE(Y2:Y10)</f>
        <v>0.98988516369757373</v>
      </c>
      <c r="AK2" s="2">
        <f>_xlfn.STDEV.S(Y2:Y7)</f>
        <v>8.8662184274172773E-3</v>
      </c>
      <c r="AL2" s="2">
        <f>AVERAGE(Z2:Z10)</f>
        <v>0.98666666666666669</v>
      </c>
      <c r="AM2" s="2">
        <f>_xlfn.STDEV.S(Z2:Z7)</f>
        <v>1.1254628677422765E-2</v>
      </c>
      <c r="AN2" s="2">
        <f>AVERAGE(AA2:AA10)</f>
        <v>0.29666666666666669</v>
      </c>
      <c r="AO2" s="2">
        <f>_xlfn.STDEV.S(AA2:AA7)</f>
        <v>6.4316923641190099E-2</v>
      </c>
      <c r="AP2" s="2">
        <f>AVERAGE(AB2:AB10)</f>
        <v>0.87</v>
      </c>
      <c r="AQ2" s="2">
        <f>_xlfn.STDEV.S(AB2:AB7)</f>
        <v>4.0743097574926758E-2</v>
      </c>
      <c r="AR2" s="2">
        <f>AVERAGE(AD2:AD10)</f>
        <v>0.71777777777777774</v>
      </c>
      <c r="AS2" s="2">
        <f>_xlfn.STDEV.S(AD2:AD7)</f>
        <v>2.6091008810330475E-2</v>
      </c>
    </row>
    <row r="3" spans="1:45" x14ac:dyDescent="0.3">
      <c r="A3" s="1" t="s">
        <v>41</v>
      </c>
      <c r="B3" s="1" t="s">
        <v>43</v>
      </c>
      <c r="C3" s="1">
        <v>160</v>
      </c>
      <c r="D3" s="1">
        <v>38</v>
      </c>
      <c r="E3" s="1">
        <v>2</v>
      </c>
      <c r="F3" s="1"/>
      <c r="G3" s="1">
        <v>196</v>
      </c>
      <c r="H3" s="1">
        <v>3</v>
      </c>
      <c r="I3" s="1">
        <v>1</v>
      </c>
      <c r="J3" s="1">
        <v>145</v>
      </c>
      <c r="K3" s="1">
        <v>55</v>
      </c>
      <c r="L3" s="1">
        <v>0</v>
      </c>
      <c r="M3" s="1">
        <v>29</v>
      </c>
      <c r="N3" s="1">
        <v>2</v>
      </c>
      <c r="O3" s="1">
        <v>169</v>
      </c>
      <c r="P3" s="1">
        <f t="shared" ref="P3:P7" si="1">G3+K3+O3</f>
        <v>420</v>
      </c>
      <c r="Q3" s="1">
        <f t="shared" ref="Q3:Q7" si="2">G3+J3+M3</f>
        <v>370</v>
      </c>
      <c r="R3" s="1">
        <f t="shared" ref="R3:R7" si="3">H3+K3+N3</f>
        <v>60</v>
      </c>
      <c r="S3" s="1">
        <f t="shared" ref="S3:S7" si="4">I3+L3+O3</f>
        <v>170</v>
      </c>
      <c r="T3" s="1">
        <v>200</v>
      </c>
      <c r="U3" s="1">
        <v>200</v>
      </c>
      <c r="V3" s="1">
        <v>200</v>
      </c>
      <c r="W3" s="1">
        <f t="shared" ref="W3:W7" si="5">G3/Q3</f>
        <v>0.52972972972972976</v>
      </c>
      <c r="X3" s="1">
        <f t="shared" ref="X3:X7" si="6">K3/R3</f>
        <v>0.91666666666666663</v>
      </c>
      <c r="Y3" s="1">
        <f t="shared" ref="Y3:Y7" si="7">O3/S3</f>
        <v>0.99411764705882355</v>
      </c>
      <c r="Z3" s="1">
        <f t="shared" ref="Z3:Z7" si="8">G3/T3</f>
        <v>0.98</v>
      </c>
      <c r="AA3" s="1">
        <f t="shared" ref="AA3:AA7" si="9">K3/U3</f>
        <v>0.27500000000000002</v>
      </c>
      <c r="AB3" s="1">
        <f t="shared" ref="AB3:AB7" si="10">O3/V3</f>
        <v>0.84499999999999997</v>
      </c>
      <c r="AC3" s="1">
        <f t="shared" ref="AC3:AC7" si="11">SUM(T3:V3)</f>
        <v>600</v>
      </c>
      <c r="AD3" s="1">
        <f t="shared" ref="AD3:AD7" si="12">P3/AC3</f>
        <v>0.7</v>
      </c>
    </row>
    <row r="4" spans="1:45" x14ac:dyDescent="0.3">
      <c r="A4" s="1" t="s">
        <v>42</v>
      </c>
      <c r="B4" s="1" t="s">
        <v>43</v>
      </c>
      <c r="C4" s="1">
        <v>23</v>
      </c>
      <c r="D4" s="1">
        <v>0</v>
      </c>
      <c r="E4" s="1">
        <v>177</v>
      </c>
      <c r="F4" s="1"/>
      <c r="G4" s="1">
        <v>195</v>
      </c>
      <c r="H4" s="1">
        <v>5</v>
      </c>
      <c r="I4" s="1">
        <v>0</v>
      </c>
      <c r="J4" s="1">
        <v>142</v>
      </c>
      <c r="K4" s="1">
        <v>58</v>
      </c>
      <c r="L4" s="1">
        <v>0</v>
      </c>
      <c r="M4" s="1">
        <v>20</v>
      </c>
      <c r="N4" s="1">
        <v>4</v>
      </c>
      <c r="O4" s="1">
        <v>176</v>
      </c>
      <c r="P4" s="1">
        <f t="shared" si="1"/>
        <v>429</v>
      </c>
      <c r="Q4" s="1">
        <f t="shared" si="2"/>
        <v>357</v>
      </c>
      <c r="R4" s="1">
        <f t="shared" si="3"/>
        <v>67</v>
      </c>
      <c r="S4" s="1">
        <f t="shared" si="4"/>
        <v>176</v>
      </c>
      <c r="T4" s="1">
        <v>200</v>
      </c>
      <c r="U4" s="1">
        <v>200</v>
      </c>
      <c r="V4" s="1">
        <v>200</v>
      </c>
      <c r="W4" s="1">
        <f t="shared" si="5"/>
        <v>0.54621848739495793</v>
      </c>
      <c r="X4" s="1">
        <f t="shared" si="6"/>
        <v>0.86567164179104472</v>
      </c>
      <c r="Y4" s="1">
        <f t="shared" si="7"/>
        <v>1</v>
      </c>
      <c r="Z4" s="1">
        <f t="shared" si="8"/>
        <v>0.97499999999999998</v>
      </c>
      <c r="AA4" s="1">
        <f t="shared" si="9"/>
        <v>0.28999999999999998</v>
      </c>
      <c r="AB4" s="1">
        <f t="shared" si="10"/>
        <v>0.88</v>
      </c>
      <c r="AC4" s="1">
        <f t="shared" si="11"/>
        <v>600</v>
      </c>
      <c r="AD4" s="1">
        <f t="shared" si="12"/>
        <v>0.71499999999999997</v>
      </c>
    </row>
    <row r="5" spans="1:45" x14ac:dyDescent="0.3">
      <c r="A5" s="1"/>
      <c r="B5" s="1"/>
      <c r="C5" s="1"/>
      <c r="D5" s="1"/>
      <c r="E5" s="1"/>
      <c r="F5" s="1"/>
      <c r="G5" s="1">
        <v>199</v>
      </c>
      <c r="H5" s="1">
        <v>1</v>
      </c>
      <c r="I5" s="1">
        <v>0</v>
      </c>
      <c r="J5" s="1">
        <v>121</v>
      </c>
      <c r="K5" s="1">
        <v>74</v>
      </c>
      <c r="L5" s="1">
        <v>5</v>
      </c>
      <c r="M5" s="1">
        <v>13</v>
      </c>
      <c r="N5" s="1">
        <v>0</v>
      </c>
      <c r="O5" s="1">
        <v>187</v>
      </c>
      <c r="P5" s="1">
        <f t="shared" si="1"/>
        <v>460</v>
      </c>
      <c r="Q5" s="1">
        <f t="shared" si="2"/>
        <v>333</v>
      </c>
      <c r="R5" s="1">
        <f t="shared" si="3"/>
        <v>75</v>
      </c>
      <c r="S5" s="1">
        <f t="shared" si="4"/>
        <v>192</v>
      </c>
      <c r="T5" s="1">
        <v>200</v>
      </c>
      <c r="U5" s="1">
        <v>200</v>
      </c>
      <c r="V5" s="1">
        <v>200</v>
      </c>
      <c r="W5" s="1">
        <f t="shared" si="5"/>
        <v>0.59759759759759756</v>
      </c>
      <c r="X5" s="1">
        <f t="shared" si="6"/>
        <v>0.98666666666666669</v>
      </c>
      <c r="Y5" s="1">
        <f t="shared" si="7"/>
        <v>0.97395833333333337</v>
      </c>
      <c r="Z5" s="1">
        <f t="shared" si="8"/>
        <v>0.995</v>
      </c>
      <c r="AA5" s="1">
        <f t="shared" si="9"/>
        <v>0.37</v>
      </c>
      <c r="AB5" s="1">
        <f t="shared" si="10"/>
        <v>0.93500000000000005</v>
      </c>
      <c r="AC5" s="1">
        <f t="shared" si="11"/>
        <v>600</v>
      </c>
      <c r="AD5" s="1">
        <f t="shared" si="12"/>
        <v>0.76666666666666672</v>
      </c>
    </row>
    <row r="6" spans="1:45" x14ac:dyDescent="0.3">
      <c r="A6" s="1"/>
      <c r="B6" s="1" t="s">
        <v>39</v>
      </c>
      <c r="C6" s="1" t="s">
        <v>40</v>
      </c>
      <c r="D6" s="1" t="s">
        <v>41</v>
      </c>
      <c r="E6" s="1" t="s">
        <v>42</v>
      </c>
      <c r="F6" s="1"/>
      <c r="G6" s="1">
        <v>195</v>
      </c>
      <c r="H6" s="1">
        <v>5</v>
      </c>
      <c r="I6" s="1">
        <v>0</v>
      </c>
      <c r="J6" s="1">
        <v>128</v>
      </c>
      <c r="K6" s="1">
        <v>71</v>
      </c>
      <c r="L6" s="1">
        <v>1</v>
      </c>
      <c r="M6" s="1">
        <v>33</v>
      </c>
      <c r="N6" s="1">
        <v>4</v>
      </c>
      <c r="O6" s="1">
        <v>163</v>
      </c>
      <c r="P6" s="1">
        <f t="shared" si="1"/>
        <v>429</v>
      </c>
      <c r="Q6" s="1">
        <f t="shared" si="2"/>
        <v>356</v>
      </c>
      <c r="R6" s="1">
        <f t="shared" si="3"/>
        <v>80</v>
      </c>
      <c r="S6" s="1">
        <f t="shared" si="4"/>
        <v>164</v>
      </c>
      <c r="T6" s="1">
        <v>200</v>
      </c>
      <c r="U6" s="1">
        <v>200</v>
      </c>
      <c r="V6" s="1">
        <v>200</v>
      </c>
      <c r="W6" s="1">
        <f t="shared" si="5"/>
        <v>0.547752808988764</v>
      </c>
      <c r="X6" s="1">
        <f t="shared" si="6"/>
        <v>0.88749999999999996</v>
      </c>
      <c r="Y6" s="1">
        <f t="shared" si="7"/>
        <v>0.99390243902439024</v>
      </c>
      <c r="Z6" s="1">
        <f t="shared" si="8"/>
        <v>0.97499999999999998</v>
      </c>
      <c r="AA6" s="1">
        <f t="shared" si="9"/>
        <v>0.35499999999999998</v>
      </c>
      <c r="AB6" s="1">
        <f t="shared" si="10"/>
        <v>0.81499999999999995</v>
      </c>
      <c r="AC6" s="1">
        <f t="shared" si="11"/>
        <v>600</v>
      </c>
      <c r="AD6" s="1">
        <f t="shared" si="12"/>
        <v>0.71499999999999997</v>
      </c>
    </row>
    <row r="7" spans="1:45" x14ac:dyDescent="0.3">
      <c r="A7" s="1" t="s">
        <v>40</v>
      </c>
      <c r="B7" s="1" t="s">
        <v>43</v>
      </c>
      <c r="C7" s="1">
        <v>196</v>
      </c>
      <c r="D7" s="1">
        <v>3</v>
      </c>
      <c r="E7" s="1">
        <v>1</v>
      </c>
      <c r="F7" s="1"/>
      <c r="G7" s="1">
        <v>199</v>
      </c>
      <c r="H7" s="1">
        <v>1</v>
      </c>
      <c r="I7" s="1">
        <v>0</v>
      </c>
      <c r="J7" s="1">
        <v>138</v>
      </c>
      <c r="K7" s="1">
        <v>60</v>
      </c>
      <c r="L7" s="1">
        <v>2</v>
      </c>
      <c r="M7" s="1">
        <v>22</v>
      </c>
      <c r="N7" s="1">
        <v>6</v>
      </c>
      <c r="O7" s="1">
        <v>172</v>
      </c>
      <c r="P7" s="1">
        <f t="shared" si="1"/>
        <v>431</v>
      </c>
      <c r="Q7" s="1">
        <f t="shared" si="2"/>
        <v>359</v>
      </c>
      <c r="R7" s="1">
        <f t="shared" si="3"/>
        <v>67</v>
      </c>
      <c r="S7" s="1">
        <f t="shared" si="4"/>
        <v>174</v>
      </c>
      <c r="T7" s="1">
        <v>200</v>
      </c>
      <c r="U7" s="1">
        <v>200</v>
      </c>
      <c r="V7" s="1">
        <v>200</v>
      </c>
      <c r="W7" s="1">
        <f t="shared" si="5"/>
        <v>0.55431754874651806</v>
      </c>
      <c r="X7" s="1">
        <f t="shared" si="6"/>
        <v>0.89552238805970152</v>
      </c>
      <c r="Y7" s="1">
        <f t="shared" si="7"/>
        <v>0.9885057471264368</v>
      </c>
      <c r="Z7" s="1">
        <f t="shared" si="8"/>
        <v>0.995</v>
      </c>
      <c r="AA7" s="1">
        <f t="shared" si="9"/>
        <v>0.3</v>
      </c>
      <c r="AB7" s="1">
        <f t="shared" si="10"/>
        <v>0.86</v>
      </c>
      <c r="AC7" s="1">
        <f t="shared" si="11"/>
        <v>600</v>
      </c>
      <c r="AD7" s="1">
        <f t="shared" si="12"/>
        <v>0.71833333333333338</v>
      </c>
    </row>
    <row r="8" spans="1:45" x14ac:dyDescent="0.3">
      <c r="A8" s="1" t="s">
        <v>41</v>
      </c>
      <c r="B8" s="1" t="s">
        <v>43</v>
      </c>
      <c r="C8" s="1">
        <v>145</v>
      </c>
      <c r="D8" s="1">
        <v>55</v>
      </c>
      <c r="E8" s="1">
        <v>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45" x14ac:dyDescent="0.3">
      <c r="A9" s="1" t="s">
        <v>42</v>
      </c>
      <c r="B9" s="1" t="s">
        <v>43</v>
      </c>
      <c r="C9" s="1">
        <v>29</v>
      </c>
      <c r="D9" s="1">
        <v>2</v>
      </c>
      <c r="E9" s="1">
        <v>169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45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45" x14ac:dyDescent="0.3">
      <c r="A11" s="1"/>
      <c r="B11" s="1" t="s">
        <v>39</v>
      </c>
      <c r="C11" s="1" t="s">
        <v>40</v>
      </c>
      <c r="D11" s="1" t="s">
        <v>41</v>
      </c>
      <c r="E11" s="1" t="s">
        <v>42</v>
      </c>
      <c r="F11" s="1"/>
      <c r="I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45" x14ac:dyDescent="0.3">
      <c r="A12" s="1" t="s">
        <v>40</v>
      </c>
      <c r="B12" s="1" t="s">
        <v>43</v>
      </c>
      <c r="C12" s="1">
        <v>195</v>
      </c>
      <c r="D12" s="1">
        <v>5</v>
      </c>
      <c r="E12" s="1">
        <v>0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45" x14ac:dyDescent="0.3">
      <c r="A13" s="1" t="s">
        <v>41</v>
      </c>
      <c r="B13" s="1" t="s">
        <v>43</v>
      </c>
      <c r="C13" s="1">
        <v>142</v>
      </c>
      <c r="D13" s="1">
        <v>58</v>
      </c>
      <c r="E13" s="1">
        <v>0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45" x14ac:dyDescent="0.3">
      <c r="A14" s="1" t="s">
        <v>42</v>
      </c>
      <c r="B14" s="1" t="s">
        <v>43</v>
      </c>
      <c r="C14" s="1">
        <v>20</v>
      </c>
      <c r="D14" s="1">
        <v>4</v>
      </c>
      <c r="E14" s="1">
        <v>176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45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45" x14ac:dyDescent="0.3">
      <c r="A16" s="1"/>
      <c r="B16" s="1" t="s">
        <v>39</v>
      </c>
      <c r="C16" s="1" t="s">
        <v>40</v>
      </c>
      <c r="D16" s="1" t="s">
        <v>41</v>
      </c>
      <c r="E16" s="1" t="s">
        <v>42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x14ac:dyDescent="0.3">
      <c r="A17" s="1" t="s">
        <v>40</v>
      </c>
      <c r="B17" s="1" t="s">
        <v>43</v>
      </c>
      <c r="C17" s="1">
        <v>199</v>
      </c>
      <c r="D17" s="1">
        <v>1</v>
      </c>
      <c r="E17" s="1">
        <v>0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3">
      <c r="A18" s="1" t="s">
        <v>41</v>
      </c>
      <c r="B18" s="1" t="s">
        <v>43</v>
      </c>
      <c r="C18" s="1">
        <v>121</v>
      </c>
      <c r="D18" s="1">
        <v>74</v>
      </c>
      <c r="E18" s="1">
        <v>5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x14ac:dyDescent="0.3">
      <c r="A19" s="1" t="s">
        <v>42</v>
      </c>
      <c r="B19" s="1" t="s">
        <v>43</v>
      </c>
      <c r="C19" s="1">
        <v>13</v>
      </c>
      <c r="D19" s="1">
        <v>0</v>
      </c>
      <c r="E19" s="1">
        <v>187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x14ac:dyDescent="0.3">
      <c r="A21" s="1"/>
      <c r="B21" s="1" t="s">
        <v>39</v>
      </c>
      <c r="C21" s="1" t="s">
        <v>40</v>
      </c>
      <c r="D21" s="1" t="s">
        <v>41</v>
      </c>
      <c r="E21" s="1" t="s">
        <v>42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x14ac:dyDescent="0.3">
      <c r="A22" s="1" t="s">
        <v>40</v>
      </c>
      <c r="B22" s="1" t="s">
        <v>43</v>
      </c>
      <c r="C22" s="1">
        <v>195</v>
      </c>
      <c r="D22" s="1">
        <v>5</v>
      </c>
      <c r="E22" s="1">
        <v>0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3">
      <c r="A23" s="1" t="s">
        <v>41</v>
      </c>
      <c r="B23" s="1" t="s">
        <v>43</v>
      </c>
      <c r="C23" s="1">
        <v>128</v>
      </c>
      <c r="D23" s="1">
        <v>71</v>
      </c>
      <c r="E23" s="1">
        <v>1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3">
      <c r="A24" s="1" t="s">
        <v>42</v>
      </c>
      <c r="B24" s="1" t="s">
        <v>43</v>
      </c>
      <c r="C24" s="1">
        <v>33</v>
      </c>
      <c r="D24" s="1">
        <v>4</v>
      </c>
      <c r="E24" s="1">
        <v>163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3">
      <c r="A26" s="1"/>
      <c r="B26" s="1" t="s">
        <v>39</v>
      </c>
      <c r="C26" s="1" t="s">
        <v>40</v>
      </c>
      <c r="D26" s="1" t="s">
        <v>41</v>
      </c>
      <c r="E26" s="1" t="s">
        <v>42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3">
      <c r="A27" s="1" t="s">
        <v>40</v>
      </c>
      <c r="B27" s="1" t="s">
        <v>43</v>
      </c>
      <c r="C27" s="1">
        <v>199</v>
      </c>
      <c r="D27" s="1">
        <v>1</v>
      </c>
      <c r="E27" s="1">
        <v>0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3">
      <c r="A28" s="1" t="s">
        <v>41</v>
      </c>
      <c r="B28" s="1" t="s">
        <v>43</v>
      </c>
      <c r="C28" s="1">
        <v>138</v>
      </c>
      <c r="D28" s="1">
        <v>60</v>
      </c>
      <c r="E28" s="1">
        <v>2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3">
      <c r="A29" s="1" t="s">
        <v>42</v>
      </c>
      <c r="B29" s="1" t="s">
        <v>43</v>
      </c>
      <c r="C29" s="1">
        <v>22</v>
      </c>
      <c r="D29" s="1">
        <v>6</v>
      </c>
      <c r="E29" s="1">
        <v>172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res_scrimin=0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Enzo Ubaldo Petrocco</cp:lastModifiedBy>
  <dcterms:created xsi:type="dcterms:W3CDTF">2026-01-28T20:01:03Z</dcterms:created>
  <dcterms:modified xsi:type="dcterms:W3CDTF">2026-03-26T22:16:49Z</dcterms:modified>
</cp:coreProperties>
</file>