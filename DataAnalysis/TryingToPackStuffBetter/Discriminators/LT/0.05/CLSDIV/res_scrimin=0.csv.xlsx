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T\0.05\CLSDIV\"/>
    </mc:Choice>
  </mc:AlternateContent>
  <xr:revisionPtr revIDLastSave="0" documentId="13_ncr:1_{BB28B460-84D5-4ABF-B1ED-F2EB5D49FE60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M2" i="1"/>
  <c r="P3" i="1"/>
  <c r="Q3" i="1"/>
  <c r="W3" i="1" s="1"/>
  <c r="R3" i="1"/>
  <c r="X3" i="1" s="1"/>
  <c r="S3" i="1"/>
  <c r="Y3" i="1" s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Q6" i="1"/>
  <c r="W6" i="1" s="1"/>
  <c r="R6" i="1"/>
  <c r="X6" i="1" s="1"/>
  <c r="S6" i="1"/>
  <c r="Y6" i="1" s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AK2" i="1" s="1"/>
  <c r="R2" i="1"/>
  <c r="X2" i="1" s="1"/>
  <c r="Q2" i="1"/>
  <c r="W2" i="1" s="1"/>
  <c r="P2" i="1"/>
  <c r="AQ2" i="1" l="1"/>
  <c r="AG2" i="1"/>
  <c r="AI2" i="1"/>
  <c r="AD4" i="1"/>
  <c r="AD6" i="1"/>
  <c r="AD7" i="1"/>
  <c r="AD5" i="1"/>
  <c r="AD3" i="1"/>
  <c r="AP2" i="1"/>
  <c r="AN2" i="1"/>
  <c r="AL2" i="1"/>
  <c r="AF2" i="1"/>
  <c r="AH2" i="1"/>
  <c r="AJ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<sst xmlns="http://schemas.openxmlformats.org/spreadsheetml/2006/main" count="99" uniqueCount="44">
  <si>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</si>
  <si>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</si>
  <si>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</si>
  <si>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</si>
  <si>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</si>
  <si>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</si>
  <si>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</si>
  <si>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</si>
  <si>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</si>
  <si>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</si>
  <si>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</si>
  <si>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</si>
  <si>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</si>
  <si>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</si>
  <si>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</si>
  <si>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</si>
  <si>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</si>
  <si>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</si>
  <si>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</si>
  <si>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</si>
  <si>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</si>
  <si>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</si>
  <si>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</si>
  <si>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</si>
  <si>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</si>
  <si>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</si>
  <si>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</si>
  <si>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</si>
  <si>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</si>
  <si>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</si>
  <si>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</si>
  <si>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</si>
  <si>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</si>
  <si>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stdAcc</t>
  </si>
  <si>
    <t>stdRec2</t>
  </si>
  <si>
    <t>stdRec1</t>
  </si>
  <si>
    <t>stdRec0</t>
  </si>
  <si>
    <t>stdPrec2</t>
  </si>
  <si>
    <t>stdPrec1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</si>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</sst>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T1" zoomScale="86" zoomScaleNormal="10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38</v>
      </c>
      <c r="AJ1" s="1" t="s">
        <v>27</v>
      </c>
      <c r="AK1" s="1" t="s">
        <v>37</v>
      </c>
      <c r="AL1" s="1" t="s">
        <v>28</v>
      </c>
      <c r="AM1" s="1" t="s">
        <v>36</v>
      </c>
      <c r="AN1" s="1" t="s">
        <v>29</v>
      </c>
      <c r="AO1" s="1" t="s">
        <v>35</v>
      </c>
      <c r="AP1" s="1" t="s">
        <v>30</v>
      </c>
      <c r="AQ1" s="1" t="s">
        <v>34</v>
      </c>
      <c r="AR1" s="1" t="s">
        <v>31</v>
      </c>
      <c r="AS1" s="1" t="s">
        <v>33</v>
      </c>
    </row>
    <row r="2" spans="1:45" x14ac:dyDescent="0.3">
      <c r="A2" s="1" t="s">
        <v>40</v>
      </c>
      <c r="B2" s="1" t="s">
        <v>43</v>
      </c>
      <c r="C2" s="1">
        <v>124</v>
      </c>
      <c r="D2" s="1">
        <v>32</v>
      </c>
      <c r="E2" s="1">
        <v>44</v>
      </c>
      <c r="F2" s="1"/>
      <c r="G2" s="1">
        <v>124</v>
      </c>
      <c r="H2" s="1">
        <v>32</v>
      </c>
      <c r="I2" s="1">
        <v>44</v>
      </c>
      <c r="J2" s="1">
        <v>25</v>
      </c>
      <c r="K2" s="1">
        <v>150</v>
      </c>
      <c r="L2" s="1">
        <v>25</v>
      </c>
      <c r="M2" s="1">
        <v>2</v>
      </c>
      <c r="N2" s="1">
        <v>0</v>
      </c>
      <c r="O2" s="1">
        <v>198</v>
      </c>
      <c r="P2" s="1">
        <f>G2+K2+O2</f>
        <v>472</v>
      </c>
      <c r="Q2" s="1">
        <f>G2+J2+M2</f>
        <v>151</v>
      </c>
      <c r="R2" s="1">
        <f>H2+K2+N2</f>
        <v>182</v>
      </c>
      <c r="S2" s="1">
        <f>I2+L2+O2</f>
        <v>267</v>
      </c>
      <c r="T2" s="1">
        <v>200</v>
      </c>
      <c r="U2" s="1">
        <v>200</v>
      </c>
      <c r="V2" s="1">
        <v>200</v>
      </c>
      <c r="W2" s="1">
        <f>G2/Q2</f>
        <v>0.82119205298013243</v>
      </c>
      <c r="X2" s="1">
        <f>K2/R2</f>
        <v>0.82417582417582413</v>
      </c>
      <c r="Y2" s="1">
        <f>O2/S2</f>
        <v>0.7415730337078652</v>
      </c>
      <c r="Z2" s="1">
        <f>G2/T2</f>
        <v>0.62</v>
      </c>
      <c r="AA2" s="1">
        <f>K2/U2</f>
        <v>0.75</v>
      </c>
      <c r="AB2" s="1">
        <f>O2/V2</f>
        <v>0.99</v>
      </c>
      <c r="AC2" s="1">
        <f>SUM(T2:V2)</f>
        <v>600</v>
      </c>
      <c r="AD2" s="1">
        <f>P2/AC2</f>
        <v>0.78666666666666663</v>
      </c>
      <c r="AF2" s="2">
        <f t="shared" ref="AF2" si="0">AVERAGE(W2:W10)</f>
        <v>0.74198705400039644</v>
      </c>
      <c r="AG2" s="2">
        <f>_xlfn.STDEV.S(W2:W7)</f>
        <v>6.387821408892666E-2</v>
      </c>
      <c r="AH2" s="2">
        <f>AVERAGE(X2:X10)</f>
        <v>0.80825419667804288</v>
      </c>
      <c r="AI2" s="2">
        <f>_xlfn.STDEV.S(X2:X7)</f>
        <v>6.1632593123972394E-2</v>
      </c>
      <c r="AJ2" s="2">
        <f>AVERAGE(Y2:Y10)</f>
        <v>0.76944886431815895</v>
      </c>
      <c r="AK2" s="2">
        <f>_xlfn.STDEV.S(Y2:Y7)</f>
        <v>2.5926817214367959E-2</v>
      </c>
      <c r="AL2" s="2">
        <f>AVERAGE(Z2:Z10)</f>
        <v>0.60749999999999993</v>
      </c>
      <c r="AM2" s="2">
        <f>_xlfn.STDEV.S(Z2:Z7)</f>
        <v>7.9482702520737872E-2</v>
      </c>
      <c r="AN2" s="2">
        <f>AVERAGE(AA2:AA10)</f>
        <v>0.70583333333333342</v>
      </c>
      <c r="AO2" s="2">
        <f>_xlfn.STDEV.S(AA2:AA7)</f>
        <v>8.0150899350329111E-2</v>
      </c>
      <c r="AP2" s="2">
        <f>AVERAGE(AB2:AB10)</f>
        <v>0.9916666666666667</v>
      </c>
      <c r="AQ2" s="2">
        <f>_xlfn.STDEV.S(AB2:AB7)</f>
        <v>2.5819888974716139E-3</v>
      </c>
      <c r="AR2" s="2">
        <f>AVERAGE(AD2:AD10)</f>
        <v>0.7683333333333332</v>
      </c>
      <c r="AS2" s="2">
        <f>_xlfn.STDEV.S(AD2:AD7)</f>
        <v>1.629587541544042E-2</v>
      </c>
    </row>
    <row r="3" spans="1:45" x14ac:dyDescent="0.3">
      <c r="A3" s="1" t="s">
        <v>41</v>
      </c>
      <c r="B3" s="1" t="s">
        <v>43</v>
      </c>
      <c r="C3" s="1">
        <v>25</v>
      </c>
      <c r="D3" s="1">
        <v>150</v>
      </c>
      <c r="E3" s="1">
        <v>25</v>
      </c>
      <c r="F3" s="1"/>
      <c r="G3" s="1">
        <v>121</v>
      </c>
      <c r="H3" s="1">
        <v>20</v>
      </c>
      <c r="I3" s="1">
        <v>59</v>
      </c>
      <c r="J3" s="1">
        <v>47</v>
      </c>
      <c r="K3" s="1">
        <v>140</v>
      </c>
      <c r="L3" s="1">
        <v>13</v>
      </c>
      <c r="M3" s="1">
        <v>1</v>
      </c>
      <c r="N3" s="1">
        <v>1</v>
      </c>
      <c r="O3" s="1">
        <v>198</v>
      </c>
      <c r="P3" s="1">
        <f t="shared" ref="P3:P7" si="1">G3+K3+O3</f>
        <v>459</v>
      </c>
      <c r="Q3" s="1">
        <f t="shared" ref="Q3:Q7" si="2">G3+J3+M3</f>
        <v>169</v>
      </c>
      <c r="R3" s="1">
        <f t="shared" ref="R3:R7" si="3">H3+K3+N3</f>
        <v>161</v>
      </c>
      <c r="S3" s="1">
        <f t="shared" ref="S3:S7" si="4">I3+L3+O3</f>
        <v>270</v>
      </c>
      <c r="T3" s="1">
        <v>200</v>
      </c>
      <c r="U3" s="1">
        <v>200</v>
      </c>
      <c r="V3" s="1">
        <v>200</v>
      </c>
      <c r="W3" s="1">
        <f t="shared" ref="W3:W7" si="5">G3/Q3</f>
        <v>0.71597633136094674</v>
      </c>
      <c r="X3" s="1">
        <f t="shared" ref="X3:X7" si="6">K3/R3</f>
        <v>0.86956521739130432</v>
      </c>
      <c r="Y3" s="1">
        <f t="shared" ref="Y3:Y7" si="7">O3/S3</f>
        <v>0.73333333333333328</v>
      </c>
      <c r="Z3" s="1">
        <f t="shared" ref="Z3:Z7" si="8">G3/T3</f>
        <v>0.60499999999999998</v>
      </c>
      <c r="AA3" s="1">
        <f t="shared" ref="AA3:AA7" si="9">K3/U3</f>
        <v>0.7</v>
      </c>
      <c r="AB3" s="1">
        <f t="shared" ref="AB3:AB7" si="10">O3/V3</f>
        <v>0.99</v>
      </c>
      <c r="AC3" s="1">
        <f t="shared" ref="AC3:AC7" si="11">SUM(T3:V3)</f>
        <v>600</v>
      </c>
      <c r="AD3" s="1">
        <f t="shared" ref="AD3:AD7" si="12">P3/AC3</f>
        <v>0.76500000000000001</v>
      </c>
    </row>
    <row r="4" spans="1:45" x14ac:dyDescent="0.3">
      <c r="A4" s="1" t="s">
        <v>42</v>
      </c>
      <c r="B4" s="1" t="s">
        <v>43</v>
      </c>
      <c r="C4" s="1">
        <v>2</v>
      </c>
      <c r="D4" s="1">
        <v>0</v>
      </c>
      <c r="E4" s="1">
        <v>198</v>
      </c>
      <c r="F4" s="1"/>
      <c r="G4" s="1">
        <v>139</v>
      </c>
      <c r="H4" s="1">
        <v>21</v>
      </c>
      <c r="I4" s="1">
        <v>40</v>
      </c>
      <c r="J4" s="1">
        <v>63</v>
      </c>
      <c r="K4" s="1">
        <v>122</v>
      </c>
      <c r="L4" s="1">
        <v>15</v>
      </c>
      <c r="M4" s="1">
        <v>1</v>
      </c>
      <c r="N4" s="1">
        <v>0</v>
      </c>
      <c r="O4" s="1">
        <v>199</v>
      </c>
      <c r="P4" s="1">
        <f t="shared" si="1"/>
        <v>460</v>
      </c>
      <c r="Q4" s="1">
        <f t="shared" si="2"/>
        <v>203</v>
      </c>
      <c r="R4" s="1">
        <f t="shared" si="3"/>
        <v>143</v>
      </c>
      <c r="S4" s="1">
        <f t="shared" si="4"/>
        <v>254</v>
      </c>
      <c r="T4" s="1">
        <v>200</v>
      </c>
      <c r="U4" s="1">
        <v>200</v>
      </c>
      <c r="V4" s="1">
        <v>200</v>
      </c>
      <c r="W4" s="1">
        <f t="shared" si="5"/>
        <v>0.68472906403940892</v>
      </c>
      <c r="X4" s="1">
        <f t="shared" si="6"/>
        <v>0.85314685314685312</v>
      </c>
      <c r="Y4" s="1">
        <f t="shared" si="7"/>
        <v>0.78346456692913391</v>
      </c>
      <c r="Z4" s="1">
        <f t="shared" si="8"/>
        <v>0.69499999999999995</v>
      </c>
      <c r="AA4" s="1">
        <f t="shared" si="9"/>
        <v>0.61</v>
      </c>
      <c r="AB4" s="1">
        <f t="shared" si="10"/>
        <v>0.995</v>
      </c>
      <c r="AC4" s="1">
        <f t="shared" si="11"/>
        <v>600</v>
      </c>
      <c r="AD4" s="1">
        <f t="shared" si="12"/>
        <v>0.76666666666666672</v>
      </c>
    </row>
    <row r="5" spans="1:45" x14ac:dyDescent="0.3">
      <c r="A5" s="1"/>
      <c r="B5" s="1"/>
      <c r="C5" s="1"/>
      <c r="D5" s="1"/>
      <c r="E5" s="1"/>
      <c r="F5" s="1"/>
      <c r="G5" s="1">
        <v>119</v>
      </c>
      <c r="H5" s="1">
        <v>37</v>
      </c>
      <c r="I5" s="1">
        <v>44</v>
      </c>
      <c r="J5" s="1">
        <v>31</v>
      </c>
      <c r="K5" s="1">
        <v>156</v>
      </c>
      <c r="L5" s="1">
        <v>13</v>
      </c>
      <c r="M5" s="1">
        <v>0</v>
      </c>
      <c r="N5" s="1">
        <v>2</v>
      </c>
      <c r="O5" s="1">
        <v>198</v>
      </c>
      <c r="P5" s="1">
        <f t="shared" si="1"/>
        <v>473</v>
      </c>
      <c r="Q5" s="1">
        <f t="shared" si="2"/>
        <v>150</v>
      </c>
      <c r="R5" s="1">
        <f t="shared" si="3"/>
        <v>195</v>
      </c>
      <c r="S5" s="1">
        <f t="shared" si="4"/>
        <v>255</v>
      </c>
      <c r="T5" s="1">
        <v>200</v>
      </c>
      <c r="U5" s="1">
        <v>200</v>
      </c>
      <c r="V5" s="1">
        <v>200</v>
      </c>
      <c r="W5" s="1">
        <f t="shared" si="5"/>
        <v>0.79333333333333333</v>
      </c>
      <c r="X5" s="1">
        <f t="shared" si="6"/>
        <v>0.8</v>
      </c>
      <c r="Y5" s="1">
        <f t="shared" si="7"/>
        <v>0.77647058823529413</v>
      </c>
      <c r="Z5" s="1">
        <f t="shared" si="8"/>
        <v>0.59499999999999997</v>
      </c>
      <c r="AA5" s="1">
        <f t="shared" si="9"/>
        <v>0.78</v>
      </c>
      <c r="AB5" s="1">
        <f t="shared" si="10"/>
        <v>0.99</v>
      </c>
      <c r="AC5" s="1">
        <f t="shared" si="11"/>
        <v>600</v>
      </c>
      <c r="AD5" s="1">
        <f t="shared" si="12"/>
        <v>0.78833333333333333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93</v>
      </c>
      <c r="H6" s="1">
        <v>68</v>
      </c>
      <c r="I6" s="1">
        <v>39</v>
      </c>
      <c r="J6" s="1">
        <v>27</v>
      </c>
      <c r="K6" s="1">
        <v>157</v>
      </c>
      <c r="L6" s="1">
        <v>16</v>
      </c>
      <c r="M6" s="1">
        <v>0</v>
      </c>
      <c r="N6" s="1">
        <v>1</v>
      </c>
      <c r="O6" s="1">
        <v>199</v>
      </c>
      <c r="P6" s="1">
        <f t="shared" si="1"/>
        <v>449</v>
      </c>
      <c r="Q6" s="1">
        <f t="shared" si="2"/>
        <v>120</v>
      </c>
      <c r="R6" s="1">
        <f t="shared" si="3"/>
        <v>226</v>
      </c>
      <c r="S6" s="1">
        <f t="shared" si="4"/>
        <v>254</v>
      </c>
      <c r="T6" s="1">
        <v>200</v>
      </c>
      <c r="U6" s="1">
        <v>200</v>
      </c>
      <c r="V6" s="1">
        <v>200</v>
      </c>
      <c r="W6" s="1">
        <f t="shared" si="5"/>
        <v>0.77500000000000002</v>
      </c>
      <c r="X6" s="1">
        <f t="shared" si="6"/>
        <v>0.69469026548672563</v>
      </c>
      <c r="Y6" s="1">
        <f t="shared" si="7"/>
        <v>0.78346456692913391</v>
      </c>
      <c r="Z6" s="1">
        <f t="shared" si="8"/>
        <v>0.46500000000000002</v>
      </c>
      <c r="AA6" s="1">
        <f t="shared" si="9"/>
        <v>0.78500000000000003</v>
      </c>
      <c r="AB6" s="1">
        <f t="shared" si="10"/>
        <v>0.995</v>
      </c>
      <c r="AC6" s="1">
        <f t="shared" si="11"/>
        <v>600</v>
      </c>
      <c r="AD6" s="1">
        <f t="shared" si="12"/>
        <v>0.74833333333333329</v>
      </c>
    </row>
    <row r="7" spans="1:45" x14ac:dyDescent="0.3">
      <c r="A7" s="1" t="s">
        <v>40</v>
      </c>
      <c r="B7" s="1" t="s">
        <v>43</v>
      </c>
      <c r="C7" s="1">
        <v>121</v>
      </c>
      <c r="D7" s="1">
        <v>20</v>
      </c>
      <c r="E7" s="1">
        <v>59</v>
      </c>
      <c r="F7" s="1"/>
      <c r="G7" s="1">
        <v>133</v>
      </c>
      <c r="H7" s="1">
        <v>29</v>
      </c>
      <c r="I7" s="1">
        <v>38</v>
      </c>
      <c r="J7" s="1">
        <v>66</v>
      </c>
      <c r="K7" s="1">
        <v>122</v>
      </c>
      <c r="L7" s="1">
        <v>12</v>
      </c>
      <c r="M7" s="1">
        <v>2</v>
      </c>
      <c r="N7" s="1">
        <v>0</v>
      </c>
      <c r="O7" s="1">
        <v>198</v>
      </c>
      <c r="P7" s="1">
        <f t="shared" si="1"/>
        <v>453</v>
      </c>
      <c r="Q7" s="1">
        <f t="shared" si="2"/>
        <v>201</v>
      </c>
      <c r="R7" s="1">
        <f t="shared" si="3"/>
        <v>151</v>
      </c>
      <c r="S7" s="1">
        <f t="shared" si="4"/>
        <v>248</v>
      </c>
      <c r="T7" s="1">
        <v>200</v>
      </c>
      <c r="U7" s="1">
        <v>200</v>
      </c>
      <c r="V7" s="1">
        <v>200</v>
      </c>
      <c r="W7" s="1">
        <f t="shared" si="5"/>
        <v>0.6616915422885572</v>
      </c>
      <c r="X7" s="1">
        <f t="shared" si="6"/>
        <v>0.80794701986754969</v>
      </c>
      <c r="Y7" s="1">
        <f t="shared" si="7"/>
        <v>0.79838709677419351</v>
      </c>
      <c r="Z7" s="1">
        <f t="shared" si="8"/>
        <v>0.66500000000000004</v>
      </c>
      <c r="AA7" s="1">
        <f t="shared" si="9"/>
        <v>0.61</v>
      </c>
      <c r="AB7" s="1">
        <f t="shared" si="10"/>
        <v>0.99</v>
      </c>
      <c r="AC7" s="1">
        <f t="shared" si="11"/>
        <v>600</v>
      </c>
      <c r="AD7" s="1">
        <f t="shared" si="12"/>
        <v>0.755</v>
      </c>
    </row>
    <row r="8" spans="1:45" x14ac:dyDescent="0.3">
      <c r="A8" s="1" t="s">
        <v>41</v>
      </c>
      <c r="B8" s="1" t="s">
        <v>43</v>
      </c>
      <c r="C8" s="1">
        <v>47</v>
      </c>
      <c r="D8" s="1">
        <v>140</v>
      </c>
      <c r="E8" s="1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</v>
      </c>
      <c r="D9" s="1">
        <v>1</v>
      </c>
      <c r="E9" s="1">
        <v>198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139</v>
      </c>
      <c r="D12" s="1">
        <v>21</v>
      </c>
      <c r="E12" s="1">
        <v>40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63</v>
      </c>
      <c r="D13" s="1">
        <v>122</v>
      </c>
      <c r="E13" s="1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1</v>
      </c>
      <c r="D14" s="1">
        <v>0</v>
      </c>
      <c r="E14" s="1">
        <v>199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119</v>
      </c>
      <c r="D17" s="1">
        <v>37</v>
      </c>
      <c r="E17" s="1">
        <v>44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31</v>
      </c>
      <c r="D18" s="1">
        <v>156</v>
      </c>
      <c r="E18" s="1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0</v>
      </c>
      <c r="D19" s="1">
        <v>2</v>
      </c>
      <c r="E19" s="1">
        <v>198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93</v>
      </c>
      <c r="D22" s="1">
        <v>68</v>
      </c>
      <c r="E22" s="1">
        <v>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27</v>
      </c>
      <c r="D23" s="1">
        <v>157</v>
      </c>
      <c r="E23" s="1">
        <v>16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0</v>
      </c>
      <c r="D24" s="1">
        <v>1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133</v>
      </c>
      <c r="D27" s="1">
        <v>29</v>
      </c>
      <c r="E27" s="1">
        <v>38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66</v>
      </c>
      <c r="D28" s="1">
        <v>122</v>
      </c>
      <c r="E28" s="1">
        <v>12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2</v>
      </c>
      <c r="D29" s="1">
        <v>0</v>
      </c>
      <c r="E29" s="1">
        <v>198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2026-03-26T22:23:56Z</dcterms:modified>
</cp:coreProperties>
</file>