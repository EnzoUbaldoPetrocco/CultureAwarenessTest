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S\0.05\"/>
    </mc:Choice>
  </mc:AlternateContent>
  <xr:revisionPtr revIDLastSave="0" documentId="13_ncr:1_{BAAA39B1-1F8C-4157-8246-4E8C8AF2B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E3" i="2"/>
  <c r="AD3" i="2"/>
  <c r="AC3" i="2"/>
  <c r="AB3" i="2"/>
  <c r="AA3" i="2"/>
  <c r="Z3" i="2"/>
  <c r="Y3" i="2"/>
  <c r="X3" i="2"/>
  <c r="W3" i="2"/>
  <c r="Q6" i="2"/>
  <c r="T6" i="2" s="1"/>
  <c r="R6" i="2"/>
  <c r="S6" i="2"/>
  <c r="Q7" i="2"/>
  <c r="R7" i="2"/>
  <c r="S7" i="2"/>
  <c r="T7" i="2"/>
  <c r="U7" i="2"/>
  <c r="V7" i="2"/>
  <c r="Q8" i="2"/>
  <c r="R8" i="2"/>
  <c r="S8" i="2"/>
  <c r="T8" i="2"/>
  <c r="U8" i="2"/>
  <c r="V8" i="2"/>
  <c r="Q9" i="2"/>
  <c r="U9" i="2" s="1"/>
  <c r="R9" i="2"/>
  <c r="S9" i="2"/>
  <c r="T9" i="2"/>
  <c r="Q10" i="2"/>
  <c r="R10" i="2"/>
  <c r="S10" i="2"/>
  <c r="T10" i="2"/>
  <c r="U10" i="2"/>
  <c r="V10" i="2"/>
  <c r="Q11" i="2"/>
  <c r="R11" i="2"/>
  <c r="S11" i="2"/>
  <c r="T11" i="2"/>
  <c r="U11" i="2"/>
  <c r="V11" i="2"/>
  <c r="S14" i="7"/>
  <c r="R14" i="7"/>
  <c r="Q14" i="7"/>
  <c r="U14" i="7" s="1"/>
  <c r="S13" i="7"/>
  <c r="R13" i="7"/>
  <c r="Q13" i="7"/>
  <c r="U13" i="7" s="1"/>
  <c r="S12" i="7"/>
  <c r="R12" i="7"/>
  <c r="Q12" i="7"/>
  <c r="U12" i="7" s="1"/>
  <c r="S11" i="7"/>
  <c r="AB11" i="7" s="1"/>
  <c r="R11" i="7"/>
  <c r="Z11" i="7" s="1"/>
  <c r="Q11" i="7"/>
  <c r="S9" i="7"/>
  <c r="R9" i="7"/>
  <c r="Y6" i="7" s="1"/>
  <c r="Q9" i="7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6" i="7"/>
  <c r="R6" i="7"/>
  <c r="Q6" i="7"/>
  <c r="X6" i="7" s="1"/>
  <c r="S4" i="7"/>
  <c r="R4" i="7"/>
  <c r="Q4" i="7"/>
  <c r="U4" i="7" s="1"/>
  <c r="S3" i="7"/>
  <c r="R3" i="7"/>
  <c r="Z3" i="7" s="1"/>
  <c r="Q3" i="7"/>
  <c r="X3" i="7" s="1"/>
  <c r="AF11" i="6"/>
  <c r="AE11" i="6"/>
  <c r="AD11" i="6"/>
  <c r="AC11" i="6"/>
  <c r="AB11" i="6"/>
  <c r="AA11" i="6"/>
  <c r="Z11" i="6"/>
  <c r="Y11" i="6"/>
  <c r="X11" i="6"/>
  <c r="W11" i="6"/>
  <c r="AF6" i="6"/>
  <c r="AE6" i="6"/>
  <c r="AD6" i="6"/>
  <c r="AC6" i="6"/>
  <c r="AB6" i="6"/>
  <c r="AA6" i="6"/>
  <c r="Z6" i="6"/>
  <c r="Y6" i="6"/>
  <c r="X6" i="6"/>
  <c r="W6" i="6"/>
  <c r="AF3" i="6"/>
  <c r="AE3" i="6"/>
  <c r="AD3" i="6"/>
  <c r="AC3" i="6"/>
  <c r="AB3" i="6"/>
  <c r="AA3" i="6"/>
  <c r="Z3" i="6"/>
  <c r="Y3" i="6"/>
  <c r="X3" i="6"/>
  <c r="W3" i="6"/>
  <c r="Q4" i="6"/>
  <c r="R4" i="6"/>
  <c r="S4" i="6"/>
  <c r="Q6" i="6"/>
  <c r="R6" i="6"/>
  <c r="S6" i="6"/>
  <c r="T6" i="6"/>
  <c r="Q7" i="6"/>
  <c r="R7" i="6"/>
  <c r="S7" i="6"/>
  <c r="T7" i="6"/>
  <c r="U7" i="6"/>
  <c r="V7" i="6"/>
  <c r="Q8" i="6"/>
  <c r="R8" i="6"/>
  <c r="S8" i="6"/>
  <c r="Q9" i="6"/>
  <c r="R9" i="6"/>
  <c r="S9" i="6"/>
  <c r="Q11" i="6"/>
  <c r="R11" i="6"/>
  <c r="S11" i="6"/>
  <c r="T11" i="6"/>
  <c r="U11" i="6"/>
  <c r="V11" i="6"/>
  <c r="Q12" i="6"/>
  <c r="R12" i="6"/>
  <c r="S12" i="6"/>
  <c r="T12" i="6" s="1"/>
  <c r="U12" i="6"/>
  <c r="Q13" i="6"/>
  <c r="R13" i="6"/>
  <c r="S13" i="6"/>
  <c r="Q14" i="6"/>
  <c r="R14" i="6"/>
  <c r="S14" i="6"/>
  <c r="S3" i="6"/>
  <c r="R3" i="6"/>
  <c r="Q3" i="6"/>
  <c r="T3" i="6" s="1"/>
  <c r="Q4" i="2"/>
  <c r="R4" i="2"/>
  <c r="S4" i="2"/>
  <c r="Q5" i="2"/>
  <c r="R5" i="2"/>
  <c r="S5" i="2"/>
  <c r="S3" i="2"/>
  <c r="R3" i="2"/>
  <c r="Q3" i="2"/>
  <c r="U3" i="2" s="1"/>
  <c r="AI7" i="6"/>
  <c r="AL7" i="6"/>
  <c r="AN7" i="6"/>
  <c r="V9" i="2" l="1"/>
  <c r="U6" i="2"/>
  <c r="V6" i="2" s="1"/>
  <c r="T4" i="2"/>
  <c r="X11" i="7"/>
  <c r="T14" i="7"/>
  <c r="V14" i="7" s="1"/>
  <c r="AB6" i="7"/>
  <c r="U8" i="7"/>
  <c r="Z6" i="7"/>
  <c r="U9" i="7"/>
  <c r="W6" i="7"/>
  <c r="AA3" i="7"/>
  <c r="AA6" i="7"/>
  <c r="U11" i="7"/>
  <c r="T8" i="7"/>
  <c r="V8" i="7" s="1"/>
  <c r="W3" i="7"/>
  <c r="Y11" i="7"/>
  <c r="T11" i="7"/>
  <c r="U3" i="7"/>
  <c r="AA11" i="7"/>
  <c r="AB3" i="7"/>
  <c r="T9" i="7"/>
  <c r="T12" i="7"/>
  <c r="V12" i="7" s="1"/>
  <c r="T3" i="7"/>
  <c r="T4" i="7"/>
  <c r="V4" i="7" s="1"/>
  <c r="W11" i="7"/>
  <c r="T13" i="7"/>
  <c r="V13" i="7" s="1"/>
  <c r="Y3" i="7"/>
  <c r="T6" i="7"/>
  <c r="T7" i="7"/>
  <c r="V7" i="7" s="1"/>
  <c r="U6" i="7"/>
  <c r="T14" i="6"/>
  <c r="T8" i="6"/>
  <c r="U8" i="6"/>
  <c r="U13" i="6"/>
  <c r="V8" i="6"/>
  <c r="V12" i="6"/>
  <c r="U3" i="6"/>
  <c r="V3" i="6" s="1"/>
  <c r="T13" i="6"/>
  <c r="U9" i="6"/>
  <c r="U6" i="6"/>
  <c r="T4" i="6"/>
  <c r="U14" i="6"/>
  <c r="V6" i="6"/>
  <c r="U4" i="6"/>
  <c r="T9" i="6"/>
  <c r="V9" i="6" s="1"/>
  <c r="U4" i="2"/>
  <c r="U5" i="2"/>
  <c r="T3" i="2"/>
  <c r="T5" i="2"/>
  <c r="AJ7" i="6"/>
  <c r="AK7" i="6"/>
  <c r="AM7" i="6"/>
  <c r="V4" i="2" l="1"/>
  <c r="V3" i="2"/>
  <c r="V5" i="2"/>
  <c r="V9" i="7"/>
  <c r="AD6" i="7"/>
  <c r="AC6" i="7"/>
  <c r="V6" i="7"/>
  <c r="AC3" i="7"/>
  <c r="AD3" i="7"/>
  <c r="V3" i="7"/>
  <c r="AD11" i="7"/>
  <c r="AC11" i="7"/>
  <c r="V11" i="7"/>
  <c r="V14" i="6"/>
  <c r="V13" i="6"/>
  <c r="V4" i="6"/>
  <c r="AE11" i="7" l="1"/>
  <c r="AF11" i="7"/>
  <c r="AF3" i="7"/>
  <c r="AE3" i="7"/>
  <c r="AE6" i="7"/>
  <c r="AF6" i="7"/>
</calcChain>
</file>

<file path=xl/sharedStrings.xml><?xml version="1.0" encoding="utf-8"?>
<sst xmlns="http://schemas.openxmlformats.org/spreadsheetml/2006/main" count="122" uniqueCount="44">
  <si>
    <t>Dati originali</t>
  </si>
  <si>
    <t>ERR</t>
  </si>
  <si>
    <t>STD</t>
  </si>
  <si>
    <t>BAL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</si>
  <si>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</si>
  <si>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</si>
  <si>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</si>
  <si>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</si>
  <si>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</si>
  <si>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</si>
  <si>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</si>
  <si>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</si>
  <si>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</si>
  <si>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</si>
  <si>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</si>
  <si>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</si>
  <si>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</si>
  <si>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</si>
  <si>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</si>
  <si>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</si>
  <si>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</si>
  <si>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</si>
  <si>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</si>
  <si>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</si>
  <si>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</si>
  <si>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</si>
  <si>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</si>
  <si>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LIST of Best ERR 10%</t>
  </si>
  <si>
    <t>LIST of BEST ERR 20%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</si>
  <si>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</si>
  <si>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</si>
  <si>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</si>
  <si>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</si>
  <si>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</si>
  <si>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</si>
  <si>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</si>
  <si>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CLSDIV</t>
  </si>
  <si>
    <t>NOCLSDIV</t>
  </si>
  <si>
    <t>ERR_0</t>
  </si>
  <si>
    <t>ERR_1</t>
  </si>
  <si>
    <t>ERR_2</t>
  </si>
  <si>
    <t>ep=0.0001</t>
  </si>
  <si>
    <t>ep=0.01</t>
  </si>
  <si>
    <t>ep=0.1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</si>
</sst>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G3" sqref="G3:P6"/>
    </sheetView>
  </sheetViews>
  <sheetFormatPr defaultRowHeight="14.4" x14ac:dyDescent="0.3"/>
  <cols>
    <col min="1" max="1" width="9.88671875" customWidth="1"/>
  </cols>
  <sheetData>
    <row r="1" spans="1:16" x14ac:dyDescent="0.3">
      <c r="A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17</v>
      </c>
      <c r="O1" t="s">
        <v>19</v>
      </c>
      <c r="P1" t="s">
        <v>20</v>
      </c>
    </row>
    <row r="2" spans="1:16" x14ac:dyDescent="0.3">
      <c r="B2" t="s">
        <v>3</v>
      </c>
    </row>
    <row r="3" spans="1:16" x14ac:dyDescent="0.3">
      <c r="C3" t="s">
        <v>4</v>
      </c>
      <c r="G3" s="1">
        <v>24.555555555555557</v>
      </c>
      <c r="H3" s="1">
        <v>2.0531141657924863</v>
      </c>
      <c r="I3" s="1">
        <v>17.888888888888889</v>
      </c>
      <c r="J3" s="1">
        <v>3.4980153103025557</v>
      </c>
      <c r="K3" s="1">
        <v>25.222222222222221</v>
      </c>
      <c r="L3" s="1">
        <v>1.9702650695894817</v>
      </c>
      <c r="M3" s="1">
        <v>22.555555555555557</v>
      </c>
      <c r="N3" s="1">
        <v>1.3176156917368251</v>
      </c>
      <c r="O3" s="1">
        <v>4.7777777777777777</v>
      </c>
      <c r="P3" s="1">
        <v>2.5792979234236939</v>
      </c>
    </row>
    <row r="4" spans="1:16" x14ac:dyDescent="0.3">
      <c r="C4" t="s">
        <v>32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D5" t="s">
        <v>36</v>
      </c>
      <c r="F5" t="s">
        <v>42</v>
      </c>
      <c r="G5" s="1">
        <v>25</v>
      </c>
      <c r="H5" s="1">
        <v>3.2914029430219167</v>
      </c>
      <c r="I5" s="1">
        <v>19.375</v>
      </c>
      <c r="J5" s="1">
        <v>3.0379543555930306</v>
      </c>
      <c r="K5" s="1">
        <v>27.375</v>
      </c>
      <c r="L5" s="1">
        <v>2.3584952830141508</v>
      </c>
      <c r="M5" s="1">
        <v>23.916666666666664</v>
      </c>
      <c r="N5" s="1">
        <v>1.4433756729740641</v>
      </c>
      <c r="O5" s="1">
        <v>4.5416666666666661</v>
      </c>
      <c r="P5" s="1">
        <v>2.8394541729001377</v>
      </c>
    </row>
    <row r="6" spans="1:16" x14ac:dyDescent="0.3">
      <c r="D6" t="s">
        <v>37</v>
      </c>
      <c r="F6" t="s">
        <v>43</v>
      </c>
      <c r="G6" s="1">
        <v>23</v>
      </c>
      <c r="H6" s="1">
        <v>1.5811388300841898</v>
      </c>
      <c r="I6" s="1">
        <v>20.75</v>
      </c>
      <c r="J6" s="1">
        <v>2.5</v>
      </c>
      <c r="K6" s="1">
        <v>25.625</v>
      </c>
      <c r="L6" s="1">
        <v>2.1360009363293826</v>
      </c>
      <c r="M6" s="1">
        <v>23.125</v>
      </c>
      <c r="N6" s="1">
        <v>1.2573855886395862</v>
      </c>
      <c r="O6" s="1">
        <v>2.375</v>
      </c>
      <c r="P6" s="1">
        <v>1.6576143053150778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4"/>
  <sheetViews>
    <sheetView topLeftCell="M1" workbookViewId="0">
      <selection activeCell="W11" sqref="W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41</v>
      </c>
    </row>
    <row r="2" spans="1:44" x14ac:dyDescent="0.3">
      <c r="A2" t="s">
        <v>21</v>
      </c>
      <c r="F2" t="s">
        <v>22</v>
      </c>
      <c r="K2" t="s">
        <v>23</v>
      </c>
      <c r="Q2" t="s">
        <v>24</v>
      </c>
      <c r="R2" t="s">
        <v>25</v>
      </c>
      <c r="S2" t="s">
        <v>26</v>
      </c>
      <c r="T2" t="s">
        <v>16</v>
      </c>
      <c r="U2" t="s">
        <v>18</v>
      </c>
      <c r="V2" t="s">
        <v>15</v>
      </c>
      <c r="W2" t="s">
        <v>38</v>
      </c>
      <c r="X2" t="s">
        <v>33</v>
      </c>
      <c r="Y2" t="s">
        <v>39</v>
      </c>
      <c r="Z2" t="s">
        <v>34</v>
      </c>
      <c r="AA2" t="s">
        <v>40</v>
      </c>
      <c r="AB2" t="s">
        <v>35</v>
      </c>
      <c r="AC2" t="s">
        <v>1</v>
      </c>
      <c r="AD2" t="s">
        <v>17</v>
      </c>
      <c r="AE2" t="s">
        <v>19</v>
      </c>
      <c r="AF2" t="s">
        <v>20</v>
      </c>
      <c r="AH2" t="s">
        <v>27</v>
      </c>
      <c r="AI2" t="s">
        <v>1</v>
      </c>
      <c r="AJ2" t="s">
        <v>19</v>
      </c>
      <c r="AL2" t="s">
        <v>28</v>
      </c>
      <c r="AM2" t="s">
        <v>1</v>
      </c>
      <c r="AN2" t="s">
        <v>19</v>
      </c>
    </row>
    <row r="3" spans="1:44" x14ac:dyDescent="0.3">
      <c r="B3">
        <v>83</v>
      </c>
      <c r="C3">
        <v>17</v>
      </c>
      <c r="D3">
        <v>40</v>
      </c>
      <c r="E3">
        <v>60</v>
      </c>
      <c r="G3">
        <v>74</v>
      </c>
      <c r="H3">
        <v>26</v>
      </c>
      <c r="I3">
        <v>19</v>
      </c>
      <c r="J3">
        <v>81</v>
      </c>
      <c r="L3">
        <v>72</v>
      </c>
      <c r="M3">
        <v>28</v>
      </c>
      <c r="N3">
        <v>20</v>
      </c>
      <c r="O3">
        <v>80</v>
      </c>
      <c r="Q3">
        <f>AVERAGE(C3:D3)</f>
        <v>28.5</v>
      </c>
      <c r="R3">
        <f>AVERAGE(H3:I3)</f>
        <v>22.5</v>
      </c>
      <c r="S3">
        <f>AVERAGE(M3:N3)</f>
        <v>24</v>
      </c>
      <c r="T3">
        <f>AVERAGE(Q3:S3)</f>
        <v>25</v>
      </c>
      <c r="U3">
        <f>MIN(Q3:S3)</f>
        <v>22.5</v>
      </c>
      <c r="V3">
        <f>T3-U3</f>
        <v>2.5</v>
      </c>
      <c r="W3">
        <f>AVERAGE(Q3:Q4)</f>
        <v>26.75</v>
      </c>
      <c r="X3">
        <f>_xlfn.STDEV.S(Q3:Q4)</f>
        <v>2.4748737341529163</v>
      </c>
      <c r="Y3">
        <f>AVERAGE(R3:R4)</f>
        <v>23.5</v>
      </c>
      <c r="Z3">
        <f>_xlfn.STDEV.S(R3:R4)</f>
        <v>1.4142135623730951</v>
      </c>
      <c r="AA3">
        <f>AVERAGE(S3:S4)</f>
        <v>24</v>
      </c>
      <c r="AB3">
        <f>_xlfn.STDEV.S(S3:S4)</f>
        <v>0</v>
      </c>
      <c r="AC3">
        <f>AVERAGE(T3:T4)</f>
        <v>24.75</v>
      </c>
      <c r="AD3">
        <f>_xlfn.STDEV.S(T3:T4)</f>
        <v>0.35355339059327379</v>
      </c>
      <c r="AE3">
        <f>AVERAGE(V3:V4)</f>
        <v>1.5</v>
      </c>
      <c r="AF3">
        <f>_xlfn.STDEV.S(V3:V4)</f>
        <v>1.4142135623730951</v>
      </c>
      <c r="AH3" t="s">
        <v>29</v>
      </c>
      <c r="AL3" t="s">
        <v>30</v>
      </c>
    </row>
    <row r="4" spans="1:44" x14ac:dyDescent="0.3">
      <c r="B4">
        <v>85</v>
      </c>
      <c r="C4">
        <v>15</v>
      </c>
      <c r="D4">
        <v>35</v>
      </c>
      <c r="E4">
        <v>65</v>
      </c>
      <c r="G4">
        <v>69</v>
      </c>
      <c r="H4">
        <v>31</v>
      </c>
      <c r="I4">
        <v>18</v>
      </c>
      <c r="J4">
        <v>82</v>
      </c>
      <c r="L4">
        <v>78</v>
      </c>
      <c r="M4">
        <v>22</v>
      </c>
      <c r="N4">
        <v>26</v>
      </c>
      <c r="O4">
        <v>74</v>
      </c>
      <c r="Q4">
        <f t="shared" ref="Q4:Q14" si="0">AVERAGE(C4:D4)</f>
        <v>25</v>
      </c>
      <c r="R4">
        <f t="shared" ref="R4:R14" si="1">AVERAGE(H4:I4)</f>
        <v>24.5</v>
      </c>
      <c r="S4">
        <f t="shared" ref="S4:S14" si="2">AVERAGE(M4:N4)</f>
        <v>24</v>
      </c>
      <c r="T4">
        <f t="shared" ref="T4:T14" si="3">AVERAGE(Q4:S4)</f>
        <v>24.5</v>
      </c>
      <c r="U4">
        <f t="shared" ref="U4:U14" si="4">MIN(Q4:S4)</f>
        <v>24</v>
      </c>
      <c r="V4">
        <f t="shared" ref="V4:V14" si="5">T4-U4</f>
        <v>0.5</v>
      </c>
      <c r="AH4" t="s">
        <v>31</v>
      </c>
      <c r="AI4">
        <v>28.041666666666668</v>
      </c>
      <c r="AJ4">
        <v>2.5972222222222219</v>
      </c>
      <c r="AL4" t="s">
        <v>31</v>
      </c>
      <c r="AM4">
        <v>28.041666666666668</v>
      </c>
      <c r="AN4">
        <v>2.5972222222222219</v>
      </c>
    </row>
    <row r="5" spans="1:44" x14ac:dyDescent="0.3">
      <c r="A5" t="s">
        <v>42</v>
      </c>
    </row>
    <row r="6" spans="1:44" x14ac:dyDescent="0.3">
      <c r="B6">
        <v>91</v>
      </c>
      <c r="C6">
        <v>9</v>
      </c>
      <c r="D6">
        <v>45</v>
      </c>
      <c r="E6">
        <v>55</v>
      </c>
      <c r="G6">
        <v>73</v>
      </c>
      <c r="H6">
        <v>27</v>
      </c>
      <c r="I6">
        <v>13</v>
      </c>
      <c r="J6">
        <v>87</v>
      </c>
      <c r="L6">
        <v>75</v>
      </c>
      <c r="M6">
        <v>25</v>
      </c>
      <c r="N6">
        <v>23</v>
      </c>
      <c r="O6">
        <v>77</v>
      </c>
      <c r="Q6">
        <f t="shared" si="0"/>
        <v>27</v>
      </c>
      <c r="R6">
        <f t="shared" si="1"/>
        <v>20</v>
      </c>
      <c r="S6">
        <f t="shared" si="2"/>
        <v>24</v>
      </c>
      <c r="T6">
        <f t="shared" si="3"/>
        <v>23.666666666666668</v>
      </c>
      <c r="U6">
        <f t="shared" si="4"/>
        <v>20</v>
      </c>
      <c r="V6">
        <f t="shared" si="5"/>
        <v>3.6666666666666679</v>
      </c>
      <c r="W6">
        <f>AVERAGE(Q6:Q9)</f>
        <v>25.25</v>
      </c>
      <c r="X6">
        <f>_xlfn.STDEV.S(Q6:Q9)</f>
        <v>1.6583123951776999</v>
      </c>
      <c r="Y6">
        <f>AVERAGE(R6:R9)</f>
        <v>20.75</v>
      </c>
      <c r="Z6">
        <f>_xlfn.STDEV.S(R6:R9)</f>
        <v>1.8484227510682361</v>
      </c>
      <c r="AA6">
        <f>AVERAGE(S6:S9)</f>
        <v>24.875</v>
      </c>
      <c r="AB6">
        <f>_xlfn.STDEV.S(S6:S9)</f>
        <v>5.4524459343185301</v>
      </c>
      <c r="AC6">
        <f>AVERAGE(T6:T9)</f>
        <v>23.625000000000004</v>
      </c>
      <c r="AD6">
        <f>_xlfn.STDEV.S(T6:T9)</f>
        <v>2.4958298553119889</v>
      </c>
      <c r="AE6">
        <f>AVERAGE(V6:V9)</f>
        <v>3.5000000000000009</v>
      </c>
      <c r="AF6">
        <f>_xlfn.STDEV.S(V6:V9)</f>
        <v>1.2247448713915889</v>
      </c>
      <c r="AI6" t="s">
        <v>6</v>
      </c>
      <c r="AJ6" t="s">
        <v>33</v>
      </c>
      <c r="AK6" t="s">
        <v>8</v>
      </c>
      <c r="AL6" t="s">
        <v>34</v>
      </c>
      <c r="AM6" t="s">
        <v>10</v>
      </c>
      <c r="AN6" t="s">
        <v>35</v>
      </c>
      <c r="AO6" t="s">
        <v>1</v>
      </c>
      <c r="AP6" t="s">
        <v>17</v>
      </c>
      <c r="AQ6" t="s">
        <v>19</v>
      </c>
      <c r="AR6" t="s">
        <v>20</v>
      </c>
    </row>
    <row r="7" spans="1:44" x14ac:dyDescent="0.3">
      <c r="B7">
        <v>84</v>
      </c>
      <c r="C7">
        <v>16</v>
      </c>
      <c r="D7">
        <v>30</v>
      </c>
      <c r="E7">
        <v>70</v>
      </c>
      <c r="G7">
        <v>73</v>
      </c>
      <c r="H7">
        <v>27</v>
      </c>
      <c r="I7">
        <v>13</v>
      </c>
      <c r="J7">
        <v>87</v>
      </c>
      <c r="L7">
        <v>87</v>
      </c>
      <c r="M7">
        <v>13</v>
      </c>
      <c r="N7">
        <v>22</v>
      </c>
      <c r="O7">
        <v>78</v>
      </c>
      <c r="Q7">
        <f t="shared" si="0"/>
        <v>23</v>
      </c>
      <c r="R7">
        <f t="shared" si="1"/>
        <v>20</v>
      </c>
      <c r="S7">
        <f t="shared" si="2"/>
        <v>17.5</v>
      </c>
      <c r="T7">
        <f t="shared" si="3"/>
        <v>20.166666666666668</v>
      </c>
      <c r="U7">
        <f t="shared" si="4"/>
        <v>17.5</v>
      </c>
      <c r="V7">
        <f t="shared" si="5"/>
        <v>2.6666666666666679</v>
      </c>
      <c r="AH7" t="s">
        <v>31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90</v>
      </c>
      <c r="C8">
        <v>10</v>
      </c>
      <c r="D8">
        <v>41</v>
      </c>
      <c r="E8">
        <v>59</v>
      </c>
      <c r="G8">
        <v>73</v>
      </c>
      <c r="H8">
        <v>27</v>
      </c>
      <c r="I8">
        <v>20</v>
      </c>
      <c r="J8">
        <v>80</v>
      </c>
      <c r="L8">
        <v>78</v>
      </c>
      <c r="M8">
        <v>22</v>
      </c>
      <c r="N8">
        <v>36</v>
      </c>
      <c r="O8">
        <v>64</v>
      </c>
      <c r="Q8">
        <f t="shared" si="0"/>
        <v>25.5</v>
      </c>
      <c r="R8">
        <f t="shared" si="1"/>
        <v>23.5</v>
      </c>
      <c r="S8">
        <f t="shared" si="2"/>
        <v>29</v>
      </c>
      <c r="T8">
        <f t="shared" si="3"/>
        <v>26</v>
      </c>
      <c r="U8">
        <f t="shared" si="4"/>
        <v>23.5</v>
      </c>
      <c r="V8">
        <f t="shared" si="5"/>
        <v>2.5</v>
      </c>
    </row>
    <row r="9" spans="1:44" x14ac:dyDescent="0.3">
      <c r="B9">
        <v>92</v>
      </c>
      <c r="C9">
        <v>8</v>
      </c>
      <c r="D9">
        <v>43</v>
      </c>
      <c r="E9">
        <v>57</v>
      </c>
      <c r="G9">
        <v>80</v>
      </c>
      <c r="H9">
        <v>20</v>
      </c>
      <c r="I9">
        <v>19</v>
      </c>
      <c r="J9">
        <v>81</v>
      </c>
      <c r="L9">
        <v>68</v>
      </c>
      <c r="M9">
        <v>32</v>
      </c>
      <c r="N9">
        <v>26</v>
      </c>
      <c r="O9">
        <v>74</v>
      </c>
      <c r="Q9">
        <f t="shared" si="0"/>
        <v>25.5</v>
      </c>
      <c r="R9">
        <f t="shared" si="1"/>
        <v>19.5</v>
      </c>
      <c r="S9">
        <f t="shared" si="2"/>
        <v>29</v>
      </c>
      <c r="T9">
        <f t="shared" si="3"/>
        <v>24.666666666666668</v>
      </c>
      <c r="U9">
        <f t="shared" si="4"/>
        <v>19.5</v>
      </c>
      <c r="V9">
        <f t="shared" si="5"/>
        <v>5.1666666666666679</v>
      </c>
    </row>
    <row r="10" spans="1:44" x14ac:dyDescent="0.3">
      <c r="A10" t="s">
        <v>43</v>
      </c>
    </row>
    <row r="11" spans="1:44" x14ac:dyDescent="0.3">
      <c r="B11">
        <v>82</v>
      </c>
      <c r="C11">
        <v>18</v>
      </c>
      <c r="D11">
        <v>29</v>
      </c>
      <c r="E11">
        <v>71</v>
      </c>
      <c r="G11">
        <v>78</v>
      </c>
      <c r="H11">
        <v>22</v>
      </c>
      <c r="I11">
        <v>18</v>
      </c>
      <c r="J11">
        <v>82</v>
      </c>
      <c r="L11">
        <v>75</v>
      </c>
      <c r="M11">
        <v>25</v>
      </c>
      <c r="N11">
        <v>23</v>
      </c>
      <c r="O11">
        <v>77</v>
      </c>
      <c r="Q11">
        <f t="shared" si="0"/>
        <v>23.5</v>
      </c>
      <c r="R11">
        <f t="shared" si="1"/>
        <v>20</v>
      </c>
      <c r="S11">
        <f t="shared" si="2"/>
        <v>24</v>
      </c>
      <c r="T11">
        <f t="shared" si="3"/>
        <v>22.5</v>
      </c>
      <c r="U11">
        <f t="shared" si="4"/>
        <v>20</v>
      </c>
      <c r="V11">
        <f t="shared" si="5"/>
        <v>2.5</v>
      </c>
      <c r="W11">
        <f>AVERAGE(Q11:Q14)</f>
        <v>23</v>
      </c>
      <c r="X11">
        <f>_xlfn.STDEV.S(Q11:Q14)</f>
        <v>1.5811388300841898</v>
      </c>
      <c r="Y11">
        <f>AVERAGE(R11:R14)</f>
        <v>20.75</v>
      </c>
      <c r="Z11">
        <f>_xlfn.STDEV.S(R11:R14)</f>
        <v>2.5</v>
      </c>
      <c r="AA11">
        <f>AVERAGE(S11:S14)</f>
        <v>25.625</v>
      </c>
      <c r="AB11">
        <f>_xlfn.STDEV.S(S11:S14)</f>
        <v>2.1360009363293826</v>
      </c>
      <c r="AC11">
        <f>AVERAGE(T11:T14)</f>
        <v>23.125</v>
      </c>
      <c r="AD11">
        <f>_xlfn.STDEV.S(T11:T14)</f>
        <v>1.2573855886395862</v>
      </c>
      <c r="AE11">
        <f>AVERAGE(V11:V14)</f>
        <v>2.375</v>
      </c>
      <c r="AF11">
        <f>_xlfn.STDEV.S(V11:V14)</f>
        <v>1.6576143053150778</v>
      </c>
    </row>
    <row r="12" spans="1:44" x14ac:dyDescent="0.3">
      <c r="B12">
        <v>83</v>
      </c>
      <c r="C12">
        <v>17</v>
      </c>
      <c r="D12">
        <v>26</v>
      </c>
      <c r="E12">
        <v>74</v>
      </c>
      <c r="G12">
        <v>76</v>
      </c>
      <c r="H12">
        <v>24</v>
      </c>
      <c r="I12">
        <v>12</v>
      </c>
      <c r="J12">
        <v>88</v>
      </c>
      <c r="L12">
        <v>72</v>
      </c>
      <c r="M12">
        <v>28</v>
      </c>
      <c r="N12">
        <v>29</v>
      </c>
      <c r="O12">
        <v>71</v>
      </c>
      <c r="Q12">
        <f t="shared" si="0"/>
        <v>21.5</v>
      </c>
      <c r="R12">
        <f t="shared" si="1"/>
        <v>18</v>
      </c>
      <c r="S12">
        <f t="shared" si="2"/>
        <v>28.5</v>
      </c>
      <c r="T12">
        <f t="shared" si="3"/>
        <v>22.666666666666668</v>
      </c>
      <c r="U12">
        <f t="shared" si="4"/>
        <v>18</v>
      </c>
      <c r="V12">
        <f t="shared" si="5"/>
        <v>4.6666666666666679</v>
      </c>
    </row>
    <row r="13" spans="1:44" x14ac:dyDescent="0.3">
      <c r="B13">
        <v>91</v>
      </c>
      <c r="C13">
        <v>9</v>
      </c>
      <c r="D13">
        <v>35</v>
      </c>
      <c r="E13">
        <v>65</v>
      </c>
      <c r="G13">
        <v>67</v>
      </c>
      <c r="H13">
        <v>33</v>
      </c>
      <c r="I13">
        <v>9</v>
      </c>
      <c r="J13">
        <v>91</v>
      </c>
      <c r="L13">
        <v>74</v>
      </c>
      <c r="M13">
        <v>26</v>
      </c>
      <c r="N13">
        <v>22</v>
      </c>
      <c r="O13">
        <v>78</v>
      </c>
      <c r="Q13">
        <f t="shared" si="0"/>
        <v>22</v>
      </c>
      <c r="R13">
        <f t="shared" si="1"/>
        <v>21</v>
      </c>
      <c r="S13">
        <f t="shared" si="2"/>
        <v>24</v>
      </c>
      <c r="T13">
        <f t="shared" si="3"/>
        <v>22.333333333333332</v>
      </c>
      <c r="U13">
        <f t="shared" si="4"/>
        <v>21</v>
      </c>
      <c r="V13">
        <f t="shared" si="5"/>
        <v>1.3333333333333321</v>
      </c>
    </row>
    <row r="14" spans="1:44" x14ac:dyDescent="0.3">
      <c r="B14">
        <v>95</v>
      </c>
      <c r="C14">
        <v>5</v>
      </c>
      <c r="D14">
        <v>45</v>
      </c>
      <c r="E14">
        <v>55</v>
      </c>
      <c r="G14">
        <v>60</v>
      </c>
      <c r="H14">
        <v>40</v>
      </c>
      <c r="I14">
        <v>8</v>
      </c>
      <c r="J14">
        <v>92</v>
      </c>
      <c r="L14">
        <v>76</v>
      </c>
      <c r="M14">
        <v>24</v>
      </c>
      <c r="N14">
        <v>28</v>
      </c>
      <c r="O14">
        <v>72</v>
      </c>
      <c r="Q14">
        <f t="shared" si="0"/>
        <v>25</v>
      </c>
      <c r="R14">
        <f t="shared" si="1"/>
        <v>24</v>
      </c>
      <c r="S14">
        <f t="shared" si="2"/>
        <v>26</v>
      </c>
      <c r="T14">
        <f t="shared" si="3"/>
        <v>25</v>
      </c>
      <c r="U14">
        <f t="shared" si="4"/>
        <v>24</v>
      </c>
      <c r="V14">
        <f t="shared" si="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4"/>
  <sheetViews>
    <sheetView topLeftCell="G1" workbookViewId="0">
      <selection activeCell="U17" sqref="U17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41</v>
      </c>
    </row>
    <row r="2" spans="1:44" x14ac:dyDescent="0.3">
      <c r="A2" t="s">
        <v>21</v>
      </c>
      <c r="F2" t="s">
        <v>22</v>
      </c>
      <c r="K2" t="s">
        <v>23</v>
      </c>
      <c r="Q2" t="s">
        <v>24</v>
      </c>
      <c r="R2" t="s">
        <v>25</v>
      </c>
      <c r="S2" t="s">
        <v>26</v>
      </c>
      <c r="T2" t="s">
        <v>16</v>
      </c>
      <c r="U2" t="s">
        <v>18</v>
      </c>
      <c r="V2" t="s">
        <v>15</v>
      </c>
      <c r="W2" t="s">
        <v>38</v>
      </c>
      <c r="X2" t="s">
        <v>33</v>
      </c>
      <c r="Y2" t="s">
        <v>39</v>
      </c>
      <c r="Z2" t="s">
        <v>34</v>
      </c>
      <c r="AA2" t="s">
        <v>40</v>
      </c>
      <c r="AB2" t="s">
        <v>35</v>
      </c>
      <c r="AC2" t="s">
        <v>1</v>
      </c>
      <c r="AD2" t="s">
        <v>17</v>
      </c>
      <c r="AE2" t="s">
        <v>19</v>
      </c>
      <c r="AF2" t="s">
        <v>20</v>
      </c>
      <c r="AH2" t="s">
        <v>27</v>
      </c>
      <c r="AI2" t="s">
        <v>1</v>
      </c>
      <c r="AJ2" t="s">
        <v>19</v>
      </c>
      <c r="AL2" t="s">
        <v>28</v>
      </c>
      <c r="AM2" t="s">
        <v>1</v>
      </c>
      <c r="AN2" t="s">
        <v>19</v>
      </c>
    </row>
    <row r="3" spans="1:44" x14ac:dyDescent="0.3">
      <c r="B3">
        <v>83</v>
      </c>
      <c r="C3">
        <v>17</v>
      </c>
      <c r="D3">
        <v>41</v>
      </c>
      <c r="E3">
        <v>59</v>
      </c>
      <c r="G3">
        <v>74</v>
      </c>
      <c r="H3">
        <v>26</v>
      </c>
      <c r="I3">
        <v>18</v>
      </c>
      <c r="J3">
        <v>82</v>
      </c>
      <c r="L3">
        <v>75</v>
      </c>
      <c r="M3">
        <v>25</v>
      </c>
      <c r="N3">
        <v>25</v>
      </c>
      <c r="O3">
        <v>75</v>
      </c>
      <c r="Q3">
        <f>AVERAGE(C3:D3)</f>
        <v>29</v>
      </c>
      <c r="R3">
        <f>AVERAGE(H3:I3)</f>
        <v>22</v>
      </c>
      <c r="S3">
        <f>AVERAGE(M3:N3)</f>
        <v>25</v>
      </c>
      <c r="T3">
        <f>AVERAGE(Q3:S3)</f>
        <v>25.333333333333332</v>
      </c>
      <c r="U3">
        <f>MIN(Q3:S3)</f>
        <v>22</v>
      </c>
      <c r="V3">
        <f>T3-U3</f>
        <v>3.3333333333333321</v>
      </c>
      <c r="W3">
        <f>AVERAGE(Q3:Q4)</f>
        <v>26.5</v>
      </c>
      <c r="X3">
        <f>_xlfn.STDEV.S(Q3:Q4)</f>
        <v>3.5355339059327378</v>
      </c>
      <c r="Y3">
        <f>AVERAGE(R3:R4)</f>
        <v>22</v>
      </c>
      <c r="Z3">
        <f>_xlfn.STDEV.S(R3:R4)</f>
        <v>0</v>
      </c>
      <c r="AA3">
        <f>AVERAGE(S3:S4)</f>
        <v>28.25</v>
      </c>
      <c r="AB3">
        <f>_xlfn.STDEV.S(S3:S4)</f>
        <v>4.5961940777125587</v>
      </c>
      <c r="AC3">
        <f>AVERAGE(T3:T4)</f>
        <v>25.583333333333332</v>
      </c>
      <c r="AD3">
        <f>_xlfn.STDEV.S(T3:T4)</f>
        <v>0.35355339059327379</v>
      </c>
      <c r="AE3">
        <f>AVERAGE(V3:V4)</f>
        <v>3.5833333333333321</v>
      </c>
      <c r="AF3">
        <f>_xlfn.STDEV.S(V3:V4)</f>
        <v>0.35355339059327379</v>
      </c>
      <c r="AH3" t="s">
        <v>29</v>
      </c>
      <c r="AL3" t="s">
        <v>30</v>
      </c>
    </row>
    <row r="4" spans="1:44" x14ac:dyDescent="0.3">
      <c r="B4">
        <v>88</v>
      </c>
      <c r="C4">
        <v>12</v>
      </c>
      <c r="D4">
        <v>36</v>
      </c>
      <c r="E4">
        <v>64</v>
      </c>
      <c r="G4">
        <v>80</v>
      </c>
      <c r="H4">
        <v>20</v>
      </c>
      <c r="I4">
        <v>24</v>
      </c>
      <c r="J4">
        <v>76</v>
      </c>
      <c r="L4">
        <v>73</v>
      </c>
      <c r="M4">
        <v>27</v>
      </c>
      <c r="N4">
        <v>36</v>
      </c>
      <c r="O4">
        <v>64</v>
      </c>
      <c r="Q4">
        <f t="shared" ref="Q4:Q14" si="0">AVERAGE(C4:D4)</f>
        <v>24</v>
      </c>
      <c r="R4">
        <f t="shared" ref="R4:R14" si="1">AVERAGE(H4:I4)</f>
        <v>22</v>
      </c>
      <c r="S4">
        <f t="shared" ref="S4:S14" si="2">AVERAGE(M4:N4)</f>
        <v>31.5</v>
      </c>
      <c r="T4">
        <f t="shared" ref="T4:T14" si="3">AVERAGE(Q4:S4)</f>
        <v>25.833333333333332</v>
      </c>
      <c r="U4">
        <f t="shared" ref="U4:U14" si="4">MIN(Q4:S4)</f>
        <v>22</v>
      </c>
      <c r="V4">
        <f t="shared" ref="V4:V14" si="5">T4-U4</f>
        <v>3.8333333333333321</v>
      </c>
      <c r="AH4" t="s">
        <v>31</v>
      </c>
      <c r="AI4">
        <v>28.041666666666668</v>
      </c>
      <c r="AJ4">
        <v>2.5972222222222219</v>
      </c>
      <c r="AL4" t="s">
        <v>31</v>
      </c>
      <c r="AM4">
        <v>28.041666666666668</v>
      </c>
      <c r="AN4">
        <v>2.5972222222222219</v>
      </c>
    </row>
    <row r="5" spans="1:44" x14ac:dyDescent="0.3">
      <c r="A5" t="s">
        <v>42</v>
      </c>
    </row>
    <row r="6" spans="1:44" x14ac:dyDescent="0.3">
      <c r="B6">
        <v>83</v>
      </c>
      <c r="C6">
        <v>17</v>
      </c>
      <c r="D6">
        <v>34</v>
      </c>
      <c r="E6">
        <v>66</v>
      </c>
      <c r="G6">
        <v>75</v>
      </c>
      <c r="H6">
        <v>25</v>
      </c>
      <c r="I6">
        <v>7</v>
      </c>
      <c r="J6">
        <v>93</v>
      </c>
      <c r="L6">
        <v>70</v>
      </c>
      <c r="M6">
        <v>30</v>
      </c>
      <c r="N6">
        <v>29</v>
      </c>
      <c r="O6">
        <v>71</v>
      </c>
      <c r="Q6">
        <f t="shared" si="0"/>
        <v>25.5</v>
      </c>
      <c r="R6">
        <f t="shared" si="1"/>
        <v>16</v>
      </c>
      <c r="S6">
        <f t="shared" si="2"/>
        <v>29.5</v>
      </c>
      <c r="T6">
        <f t="shared" si="3"/>
        <v>23.666666666666668</v>
      </c>
      <c r="U6">
        <f t="shared" si="4"/>
        <v>16</v>
      </c>
      <c r="V6">
        <f t="shared" si="5"/>
        <v>7.6666666666666679</v>
      </c>
      <c r="W6">
        <f>AVERAGE(Q6:Q9)</f>
        <v>25</v>
      </c>
      <c r="X6">
        <f>_xlfn.STDEV.S(Q6:Q9)</f>
        <v>3.2914029430219167</v>
      </c>
      <c r="Y6">
        <f>AVERAGE(R6:R9)</f>
        <v>19.375</v>
      </c>
      <c r="Z6">
        <f>_xlfn.STDEV.S(R6:R9)</f>
        <v>3.0379543555930306</v>
      </c>
      <c r="AA6">
        <f>AVERAGE(S6:S9)</f>
        <v>27.375</v>
      </c>
      <c r="AB6">
        <f>_xlfn.STDEV.S(S6:S9)</f>
        <v>2.3584952830141508</v>
      </c>
      <c r="AC6">
        <f>AVERAGE(T6:T9)</f>
        <v>23.916666666666664</v>
      </c>
      <c r="AD6">
        <f>_xlfn.STDEV.S(T6:T9)</f>
        <v>1.4433756729740641</v>
      </c>
      <c r="AE6">
        <f>AVERAGE(V6:V9)</f>
        <v>4.5416666666666661</v>
      </c>
      <c r="AF6">
        <f>_xlfn.STDEV.S(V6:V9)</f>
        <v>2.8394541729001377</v>
      </c>
      <c r="AI6" t="s">
        <v>6</v>
      </c>
      <c r="AJ6" t="s">
        <v>33</v>
      </c>
      <c r="AK6" t="s">
        <v>8</v>
      </c>
      <c r="AL6" t="s">
        <v>34</v>
      </c>
      <c r="AM6" t="s">
        <v>10</v>
      </c>
      <c r="AN6" t="s">
        <v>35</v>
      </c>
      <c r="AO6" t="s">
        <v>1</v>
      </c>
      <c r="AP6" t="s">
        <v>17</v>
      </c>
      <c r="AQ6" t="s">
        <v>19</v>
      </c>
      <c r="AR6" t="s">
        <v>20</v>
      </c>
    </row>
    <row r="7" spans="1:44" x14ac:dyDescent="0.3">
      <c r="B7">
        <v>81</v>
      </c>
      <c r="C7">
        <v>19</v>
      </c>
      <c r="D7">
        <v>39</v>
      </c>
      <c r="E7">
        <v>61</v>
      </c>
      <c r="G7">
        <v>71</v>
      </c>
      <c r="H7">
        <v>29</v>
      </c>
      <c r="I7">
        <v>12</v>
      </c>
      <c r="J7">
        <v>88</v>
      </c>
      <c r="L7">
        <v>77</v>
      </c>
      <c r="M7">
        <v>23</v>
      </c>
      <c r="N7">
        <v>33</v>
      </c>
      <c r="O7">
        <v>67</v>
      </c>
      <c r="Q7">
        <f t="shared" si="0"/>
        <v>29</v>
      </c>
      <c r="R7">
        <f t="shared" si="1"/>
        <v>20.5</v>
      </c>
      <c r="S7">
        <f t="shared" si="2"/>
        <v>28</v>
      </c>
      <c r="T7">
        <f t="shared" si="3"/>
        <v>25.833333333333332</v>
      </c>
      <c r="U7">
        <f t="shared" si="4"/>
        <v>20.5</v>
      </c>
      <c r="V7">
        <f t="shared" si="5"/>
        <v>5.3333333333333321</v>
      </c>
      <c r="AH7" t="s">
        <v>31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87</v>
      </c>
      <c r="C8">
        <v>13</v>
      </c>
      <c r="D8">
        <v>36</v>
      </c>
      <c r="E8">
        <v>64</v>
      </c>
      <c r="G8">
        <v>63</v>
      </c>
      <c r="H8">
        <v>37</v>
      </c>
      <c r="I8">
        <v>9</v>
      </c>
      <c r="J8">
        <v>91</v>
      </c>
      <c r="L8">
        <v>74</v>
      </c>
      <c r="M8">
        <v>26</v>
      </c>
      <c r="N8">
        <v>22</v>
      </c>
      <c r="O8">
        <v>78</v>
      </c>
      <c r="Q8">
        <f t="shared" si="0"/>
        <v>24.5</v>
      </c>
      <c r="R8">
        <f t="shared" si="1"/>
        <v>23</v>
      </c>
      <c r="S8">
        <f t="shared" si="2"/>
        <v>24</v>
      </c>
      <c r="T8">
        <f t="shared" si="3"/>
        <v>23.833333333333332</v>
      </c>
      <c r="U8">
        <f t="shared" si="4"/>
        <v>23</v>
      </c>
      <c r="V8">
        <f t="shared" si="5"/>
        <v>0.83333333333333215</v>
      </c>
    </row>
    <row r="9" spans="1:44" x14ac:dyDescent="0.3">
      <c r="B9">
        <v>93</v>
      </c>
      <c r="C9">
        <v>7</v>
      </c>
      <c r="D9">
        <v>35</v>
      </c>
      <c r="E9">
        <v>65</v>
      </c>
      <c r="G9">
        <v>82</v>
      </c>
      <c r="H9">
        <v>18</v>
      </c>
      <c r="I9">
        <v>18</v>
      </c>
      <c r="J9">
        <v>82</v>
      </c>
      <c r="L9">
        <v>72</v>
      </c>
      <c r="M9">
        <v>28</v>
      </c>
      <c r="N9">
        <v>28</v>
      </c>
      <c r="O9">
        <v>72</v>
      </c>
      <c r="Q9">
        <f t="shared" si="0"/>
        <v>21</v>
      </c>
      <c r="R9">
        <f t="shared" si="1"/>
        <v>18</v>
      </c>
      <c r="S9">
        <f t="shared" si="2"/>
        <v>28</v>
      </c>
      <c r="T9">
        <f t="shared" si="3"/>
        <v>22.333333333333332</v>
      </c>
      <c r="U9">
        <f t="shared" si="4"/>
        <v>18</v>
      </c>
      <c r="V9">
        <f t="shared" si="5"/>
        <v>4.3333333333333321</v>
      </c>
    </row>
    <row r="10" spans="1:44" x14ac:dyDescent="0.3">
      <c r="A10" t="s">
        <v>43</v>
      </c>
    </row>
    <row r="11" spans="1:44" x14ac:dyDescent="0.3">
      <c r="B11">
        <v>84</v>
      </c>
      <c r="C11">
        <v>16</v>
      </c>
      <c r="D11">
        <v>32</v>
      </c>
      <c r="E11">
        <v>68</v>
      </c>
      <c r="G11">
        <v>52</v>
      </c>
      <c r="H11">
        <v>48</v>
      </c>
      <c r="I11">
        <v>14</v>
      </c>
      <c r="J11">
        <v>86</v>
      </c>
      <c r="L11">
        <v>79</v>
      </c>
      <c r="M11">
        <v>21</v>
      </c>
      <c r="N11">
        <v>24</v>
      </c>
      <c r="O11">
        <v>76</v>
      </c>
      <c r="Q11">
        <f t="shared" si="0"/>
        <v>24</v>
      </c>
      <c r="R11">
        <f t="shared" si="1"/>
        <v>31</v>
      </c>
      <c r="S11">
        <f t="shared" si="2"/>
        <v>22.5</v>
      </c>
      <c r="T11">
        <f t="shared" si="3"/>
        <v>25.833333333333332</v>
      </c>
      <c r="U11">
        <f t="shared" si="4"/>
        <v>22.5</v>
      </c>
      <c r="V11">
        <f t="shared" si="5"/>
        <v>3.3333333333333321</v>
      </c>
      <c r="W11">
        <f>AVERAGE(Q11:Q14)</f>
        <v>23.875</v>
      </c>
      <c r="X11">
        <f>_xlfn.STDEV.S(Q11:Q14)</f>
        <v>0.62915286960589578</v>
      </c>
      <c r="Y11">
        <f>AVERAGE(R11:R14)</f>
        <v>22.25</v>
      </c>
      <c r="Z11">
        <f>_xlfn.STDEV.S(R11:R14)</f>
        <v>6.1169164345008555</v>
      </c>
      <c r="AA11">
        <f>AVERAGE(S11:S14)</f>
        <v>25.75</v>
      </c>
      <c r="AB11">
        <f>_xlfn.STDEV.S(S11:S14)</f>
        <v>2.9860788111948193</v>
      </c>
      <c r="AC11">
        <f>AVERAGE(T11:T14)</f>
        <v>23.958333333333332</v>
      </c>
      <c r="AD11">
        <f>_xlfn.STDEV.S(T11:T14)</f>
        <v>1.2720281268728117</v>
      </c>
      <c r="AE11">
        <f>AVERAGE(V11:V14)</f>
        <v>3.833333333333333</v>
      </c>
      <c r="AF11">
        <f>_xlfn.STDEV.S(V11:V14)</f>
        <v>2.0682789409984759</v>
      </c>
    </row>
    <row r="12" spans="1:44" x14ac:dyDescent="0.3">
      <c r="B12">
        <v>84</v>
      </c>
      <c r="C12">
        <v>16</v>
      </c>
      <c r="D12">
        <v>32</v>
      </c>
      <c r="E12">
        <v>68</v>
      </c>
      <c r="G12">
        <v>79</v>
      </c>
      <c r="H12">
        <v>21</v>
      </c>
      <c r="I12">
        <v>13</v>
      </c>
      <c r="J12">
        <v>87</v>
      </c>
      <c r="L12">
        <v>71</v>
      </c>
      <c r="M12">
        <v>29</v>
      </c>
      <c r="N12">
        <v>30</v>
      </c>
      <c r="O12">
        <v>70</v>
      </c>
      <c r="Q12">
        <f t="shared" si="0"/>
        <v>24</v>
      </c>
      <c r="R12">
        <f t="shared" si="1"/>
        <v>17</v>
      </c>
      <c r="S12">
        <f t="shared" si="2"/>
        <v>29.5</v>
      </c>
      <c r="T12">
        <f t="shared" si="3"/>
        <v>23.5</v>
      </c>
      <c r="U12">
        <f t="shared" si="4"/>
        <v>17</v>
      </c>
      <c r="V12">
        <f t="shared" si="5"/>
        <v>6.5</v>
      </c>
    </row>
    <row r="13" spans="1:44" x14ac:dyDescent="0.3">
      <c r="B13">
        <v>83</v>
      </c>
      <c r="C13">
        <v>17</v>
      </c>
      <c r="D13">
        <v>29</v>
      </c>
      <c r="E13">
        <v>71</v>
      </c>
      <c r="G13">
        <v>65</v>
      </c>
      <c r="H13">
        <v>35</v>
      </c>
      <c r="I13">
        <v>8</v>
      </c>
      <c r="J13">
        <v>92</v>
      </c>
      <c r="L13">
        <v>69</v>
      </c>
      <c r="M13">
        <v>31</v>
      </c>
      <c r="N13">
        <v>18</v>
      </c>
      <c r="O13">
        <v>82</v>
      </c>
      <c r="Q13">
        <f t="shared" si="0"/>
        <v>23</v>
      </c>
      <c r="R13">
        <f t="shared" si="1"/>
        <v>21.5</v>
      </c>
      <c r="S13">
        <f t="shared" si="2"/>
        <v>24.5</v>
      </c>
      <c r="T13">
        <f t="shared" si="3"/>
        <v>23</v>
      </c>
      <c r="U13">
        <f t="shared" si="4"/>
        <v>21.5</v>
      </c>
      <c r="V13">
        <f t="shared" si="5"/>
        <v>1.5</v>
      </c>
    </row>
    <row r="14" spans="1:44" x14ac:dyDescent="0.3">
      <c r="B14">
        <v>87</v>
      </c>
      <c r="C14">
        <v>13</v>
      </c>
      <c r="D14">
        <v>36</v>
      </c>
      <c r="E14">
        <v>64</v>
      </c>
      <c r="G14">
        <v>73</v>
      </c>
      <c r="H14">
        <v>27</v>
      </c>
      <c r="I14">
        <v>12</v>
      </c>
      <c r="J14">
        <v>88</v>
      </c>
      <c r="L14">
        <v>81</v>
      </c>
      <c r="M14">
        <v>19</v>
      </c>
      <c r="N14">
        <v>34</v>
      </c>
      <c r="O14">
        <v>66</v>
      </c>
      <c r="Q14">
        <f t="shared" si="0"/>
        <v>24.5</v>
      </c>
      <c r="R14">
        <f t="shared" si="1"/>
        <v>19.5</v>
      </c>
      <c r="S14">
        <f t="shared" si="2"/>
        <v>26.5</v>
      </c>
      <c r="T14">
        <f t="shared" si="3"/>
        <v>23.5</v>
      </c>
      <c r="U14">
        <f t="shared" si="4"/>
        <v>19.5</v>
      </c>
      <c r="V14">
        <f t="shared" si="5"/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1"/>
  <sheetViews>
    <sheetView topLeftCell="L1" workbookViewId="0">
      <selection activeCell="W3" sqref="W3:AF3"/>
    </sheetView>
  </sheetViews>
  <sheetFormatPr defaultRowHeight="14.4" x14ac:dyDescent="0.3"/>
  <cols>
    <col min="21" max="21" width="13.109375" customWidth="1"/>
  </cols>
  <sheetData>
    <row r="1" spans="1:32" x14ac:dyDescent="0.3">
      <c r="A1" t="s">
        <v>0</v>
      </c>
    </row>
    <row r="2" spans="1:32" x14ac:dyDescent="0.3">
      <c r="A2" t="s">
        <v>5</v>
      </c>
      <c r="Q2" t="s">
        <v>12</v>
      </c>
      <c r="R2" t="s">
        <v>13</v>
      </c>
      <c r="S2" t="s">
        <v>14</v>
      </c>
      <c r="T2" t="s">
        <v>16</v>
      </c>
      <c r="U2" t="s">
        <v>18</v>
      </c>
      <c r="V2" t="s">
        <v>15</v>
      </c>
      <c r="W2" t="s">
        <v>6</v>
      </c>
      <c r="X2" t="s">
        <v>33</v>
      </c>
      <c r="Y2" t="s">
        <v>8</v>
      </c>
      <c r="Z2" t="s">
        <v>34</v>
      </c>
      <c r="AA2" t="s">
        <v>10</v>
      </c>
      <c r="AB2" t="s">
        <v>35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86</v>
      </c>
      <c r="C3">
        <v>14</v>
      </c>
      <c r="D3">
        <v>33</v>
      </c>
      <c r="E3">
        <v>67</v>
      </c>
      <c r="G3">
        <v>79</v>
      </c>
      <c r="H3">
        <v>21</v>
      </c>
      <c r="I3">
        <v>15</v>
      </c>
      <c r="J3">
        <v>85</v>
      </c>
      <c r="L3">
        <v>74</v>
      </c>
      <c r="M3">
        <v>26</v>
      </c>
      <c r="N3">
        <v>25</v>
      </c>
      <c r="O3">
        <v>75</v>
      </c>
      <c r="Q3">
        <f>AVERAGE(C3:D3)</f>
        <v>23.5</v>
      </c>
      <c r="R3">
        <f>AVERAGE(H3:I3)</f>
        <v>18</v>
      </c>
      <c r="S3">
        <f>AVERAGE(M3:N3)</f>
        <v>25.5</v>
      </c>
      <c r="T3">
        <f>AVERAGE(Q3:S3)</f>
        <v>22.333333333333332</v>
      </c>
      <c r="U3">
        <f>MIN(Q3:S3)</f>
        <v>18</v>
      </c>
      <c r="V3">
        <f>T3-U3</f>
        <v>4.3333333333333321</v>
      </c>
      <c r="W3">
        <f>AVERAGE(Q3:Q11)</f>
        <v>24.555555555555557</v>
      </c>
      <c r="X3">
        <f>_xlfn.STDEV.S(Q3:Q11)</f>
        <v>2.0531141657924863</v>
      </c>
      <c r="Y3">
        <f>AVERAGE(R3:R11)</f>
        <v>17.888888888888889</v>
      </c>
      <c r="Z3">
        <f>_xlfn.STDEV.S(R3:R11)</f>
        <v>3.4980153103025557</v>
      </c>
      <c r="AA3">
        <f>AVERAGE(S3:S11)</f>
        <v>25.222222222222221</v>
      </c>
      <c r="AB3">
        <f>_xlfn.STDEV.S(S3:S11)</f>
        <v>1.9702650695894817</v>
      </c>
      <c r="AC3">
        <f>AVERAGE(T3:T11)</f>
        <v>22.555555555555557</v>
      </c>
      <c r="AD3">
        <f>_xlfn.STDEV.S(T3:T11)</f>
        <v>1.3176156917368251</v>
      </c>
      <c r="AE3">
        <f>AVERAGE(V3:V11)</f>
        <v>4.7777777777777777</v>
      </c>
      <c r="AF3">
        <f>_xlfn.STDEV.S(V3:V11)</f>
        <v>2.5792979234236939</v>
      </c>
    </row>
    <row r="4" spans="1:32" x14ac:dyDescent="0.3">
      <c r="B4">
        <v>92</v>
      </c>
      <c r="C4">
        <v>8</v>
      </c>
      <c r="D4">
        <v>37</v>
      </c>
      <c r="E4">
        <v>63</v>
      </c>
      <c r="G4">
        <v>78</v>
      </c>
      <c r="H4">
        <v>22</v>
      </c>
      <c r="I4">
        <v>12</v>
      </c>
      <c r="J4">
        <v>88</v>
      </c>
      <c r="L4">
        <v>75</v>
      </c>
      <c r="M4">
        <v>25</v>
      </c>
      <c r="N4">
        <v>22</v>
      </c>
      <c r="O4">
        <v>78</v>
      </c>
      <c r="Q4">
        <f t="shared" ref="Q4:Q5" si="0">AVERAGE(C4:D4)</f>
        <v>22.5</v>
      </c>
      <c r="R4">
        <f t="shared" ref="R4:R5" si="1">AVERAGE(H4:I4)</f>
        <v>17</v>
      </c>
      <c r="S4">
        <f t="shared" ref="S4:S5" si="2">AVERAGE(M4:N4)</f>
        <v>23.5</v>
      </c>
      <c r="T4">
        <f t="shared" ref="T4:T5" si="3">AVERAGE(Q4:S4)</f>
        <v>21</v>
      </c>
      <c r="U4">
        <f>MIN(Q4:S4)</f>
        <v>17</v>
      </c>
      <c r="V4">
        <f>T4-U4</f>
        <v>4</v>
      </c>
    </row>
    <row r="5" spans="1:32" x14ac:dyDescent="0.3">
      <c r="B5">
        <v>87</v>
      </c>
      <c r="C5">
        <v>13</v>
      </c>
      <c r="D5">
        <v>38</v>
      </c>
      <c r="E5">
        <v>62</v>
      </c>
      <c r="G5">
        <v>80</v>
      </c>
      <c r="H5">
        <v>20</v>
      </c>
      <c r="I5">
        <v>7</v>
      </c>
      <c r="J5">
        <v>93</v>
      </c>
      <c r="L5">
        <v>75</v>
      </c>
      <c r="M5">
        <v>25</v>
      </c>
      <c r="N5">
        <v>33</v>
      </c>
      <c r="O5">
        <v>67</v>
      </c>
      <c r="Q5">
        <f t="shared" si="0"/>
        <v>25.5</v>
      </c>
      <c r="R5">
        <f t="shared" si="1"/>
        <v>13.5</v>
      </c>
      <c r="S5">
        <f t="shared" si="2"/>
        <v>29</v>
      </c>
      <c r="T5">
        <f t="shared" si="3"/>
        <v>22.666666666666668</v>
      </c>
      <c r="U5">
        <f>MIN(Q5:S5)</f>
        <v>13.5</v>
      </c>
      <c r="V5">
        <f>T5-U5</f>
        <v>9.1666666666666679</v>
      </c>
    </row>
    <row r="6" spans="1:32" x14ac:dyDescent="0.3">
      <c r="B6">
        <v>93</v>
      </c>
      <c r="C6">
        <v>7</v>
      </c>
      <c r="D6">
        <v>44</v>
      </c>
      <c r="E6">
        <v>56</v>
      </c>
      <c r="G6">
        <v>86</v>
      </c>
      <c r="H6">
        <v>14</v>
      </c>
      <c r="I6">
        <v>12</v>
      </c>
      <c r="J6">
        <v>88</v>
      </c>
      <c r="L6">
        <v>72</v>
      </c>
      <c r="M6">
        <v>28</v>
      </c>
      <c r="N6">
        <v>21</v>
      </c>
      <c r="O6">
        <v>79</v>
      </c>
      <c r="Q6">
        <f t="shared" ref="Q6:Q11" si="4">AVERAGE(C6:D6)</f>
        <v>25.5</v>
      </c>
      <c r="R6">
        <f t="shared" ref="R6:R11" si="5">AVERAGE(H6:I6)</f>
        <v>13</v>
      </c>
      <c r="S6">
        <f t="shared" ref="S6:S11" si="6">AVERAGE(M6:N6)</f>
        <v>24.5</v>
      </c>
      <c r="T6">
        <f t="shared" ref="T6:T11" si="7">AVERAGE(Q6:S6)</f>
        <v>21</v>
      </c>
      <c r="U6">
        <f t="shared" ref="U6:U11" si="8">MIN(Q6:S6)</f>
        <v>13</v>
      </c>
      <c r="V6">
        <f t="shared" ref="V6:V11" si="9">T6-U6</f>
        <v>8</v>
      </c>
    </row>
    <row r="7" spans="1:32" x14ac:dyDescent="0.3">
      <c r="B7">
        <v>86</v>
      </c>
      <c r="C7">
        <v>14</v>
      </c>
      <c r="D7">
        <v>36</v>
      </c>
      <c r="E7">
        <v>64</v>
      </c>
      <c r="G7">
        <v>83</v>
      </c>
      <c r="H7">
        <v>17</v>
      </c>
      <c r="I7">
        <v>16</v>
      </c>
      <c r="J7">
        <v>84</v>
      </c>
      <c r="L7">
        <v>73</v>
      </c>
      <c r="M7">
        <v>27</v>
      </c>
      <c r="N7">
        <v>25</v>
      </c>
      <c r="O7">
        <v>75</v>
      </c>
      <c r="Q7">
        <f t="shared" si="4"/>
        <v>25</v>
      </c>
      <c r="R7">
        <f t="shared" si="5"/>
        <v>16.5</v>
      </c>
      <c r="S7">
        <f t="shared" si="6"/>
        <v>26</v>
      </c>
      <c r="T7">
        <f t="shared" si="7"/>
        <v>22.5</v>
      </c>
      <c r="U7">
        <f t="shared" si="8"/>
        <v>16.5</v>
      </c>
      <c r="V7">
        <f t="shared" si="9"/>
        <v>6</v>
      </c>
    </row>
    <row r="8" spans="1:32" x14ac:dyDescent="0.3">
      <c r="B8">
        <v>85</v>
      </c>
      <c r="C8">
        <v>15</v>
      </c>
      <c r="D8">
        <v>39</v>
      </c>
      <c r="E8">
        <v>61</v>
      </c>
      <c r="G8">
        <v>76</v>
      </c>
      <c r="H8">
        <v>24</v>
      </c>
      <c r="I8">
        <v>20</v>
      </c>
      <c r="J8">
        <v>80</v>
      </c>
      <c r="L8">
        <v>75</v>
      </c>
      <c r="M8">
        <v>25</v>
      </c>
      <c r="N8">
        <v>28</v>
      </c>
      <c r="O8">
        <v>72</v>
      </c>
      <c r="Q8">
        <f t="shared" si="4"/>
        <v>27</v>
      </c>
      <c r="R8">
        <f t="shared" si="5"/>
        <v>22</v>
      </c>
      <c r="S8">
        <f t="shared" si="6"/>
        <v>26.5</v>
      </c>
      <c r="T8">
        <f t="shared" si="7"/>
        <v>25.166666666666668</v>
      </c>
      <c r="U8">
        <f t="shared" si="8"/>
        <v>22</v>
      </c>
      <c r="V8">
        <f t="shared" si="9"/>
        <v>3.1666666666666679</v>
      </c>
    </row>
    <row r="9" spans="1:32" x14ac:dyDescent="0.3">
      <c r="B9">
        <v>81</v>
      </c>
      <c r="C9">
        <v>19</v>
      </c>
      <c r="D9">
        <v>31</v>
      </c>
      <c r="E9">
        <v>69</v>
      </c>
      <c r="G9">
        <v>75</v>
      </c>
      <c r="H9">
        <v>25</v>
      </c>
      <c r="I9">
        <v>9</v>
      </c>
      <c r="J9">
        <v>91</v>
      </c>
      <c r="L9">
        <v>69</v>
      </c>
      <c r="M9">
        <v>31</v>
      </c>
      <c r="N9">
        <v>16</v>
      </c>
      <c r="O9">
        <v>84</v>
      </c>
      <c r="Q9">
        <f t="shared" si="4"/>
        <v>25</v>
      </c>
      <c r="R9">
        <f t="shared" si="5"/>
        <v>17</v>
      </c>
      <c r="S9">
        <f t="shared" si="6"/>
        <v>23.5</v>
      </c>
      <c r="T9">
        <f t="shared" si="7"/>
        <v>21.833333333333332</v>
      </c>
      <c r="U9">
        <f t="shared" si="8"/>
        <v>17</v>
      </c>
      <c r="V9">
        <f t="shared" si="9"/>
        <v>4.8333333333333321</v>
      </c>
    </row>
    <row r="10" spans="1:32" x14ac:dyDescent="0.3">
      <c r="B10">
        <v>87</v>
      </c>
      <c r="C10">
        <v>13</v>
      </c>
      <c r="D10">
        <v>40</v>
      </c>
      <c r="E10">
        <v>60</v>
      </c>
      <c r="G10">
        <v>74</v>
      </c>
      <c r="H10">
        <v>26</v>
      </c>
      <c r="I10">
        <v>19</v>
      </c>
      <c r="J10">
        <v>81</v>
      </c>
      <c r="L10">
        <v>81</v>
      </c>
      <c r="M10">
        <v>19</v>
      </c>
      <c r="N10">
        <v>26</v>
      </c>
      <c r="O10">
        <v>74</v>
      </c>
      <c r="Q10">
        <f t="shared" si="4"/>
        <v>26.5</v>
      </c>
      <c r="R10">
        <f t="shared" si="5"/>
        <v>22.5</v>
      </c>
      <c r="S10">
        <f t="shared" si="6"/>
        <v>22.5</v>
      </c>
      <c r="T10">
        <f t="shared" si="7"/>
        <v>23.833333333333332</v>
      </c>
      <c r="U10">
        <f t="shared" si="8"/>
        <v>22.5</v>
      </c>
      <c r="V10">
        <f t="shared" si="9"/>
        <v>1.3333333333333321</v>
      </c>
    </row>
    <row r="11" spans="1:32" x14ac:dyDescent="0.3">
      <c r="B11">
        <v>94</v>
      </c>
      <c r="C11">
        <v>6</v>
      </c>
      <c r="D11">
        <v>35</v>
      </c>
      <c r="E11">
        <v>65</v>
      </c>
      <c r="G11">
        <v>72</v>
      </c>
      <c r="H11">
        <v>28</v>
      </c>
      <c r="I11">
        <v>15</v>
      </c>
      <c r="J11">
        <v>85</v>
      </c>
      <c r="L11">
        <v>75</v>
      </c>
      <c r="M11">
        <v>25</v>
      </c>
      <c r="N11">
        <v>27</v>
      </c>
      <c r="O11">
        <v>73</v>
      </c>
      <c r="Q11">
        <f t="shared" si="4"/>
        <v>20.5</v>
      </c>
      <c r="R11">
        <f t="shared" si="5"/>
        <v>21.5</v>
      </c>
      <c r="S11">
        <f t="shared" si="6"/>
        <v>26</v>
      </c>
      <c r="T11">
        <f t="shared" si="7"/>
        <v>22.666666666666668</v>
      </c>
      <c r="U11">
        <f t="shared" si="8"/>
        <v>20.5</v>
      </c>
      <c r="V11">
        <f t="shared" si="9"/>
        <v>2.1666666666666679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2026-03-18T17:40:29Z</dcterms:modified>
</cp:coreProperties>
</file>