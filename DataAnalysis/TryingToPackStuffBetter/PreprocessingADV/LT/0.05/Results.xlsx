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PreprocessingADV\LT\0.05\"/>
    </mc:Choice>
  </mc:AlternateContent>
  <xr:revisionPtr revIDLastSave="0" documentId="13_ncr:1_{2D9AFC5B-F1B7-4D35-9A83-A6D4D0FC2C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STD_BAL_ADV_NOCLSDIV" sheetId="7" r:id="rId2"/>
    <sheet name="STD_BAL_ADV_CLSDIV" sheetId="6" r:id="rId3"/>
    <sheet name="STD_BAL_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2" l="1"/>
  <c r="AE3" i="2"/>
  <c r="AD3" i="2"/>
  <c r="AC3" i="2"/>
  <c r="AB3" i="2"/>
  <c r="AA3" i="2"/>
  <c r="Z3" i="2"/>
  <c r="Y3" i="2"/>
  <c r="X3" i="2"/>
  <c r="W3" i="2"/>
  <c r="Q6" i="2"/>
  <c r="T6" i="2" s="1"/>
  <c r="R6" i="2"/>
  <c r="S6" i="2"/>
  <c r="Q7" i="2"/>
  <c r="R7" i="2"/>
  <c r="S7" i="2"/>
  <c r="T7" i="2"/>
  <c r="U7" i="2"/>
  <c r="V7" i="2"/>
  <c r="Q8" i="2"/>
  <c r="R8" i="2"/>
  <c r="S8" i="2"/>
  <c r="T8" i="2"/>
  <c r="V8" i="2" s="1"/>
  <c r="U8" i="2"/>
  <c r="Q9" i="2"/>
  <c r="R9" i="2"/>
  <c r="S9" i="2"/>
  <c r="T9" i="2"/>
  <c r="U9" i="2"/>
  <c r="V9" i="2"/>
  <c r="Q10" i="2"/>
  <c r="R10" i="2"/>
  <c r="S10" i="2"/>
  <c r="T10" i="2"/>
  <c r="U10" i="2"/>
  <c r="V10" i="2"/>
  <c r="Q11" i="2"/>
  <c r="T11" i="2" s="1"/>
  <c r="R11" i="2"/>
  <c r="S11" i="2"/>
  <c r="Q12" i="2"/>
  <c r="R12" i="2"/>
  <c r="S12" i="2"/>
  <c r="T12" i="2"/>
  <c r="U12" i="2"/>
  <c r="V12" i="2"/>
  <c r="Q13" i="2"/>
  <c r="R13" i="2"/>
  <c r="S13" i="2"/>
  <c r="T13" i="2"/>
  <c r="U13" i="2"/>
  <c r="V13" i="2"/>
  <c r="Q14" i="2"/>
  <c r="T14" i="2" s="1"/>
  <c r="R14" i="2"/>
  <c r="S14" i="2"/>
  <c r="Q15" i="2"/>
  <c r="R15" i="2"/>
  <c r="S15" i="2"/>
  <c r="T15" i="2"/>
  <c r="U15" i="2"/>
  <c r="V15" i="2"/>
  <c r="Q16" i="2"/>
  <c r="R16" i="2"/>
  <c r="S16" i="2"/>
  <c r="T16" i="2"/>
  <c r="V16" i="2" s="1"/>
  <c r="U16" i="2"/>
  <c r="Q17" i="2"/>
  <c r="R17" i="2"/>
  <c r="S17" i="2"/>
  <c r="T17" i="2"/>
  <c r="U17" i="2"/>
  <c r="V17" i="2"/>
  <c r="AF13" i="7"/>
  <c r="AE13" i="7"/>
  <c r="AD13" i="7"/>
  <c r="AC13" i="7"/>
  <c r="AB13" i="7"/>
  <c r="AA13" i="7"/>
  <c r="Z13" i="7"/>
  <c r="Y13" i="7"/>
  <c r="X13" i="7"/>
  <c r="W13" i="7"/>
  <c r="AF8" i="7"/>
  <c r="AE8" i="7"/>
  <c r="AD8" i="7"/>
  <c r="AC8" i="7"/>
  <c r="AB8" i="7"/>
  <c r="AA8" i="7"/>
  <c r="Z8" i="7"/>
  <c r="Y8" i="7"/>
  <c r="X8" i="7"/>
  <c r="W8" i="7"/>
  <c r="Q10" i="7"/>
  <c r="R10" i="7"/>
  <c r="S10" i="7"/>
  <c r="T10" i="7"/>
  <c r="U10" i="7"/>
  <c r="V10" i="7"/>
  <c r="Q11" i="7"/>
  <c r="R11" i="7"/>
  <c r="S11" i="7"/>
  <c r="T11" i="7"/>
  <c r="U11" i="7"/>
  <c r="V11" i="7"/>
  <c r="Q13" i="7"/>
  <c r="R13" i="7"/>
  <c r="S13" i="7"/>
  <c r="T13" i="7"/>
  <c r="U13" i="7"/>
  <c r="V13" i="7"/>
  <c r="Q14" i="7"/>
  <c r="R14" i="7"/>
  <c r="S14" i="7"/>
  <c r="T14" i="7"/>
  <c r="U14" i="7"/>
  <c r="V14" i="7"/>
  <c r="Q15" i="7"/>
  <c r="T15" i="7" s="1"/>
  <c r="R15" i="7"/>
  <c r="S15" i="7"/>
  <c r="AN9" i="7"/>
  <c r="AM9" i="7"/>
  <c r="AL9" i="7"/>
  <c r="AK9" i="7"/>
  <c r="AJ9" i="7"/>
  <c r="AI9" i="7"/>
  <c r="S9" i="7"/>
  <c r="R9" i="7"/>
  <c r="Q9" i="7"/>
  <c r="S8" i="7"/>
  <c r="R8" i="7"/>
  <c r="Q8" i="7"/>
  <c r="S4" i="7"/>
  <c r="R4" i="7"/>
  <c r="Q4" i="7"/>
  <c r="S3" i="7"/>
  <c r="R3" i="7"/>
  <c r="Q3" i="7"/>
  <c r="AF9" i="6"/>
  <c r="AE9" i="6"/>
  <c r="AD9" i="6"/>
  <c r="AC9" i="6"/>
  <c r="AB9" i="6"/>
  <c r="AA9" i="6"/>
  <c r="Z9" i="6"/>
  <c r="Y9" i="6"/>
  <c r="X9" i="6"/>
  <c r="W9" i="6"/>
  <c r="AF6" i="6"/>
  <c r="AE6" i="6"/>
  <c r="AD6" i="6"/>
  <c r="AC6" i="6"/>
  <c r="AB6" i="6"/>
  <c r="AA6" i="6"/>
  <c r="Z6" i="6"/>
  <c r="Y6" i="6"/>
  <c r="X6" i="6"/>
  <c r="W6" i="6"/>
  <c r="AF3" i="6"/>
  <c r="AE3" i="6"/>
  <c r="AD3" i="6"/>
  <c r="AC3" i="6"/>
  <c r="AB3" i="6"/>
  <c r="AA3" i="6"/>
  <c r="Z3" i="6"/>
  <c r="Y3" i="6"/>
  <c r="X3" i="6"/>
  <c r="W3" i="6"/>
  <c r="Q4" i="6"/>
  <c r="R4" i="6"/>
  <c r="U4" i="6" s="1"/>
  <c r="S4" i="6"/>
  <c r="T4" i="6" s="1"/>
  <c r="V4" i="6" s="1"/>
  <c r="Q6" i="6"/>
  <c r="U6" i="6" s="1"/>
  <c r="R6" i="6"/>
  <c r="S6" i="6"/>
  <c r="T6" i="6"/>
  <c r="V6" i="6" s="1"/>
  <c r="Q7" i="6"/>
  <c r="U7" i="6" s="1"/>
  <c r="R7" i="6"/>
  <c r="T7" i="6" s="1"/>
  <c r="V7" i="6" s="1"/>
  <c r="S7" i="6"/>
  <c r="Q9" i="6"/>
  <c r="T9" i="6" s="1"/>
  <c r="R9" i="6"/>
  <c r="S9" i="6"/>
  <c r="Q10" i="6"/>
  <c r="R10" i="6"/>
  <c r="T10" i="6" s="1"/>
  <c r="V10" i="6" s="1"/>
  <c r="S10" i="6"/>
  <c r="U10" i="6"/>
  <c r="V3" i="6"/>
  <c r="Q4" i="2"/>
  <c r="R4" i="2"/>
  <c r="S4" i="2"/>
  <c r="Q5" i="2"/>
  <c r="R5" i="2"/>
  <c r="T5" i="2" s="1"/>
  <c r="S5" i="2"/>
  <c r="S3" i="2"/>
  <c r="R3" i="2"/>
  <c r="Q3" i="2"/>
  <c r="AI7" i="6"/>
  <c r="AL7" i="6"/>
  <c r="AN7" i="6"/>
  <c r="S3" i="6"/>
  <c r="R3" i="6"/>
  <c r="Q3" i="6"/>
  <c r="V6" i="2" l="1"/>
  <c r="U14" i="2"/>
  <c r="V14" i="2" s="1"/>
  <c r="U11" i="2"/>
  <c r="V11" i="2" s="1"/>
  <c r="U6" i="2"/>
  <c r="U15" i="7"/>
  <c r="V15" i="7" s="1"/>
  <c r="U4" i="7"/>
  <c r="Z3" i="7"/>
  <c r="AA3" i="7"/>
  <c r="Y3" i="7"/>
  <c r="AB3" i="7"/>
  <c r="U8" i="7"/>
  <c r="U9" i="7"/>
  <c r="X3" i="7"/>
  <c r="T9" i="7"/>
  <c r="T3" i="7"/>
  <c r="T4" i="7"/>
  <c r="V4" i="7" s="1"/>
  <c r="U3" i="7"/>
  <c r="T8" i="7"/>
  <c r="W3" i="7"/>
  <c r="U9" i="6"/>
  <c r="V9" i="6" s="1"/>
  <c r="U3" i="6"/>
  <c r="T3" i="6"/>
  <c r="U3" i="2"/>
  <c r="T4" i="2"/>
  <c r="U5" i="2"/>
  <c r="V5" i="2" s="1"/>
  <c r="T3" i="2"/>
  <c r="U4" i="2"/>
  <c r="AJ7" i="6"/>
  <c r="AK7" i="6"/>
  <c r="AM7" i="6"/>
  <c r="V9" i="7" l="1"/>
  <c r="V8" i="7"/>
  <c r="V3" i="7"/>
  <c r="AC3" i="7"/>
  <c r="AD3" i="7"/>
  <c r="V4" i="2"/>
  <c r="V3" i="2"/>
  <c r="AE3" i="7" l="1"/>
  <c r="AF3" i="7"/>
</calcChain>
</file>

<file path=xl/sharedStrings.xml><?xml version="1.0" encoding="utf-8"?>
<sst xmlns="http://schemas.openxmlformats.org/spreadsheetml/2006/main" count="124" uniqueCount="41">
  <si>
    <t>Dati originali</t>
  </si>
  <si>
    <t>ERR</t>
  </si>
  <si>
    <t>STD</t>
  </si>
  <si>
    <t>NOAUG</t>
  </si>
  <si>
    <t>ERR0</t>
  </si>
  <si>
    <t>STD0</t>
  </si>
  <si>
    <t>ERR1</t>
  </si>
  <si>
    <t>STD1</t>
  </si>
  <si>
    <t>ERR2</t>
  </si>
  <si>
    <t>STD2</t>
  </si>
  <si>
    <t>COPIO LE COSE QUI</t>
  </si>
  <si>
    <t>CIC_i</t>
  </si>
  <si>
    <t>ERR_i</t>
  </si>
  <si>
    <t>ERR_STD</t>
  </si>
  <si>
    <t>MIN_ERR_i</t>
  </si>
  <si>
    <t>CIC</t>
  </si>
  <si>
    <t>CIC_STD</t>
  </si>
  <si>
    <t>c0</t>
  </si>
  <si>
    <t>c1</t>
  </si>
  <si>
    <t>c2</t>
  </si>
  <si>
    <t>ERR_0_i</t>
  </si>
  <si>
    <t>ERR_1_i</t>
  </si>
  <si>
    <t>ERR_2_i</t>
  </si>
  <si>
    <t>LIST of Best ERR 10%</t>
  </si>
  <si>
    <t>LIST of BEST ERR 20%</t>
  </si>
  <si>
    <t>tau=10%</t>
  </si>
  <si>
    <t>eps=10^-6</t>
  </si>
  <si>
    <t>n=5 -&gt; 0.5 -&gt; 1</t>
  </si>
  <si>
    <t>n=5 -&gt; 1 -&gt; 1</t>
  </si>
  <si>
    <t>eps=0.003</t>
  </si>
  <si>
    <t>ADV</t>
  </si>
  <si>
    <t>ERR0_STD</t>
  </si>
  <si>
    <t>ERR1_STD</t>
  </si>
  <si>
    <t>ERR2_STD</t>
  </si>
  <si>
    <t>CLSDIV</t>
  </si>
  <si>
    <t>NOCLSDIV</t>
  </si>
  <si>
    <t>ERRO0</t>
  </si>
  <si>
    <t>ep=0.001</t>
  </si>
  <si>
    <t>ep=0.01</t>
  </si>
  <si>
    <t>ep=0.1</t>
  </si>
  <si>
    <t>EER0_STD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</si>
</sst>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"/>
  <sheetViews>
    <sheetView tabSelected="1" workbookViewId="0">
      <selection activeCell="P7" sqref="G2:P7"/>
    </sheetView>
  </sheetViews>
  <sheetFormatPr defaultRowHeight="14.4" x14ac:dyDescent="0.3"/>
  <cols>
    <col min="1" max="1" width="9.88671875" customWidth="1"/>
  </cols>
  <sheetData>
    <row r="1" spans="1:27" x14ac:dyDescent="0.3">
      <c r="A1" t="s">
        <v>2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</v>
      </c>
      <c r="N1" t="s">
        <v>13</v>
      </c>
      <c r="O1" t="s">
        <v>15</v>
      </c>
      <c r="P1" t="s">
        <v>16</v>
      </c>
    </row>
    <row r="2" spans="1:27" x14ac:dyDescent="0.3">
      <c r="C2" t="s">
        <v>3</v>
      </c>
      <c r="G2" s="1">
        <v>33.166666666666664</v>
      </c>
      <c r="H2" s="1">
        <v>4.4300112866673373</v>
      </c>
      <c r="I2" s="1">
        <v>32</v>
      </c>
      <c r="J2" s="1">
        <v>4.5345892868042634</v>
      </c>
      <c r="K2" s="1">
        <v>12.777777777777779</v>
      </c>
      <c r="L2" s="1">
        <v>2.5630927498716187</v>
      </c>
      <c r="M2" s="1">
        <v>25.981481481481481</v>
      </c>
      <c r="N2" s="1">
        <v>2.5020053685389105</v>
      </c>
      <c r="O2" s="1">
        <v>13.203703703703702</v>
      </c>
      <c r="P2" s="1">
        <v>2.4885540449361203</v>
      </c>
      <c r="R2">
        <v>30.666666666666668</v>
      </c>
      <c r="S2">
        <v>5.0579969684978323</v>
      </c>
      <c r="T2">
        <v>30.666666666666668</v>
      </c>
      <c r="U2">
        <v>4.5092497528228863</v>
      </c>
      <c r="V2">
        <v>10.833333333333334</v>
      </c>
      <c r="W2">
        <v>2.8431203515386652</v>
      </c>
      <c r="X2">
        <v>24.055555555555557</v>
      </c>
      <c r="Y2">
        <v>2.6943012562182544</v>
      </c>
      <c r="Z2">
        <v>13.222222222222223</v>
      </c>
      <c r="AA2">
        <v>4.3853713048590777</v>
      </c>
    </row>
    <row r="3" spans="1:27" x14ac:dyDescent="0.3">
      <c r="C3" t="s">
        <v>30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27" x14ac:dyDescent="0.3">
      <c r="D4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27" x14ac:dyDescent="0.3">
      <c r="E5" t="s">
        <v>25</v>
      </c>
      <c r="F5" t="s">
        <v>29</v>
      </c>
      <c r="G5" s="1">
        <v>27</v>
      </c>
      <c r="H5" s="1">
        <v>6.3639610306789276</v>
      </c>
      <c r="I5" s="1">
        <v>23</v>
      </c>
      <c r="J5" s="1">
        <v>6.3639610306789276</v>
      </c>
      <c r="K5" s="1">
        <v>11</v>
      </c>
      <c r="L5" s="1">
        <v>2.1213203435596424</v>
      </c>
      <c r="M5" s="1">
        <v>20.333333333333332</v>
      </c>
      <c r="N5" s="1">
        <v>4.9497474683058327</v>
      </c>
      <c r="O5" s="1">
        <v>9.3333333333333321</v>
      </c>
      <c r="P5" s="1">
        <v>2.8284271247461903</v>
      </c>
    </row>
    <row r="6" spans="1:27" x14ac:dyDescent="0.3">
      <c r="D6" t="s">
        <v>35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27" x14ac:dyDescent="0.3">
      <c r="E7" t="s">
        <v>25</v>
      </c>
      <c r="F7" t="s">
        <v>26</v>
      </c>
      <c r="G7" s="1">
        <v>34.5</v>
      </c>
      <c r="H7" s="1">
        <v>0.70710678118654757</v>
      </c>
      <c r="I7" s="1">
        <v>31.25</v>
      </c>
      <c r="J7" s="1">
        <v>1.0606601717798212</v>
      </c>
      <c r="K7" s="1">
        <v>11</v>
      </c>
      <c r="L7" s="1">
        <v>2.1213203435596424</v>
      </c>
      <c r="M7" s="1">
        <v>25.583333333333336</v>
      </c>
      <c r="N7" s="1">
        <v>0.8249579113843063</v>
      </c>
      <c r="O7" s="1">
        <v>14.583333333333334</v>
      </c>
      <c r="P7" s="1">
        <v>1.2963624321753362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2D8A-1A23-4CF3-9872-DA5B576CDAF9}">
  <dimension ref="A1:AR15"/>
  <sheetViews>
    <sheetView topLeftCell="J1" workbookViewId="0">
      <selection activeCell="W3" sqref="W3:AF3"/>
    </sheetView>
  </sheetViews>
  <sheetFormatPr defaultRowHeight="14.4" x14ac:dyDescent="0.3"/>
  <cols>
    <col min="34" max="34" width="26.88671875" customWidth="1"/>
    <col min="38" max="38" width="20.88671875" customWidth="1"/>
  </cols>
  <sheetData>
    <row r="1" spans="1:44" x14ac:dyDescent="0.3">
      <c r="A1" t="s">
        <v>37</v>
      </c>
    </row>
    <row r="2" spans="1:44" x14ac:dyDescent="0.3">
      <c r="A2" t="s">
        <v>17</v>
      </c>
      <c r="F2" t="s">
        <v>18</v>
      </c>
      <c r="K2" t="s">
        <v>19</v>
      </c>
      <c r="Q2" t="s">
        <v>20</v>
      </c>
      <c r="R2" t="s">
        <v>21</v>
      </c>
      <c r="S2" t="s">
        <v>22</v>
      </c>
      <c r="T2" t="s">
        <v>12</v>
      </c>
      <c r="U2" t="s">
        <v>14</v>
      </c>
      <c r="V2" t="s">
        <v>11</v>
      </c>
      <c r="W2" t="s">
        <v>4</v>
      </c>
      <c r="X2" t="s">
        <v>40</v>
      </c>
      <c r="Y2" t="s">
        <v>6</v>
      </c>
      <c r="Z2" t="s">
        <v>32</v>
      </c>
      <c r="AA2" t="s">
        <v>8</v>
      </c>
      <c r="AB2" t="s">
        <v>33</v>
      </c>
      <c r="AC2" t="s">
        <v>1</v>
      </c>
      <c r="AD2" t="s">
        <v>13</v>
      </c>
      <c r="AE2" t="s">
        <v>15</v>
      </c>
      <c r="AF2" t="s">
        <v>16</v>
      </c>
      <c r="AH2" t="s">
        <v>23</v>
      </c>
      <c r="AI2" t="s">
        <v>1</v>
      </c>
      <c r="AJ2" t="s">
        <v>15</v>
      </c>
      <c r="AL2" t="s">
        <v>24</v>
      </c>
      <c r="AM2" t="s">
        <v>1</v>
      </c>
      <c r="AN2" t="s">
        <v>15</v>
      </c>
    </row>
    <row r="3" spans="1:44" x14ac:dyDescent="0.3">
      <c r="B3">
        <v>63</v>
      </c>
      <c r="C3">
        <v>37</v>
      </c>
      <c r="D3">
        <v>31</v>
      </c>
      <c r="E3">
        <v>69</v>
      </c>
      <c r="G3">
        <v>71</v>
      </c>
      <c r="H3">
        <v>29</v>
      </c>
      <c r="I3">
        <v>35</v>
      </c>
      <c r="J3">
        <v>65</v>
      </c>
      <c r="L3">
        <v>84</v>
      </c>
      <c r="M3">
        <v>16</v>
      </c>
      <c r="N3">
        <v>9</v>
      </c>
      <c r="O3">
        <v>91</v>
      </c>
      <c r="Q3">
        <f>AVERAGE(C3,D3)</f>
        <v>34</v>
      </c>
      <c r="R3">
        <f>AVERAGE(H3,I3)</f>
        <v>32</v>
      </c>
      <c r="S3">
        <f>AVERAGE(M3,N3)</f>
        <v>12.5</v>
      </c>
      <c r="T3">
        <f>AVERAGE(Q3:S3)</f>
        <v>26.166666666666668</v>
      </c>
      <c r="U3">
        <f>MIN(Q3:S3)</f>
        <v>12.5</v>
      </c>
      <c r="V3">
        <f>((T3-U3))</f>
        <v>13.666666666666668</v>
      </c>
      <c r="W3">
        <f>AVERAGE(Q3:Q4)</f>
        <v>34.5</v>
      </c>
      <c r="X3">
        <f>_xlfn.STDEV.S(Q3:Q4)</f>
        <v>0.70710678118654757</v>
      </c>
      <c r="Y3">
        <f>AVERAGE(R3:R4)</f>
        <v>31.25</v>
      </c>
      <c r="Z3">
        <f>_xlfn.STDEV.S(R3:R4)</f>
        <v>1.0606601717798212</v>
      </c>
      <c r="AA3">
        <f>AVERAGE(S3:S4)</f>
        <v>11</v>
      </c>
      <c r="AB3">
        <f>_xlfn.STDEV.S(S3:S4)</f>
        <v>2.1213203435596424</v>
      </c>
      <c r="AC3">
        <f>AVERAGE(T3:T4)</f>
        <v>25.583333333333336</v>
      </c>
      <c r="AD3">
        <f>_xlfn.STDEV.S(T3:T4)</f>
        <v>0.8249579113843063</v>
      </c>
      <c r="AE3">
        <f>AVERAGE(V3:V4)</f>
        <v>14.583333333333334</v>
      </c>
      <c r="AF3">
        <f>_xlfn.STDEV.S(V3:V4)</f>
        <v>1.2963624321753362</v>
      </c>
      <c r="AH3" t="s">
        <v>27</v>
      </c>
      <c r="AL3" t="s">
        <v>28</v>
      </c>
    </row>
    <row r="4" spans="1:44" x14ac:dyDescent="0.3">
      <c r="B4">
        <v>56</v>
      </c>
      <c r="C4">
        <v>44</v>
      </c>
      <c r="D4">
        <v>26</v>
      </c>
      <c r="E4">
        <v>74</v>
      </c>
      <c r="G4">
        <v>76</v>
      </c>
      <c r="H4">
        <v>24</v>
      </c>
      <c r="I4">
        <v>37</v>
      </c>
      <c r="J4">
        <v>63</v>
      </c>
      <c r="L4">
        <v>90</v>
      </c>
      <c r="M4">
        <v>10</v>
      </c>
      <c r="N4">
        <v>9</v>
      </c>
      <c r="O4">
        <v>91</v>
      </c>
      <c r="Q4">
        <f t="shared" ref="Q4:Q9" si="0">AVERAGE(C4,D4)</f>
        <v>35</v>
      </c>
      <c r="R4">
        <f t="shared" ref="R4:R9" si="1">AVERAGE(H4,I4)</f>
        <v>30.5</v>
      </c>
      <c r="S4">
        <f t="shared" ref="S4:S9" si="2">AVERAGE(M4,N4)</f>
        <v>9.5</v>
      </c>
      <c r="T4">
        <f t="shared" ref="T4:T9" si="3">AVERAGE(Q4:S4)</f>
        <v>25</v>
      </c>
      <c r="U4">
        <f t="shared" ref="U4:U9" si="4">MIN(Q4:S4)</f>
        <v>9.5</v>
      </c>
      <c r="V4">
        <f t="shared" ref="V4:V9" si="5">((T4-U4))</f>
        <v>15.5</v>
      </c>
      <c r="AH4" t="s">
        <v>29</v>
      </c>
      <c r="AI4">
        <v>28.041666666666668</v>
      </c>
      <c r="AJ4">
        <v>2.5972222222222219</v>
      </c>
      <c r="AL4" t="s">
        <v>29</v>
      </c>
      <c r="AM4">
        <v>28.041666666666668</v>
      </c>
      <c r="AN4">
        <v>2.5972222222222219</v>
      </c>
    </row>
    <row r="7" spans="1:44" x14ac:dyDescent="0.3">
      <c r="A7" t="s">
        <v>38</v>
      </c>
    </row>
    <row r="8" spans="1:44" x14ac:dyDescent="0.3">
      <c r="B8">
        <v>65</v>
      </c>
      <c r="C8">
        <v>35</v>
      </c>
      <c r="D8">
        <v>25</v>
      </c>
      <c r="E8">
        <v>75</v>
      </c>
      <c r="G8">
        <v>74</v>
      </c>
      <c r="H8">
        <v>26</v>
      </c>
      <c r="I8">
        <v>25</v>
      </c>
      <c r="J8">
        <v>75</v>
      </c>
      <c r="L8">
        <v>85</v>
      </c>
      <c r="M8">
        <v>15</v>
      </c>
      <c r="N8">
        <v>11</v>
      </c>
      <c r="O8">
        <v>89</v>
      </c>
      <c r="Q8">
        <f t="shared" si="0"/>
        <v>30</v>
      </c>
      <c r="R8">
        <f t="shared" si="1"/>
        <v>25.5</v>
      </c>
      <c r="S8">
        <f t="shared" si="2"/>
        <v>13</v>
      </c>
      <c r="T8">
        <f t="shared" si="3"/>
        <v>22.833333333333332</v>
      </c>
      <c r="U8">
        <f t="shared" si="4"/>
        <v>13</v>
      </c>
      <c r="V8">
        <f t="shared" si="5"/>
        <v>9.8333333333333321</v>
      </c>
      <c r="W8">
        <f>AVERAGE(Q8:Q11)</f>
        <v>35.25</v>
      </c>
      <c r="X8">
        <f>_xlfn.STDEV.S(Q8:Q11)</f>
        <v>4.9916597106239795</v>
      </c>
      <c r="Y8">
        <f>AVERAGE(R8:R11)</f>
        <v>32.75</v>
      </c>
      <c r="Z8">
        <f>_xlfn.STDEV.S(R8:R11)</f>
        <v>5.3619026473818039</v>
      </c>
      <c r="AA8">
        <f>AVERAGE(S8:S11)</f>
        <v>11.625</v>
      </c>
      <c r="AB8">
        <f>_xlfn.STDEV.S(S8:S11)</f>
        <v>1.6007810593582121</v>
      </c>
      <c r="AC8">
        <f>AVERAGE(T8:T11)</f>
        <v>26.541666666666664</v>
      </c>
      <c r="AD8">
        <f>_xlfn.STDEV.S(T8:T11)</f>
        <v>2.7967408280459711</v>
      </c>
      <c r="AE8">
        <f>AVERAGE(V8:V11)</f>
        <v>14.916666666666664</v>
      </c>
      <c r="AF8">
        <f>_xlfn.STDEV.S(V8:V11)</f>
        <v>4.1510819651605919</v>
      </c>
      <c r="AI8" t="s">
        <v>4</v>
      </c>
      <c r="AJ8" t="s">
        <v>31</v>
      </c>
      <c r="AK8" t="s">
        <v>6</v>
      </c>
      <c r="AL8" t="s">
        <v>32</v>
      </c>
      <c r="AM8" t="s">
        <v>8</v>
      </c>
      <c r="AN8" t="s">
        <v>33</v>
      </c>
      <c r="AO8" t="s">
        <v>1</v>
      </c>
      <c r="AP8" t="s">
        <v>13</v>
      </c>
      <c r="AQ8" t="s">
        <v>15</v>
      </c>
      <c r="AR8" t="s">
        <v>16</v>
      </c>
    </row>
    <row r="9" spans="1:44" x14ac:dyDescent="0.3">
      <c r="B9">
        <v>58</v>
      </c>
      <c r="C9">
        <v>42</v>
      </c>
      <c r="D9">
        <v>42</v>
      </c>
      <c r="E9">
        <v>58</v>
      </c>
      <c r="G9">
        <v>71</v>
      </c>
      <c r="H9">
        <v>29</v>
      </c>
      <c r="I9">
        <v>43</v>
      </c>
      <c r="J9">
        <v>57</v>
      </c>
      <c r="L9">
        <v>90</v>
      </c>
      <c r="M9">
        <v>10</v>
      </c>
      <c r="N9">
        <v>11</v>
      </c>
      <c r="O9">
        <v>89</v>
      </c>
      <c r="Q9">
        <f t="shared" si="0"/>
        <v>42</v>
      </c>
      <c r="R9">
        <f t="shared" si="1"/>
        <v>36</v>
      </c>
      <c r="S9">
        <f t="shared" si="2"/>
        <v>10.5</v>
      </c>
      <c r="T9">
        <f t="shared" si="3"/>
        <v>29.5</v>
      </c>
      <c r="U9">
        <f t="shared" si="4"/>
        <v>10.5</v>
      </c>
      <c r="V9">
        <f t="shared" si="5"/>
        <v>19</v>
      </c>
      <c r="AH9" t="s">
        <v>29</v>
      </c>
      <c r="AI9" t="e">
        <f>AVERAGE(Q21:Q24)</f>
        <v>#DIV/0!</v>
      </c>
      <c r="AJ9" t="e">
        <f>_xlfn.STDEV.S(Q21:Q24)</f>
        <v>#DIV/0!</v>
      </c>
      <c r="AK9" t="e">
        <f>AVERAGE(R21:R24)</f>
        <v>#DIV/0!</v>
      </c>
      <c r="AL9" t="e">
        <f>_xlfn.STDEV.S(R21:R24)</f>
        <v>#DIV/0!</v>
      </c>
      <c r="AM9" t="e">
        <f>AVERAGE(S21:S24)</f>
        <v>#DIV/0!</v>
      </c>
      <c r="AN9" t="e">
        <f>_xlfn.STDEV.S(S21:S24)</f>
        <v>#DIV/0!</v>
      </c>
      <c r="AO9">
        <v>28.041666666666668</v>
      </c>
      <c r="AP9">
        <v>3.0103986446980731</v>
      </c>
      <c r="AQ9">
        <v>2.5972222222222219</v>
      </c>
      <c r="AR9">
        <v>0.62915286960589489</v>
      </c>
    </row>
    <row r="10" spans="1:44" x14ac:dyDescent="0.3">
      <c r="B10">
        <v>54</v>
      </c>
      <c r="C10">
        <v>46</v>
      </c>
      <c r="D10">
        <v>24</v>
      </c>
      <c r="E10">
        <v>76</v>
      </c>
      <c r="G10">
        <v>70</v>
      </c>
      <c r="H10">
        <v>30</v>
      </c>
      <c r="I10">
        <v>45</v>
      </c>
      <c r="J10">
        <v>55</v>
      </c>
      <c r="L10">
        <v>91</v>
      </c>
      <c r="M10">
        <v>9</v>
      </c>
      <c r="N10">
        <v>11</v>
      </c>
      <c r="O10">
        <v>89</v>
      </c>
      <c r="Q10">
        <f t="shared" ref="Q10:Q15" si="6">AVERAGE(C10,D10)</f>
        <v>35</v>
      </c>
      <c r="R10">
        <f t="shared" ref="R10:R15" si="7">AVERAGE(H10,I10)</f>
        <v>37.5</v>
      </c>
      <c r="S10">
        <f t="shared" ref="S10:S15" si="8">AVERAGE(M10,N10)</f>
        <v>10</v>
      </c>
      <c r="T10">
        <f t="shared" ref="T10:T15" si="9">AVERAGE(Q10:S10)</f>
        <v>27.5</v>
      </c>
      <c r="U10">
        <f t="shared" ref="U10:U15" si="10">MIN(Q10:S10)</f>
        <v>10</v>
      </c>
      <c r="V10">
        <f t="shared" ref="V10:V15" si="11">((T10-U10))</f>
        <v>17.5</v>
      </c>
    </row>
    <row r="11" spans="1:44" x14ac:dyDescent="0.3">
      <c r="B11">
        <v>66</v>
      </c>
      <c r="C11">
        <v>34</v>
      </c>
      <c r="D11">
        <v>34</v>
      </c>
      <c r="E11">
        <v>66</v>
      </c>
      <c r="G11">
        <v>65</v>
      </c>
      <c r="H11">
        <v>35</v>
      </c>
      <c r="I11">
        <v>29</v>
      </c>
      <c r="J11">
        <v>71</v>
      </c>
      <c r="L11">
        <v>86</v>
      </c>
      <c r="M11">
        <v>14</v>
      </c>
      <c r="N11">
        <v>12</v>
      </c>
      <c r="O11">
        <v>88</v>
      </c>
      <c r="Q11">
        <f t="shared" si="6"/>
        <v>34</v>
      </c>
      <c r="R11">
        <f t="shared" si="7"/>
        <v>32</v>
      </c>
      <c r="S11">
        <f t="shared" si="8"/>
        <v>13</v>
      </c>
      <c r="T11">
        <f t="shared" si="9"/>
        <v>26.333333333333332</v>
      </c>
      <c r="U11">
        <f t="shared" si="10"/>
        <v>13</v>
      </c>
      <c r="V11">
        <f t="shared" si="11"/>
        <v>13.333333333333332</v>
      </c>
    </row>
    <row r="12" spans="1:44" x14ac:dyDescent="0.3">
      <c r="A12" t="s">
        <v>39</v>
      </c>
    </row>
    <row r="13" spans="1:44" x14ac:dyDescent="0.3">
      <c r="B13">
        <v>48</v>
      </c>
      <c r="C13">
        <v>52</v>
      </c>
      <c r="D13">
        <v>38</v>
      </c>
      <c r="E13">
        <v>62</v>
      </c>
      <c r="G13">
        <v>68</v>
      </c>
      <c r="H13">
        <v>32</v>
      </c>
      <c r="I13">
        <v>38</v>
      </c>
      <c r="J13">
        <v>62</v>
      </c>
      <c r="L13">
        <v>89</v>
      </c>
      <c r="M13">
        <v>11</v>
      </c>
      <c r="N13">
        <v>15</v>
      </c>
      <c r="O13">
        <v>85</v>
      </c>
      <c r="Q13">
        <f t="shared" si="6"/>
        <v>45</v>
      </c>
      <c r="R13">
        <f t="shared" si="7"/>
        <v>35</v>
      </c>
      <c r="S13">
        <f t="shared" si="8"/>
        <v>13</v>
      </c>
      <c r="T13">
        <f t="shared" si="9"/>
        <v>31</v>
      </c>
      <c r="U13">
        <f t="shared" si="10"/>
        <v>13</v>
      </c>
      <c r="V13">
        <f t="shared" si="11"/>
        <v>18</v>
      </c>
      <c r="W13">
        <f>AVERAGE(Q13:Q15)</f>
        <v>34.333333333333336</v>
      </c>
      <c r="X13">
        <f>_xlfn.STDEV.S(Q13:Q15)</f>
        <v>9.2511260575852745</v>
      </c>
      <c r="Y13">
        <f>AVERAGE(R13:R15)</f>
        <v>35</v>
      </c>
      <c r="Z13">
        <f>_xlfn.STDEV.S(R13:R15)</f>
        <v>2.5</v>
      </c>
      <c r="AA13">
        <f>AVERAGE(S13:S15)</f>
        <v>11.833333333333334</v>
      </c>
      <c r="AB13">
        <f>_xlfn.STDEV.S(S13:S15)</f>
        <v>1.2583057392117918</v>
      </c>
      <c r="AC13">
        <f>AVERAGE(T13:T15)</f>
        <v>27.055555555555557</v>
      </c>
      <c r="AD13">
        <f>_xlfn.STDEV.S(T13:T15)</f>
        <v>3.441306814655209</v>
      </c>
      <c r="AE13">
        <f>AVERAGE(V13:V15)</f>
        <v>15.222222222222223</v>
      </c>
      <c r="AF13">
        <f>_xlfn.STDEV.S(V13:V15)</f>
        <v>2.6736020923368713</v>
      </c>
    </row>
    <row r="14" spans="1:44" x14ac:dyDescent="0.3">
      <c r="B14">
        <v>67</v>
      </c>
      <c r="C14">
        <v>33</v>
      </c>
      <c r="D14">
        <v>26</v>
      </c>
      <c r="E14">
        <v>74</v>
      </c>
      <c r="G14">
        <v>65</v>
      </c>
      <c r="H14">
        <v>35</v>
      </c>
      <c r="I14">
        <v>30</v>
      </c>
      <c r="J14">
        <v>70</v>
      </c>
      <c r="L14">
        <v>88</v>
      </c>
      <c r="M14">
        <v>12</v>
      </c>
      <c r="N14">
        <v>12</v>
      </c>
      <c r="O14">
        <v>88</v>
      </c>
      <c r="Q14">
        <f t="shared" si="6"/>
        <v>29.5</v>
      </c>
      <c r="R14">
        <f t="shared" si="7"/>
        <v>32.5</v>
      </c>
      <c r="S14">
        <f t="shared" si="8"/>
        <v>12</v>
      </c>
      <c r="T14">
        <f t="shared" si="9"/>
        <v>24.666666666666668</v>
      </c>
      <c r="U14">
        <f t="shared" si="10"/>
        <v>12</v>
      </c>
      <c r="V14">
        <f t="shared" si="11"/>
        <v>12.666666666666668</v>
      </c>
    </row>
    <row r="15" spans="1:44" x14ac:dyDescent="0.3">
      <c r="B15">
        <v>61</v>
      </c>
      <c r="C15">
        <v>39</v>
      </c>
      <c r="D15">
        <v>18</v>
      </c>
      <c r="E15">
        <v>82</v>
      </c>
      <c r="G15">
        <v>53</v>
      </c>
      <c r="H15">
        <v>47</v>
      </c>
      <c r="I15">
        <v>28</v>
      </c>
      <c r="J15">
        <v>72</v>
      </c>
      <c r="L15">
        <v>85</v>
      </c>
      <c r="M15">
        <v>15</v>
      </c>
      <c r="N15">
        <v>6</v>
      </c>
      <c r="O15">
        <v>94</v>
      </c>
      <c r="Q15">
        <f t="shared" si="6"/>
        <v>28.5</v>
      </c>
      <c r="R15">
        <f t="shared" si="7"/>
        <v>37.5</v>
      </c>
      <c r="S15">
        <f t="shared" si="8"/>
        <v>10.5</v>
      </c>
      <c r="T15">
        <f t="shared" si="9"/>
        <v>25.5</v>
      </c>
      <c r="U15">
        <f t="shared" si="10"/>
        <v>10.5</v>
      </c>
      <c r="V15">
        <f t="shared" si="11"/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124B-224B-4F9B-B528-181D112DB9C5}">
  <dimension ref="A1:AR10"/>
  <sheetViews>
    <sheetView topLeftCell="M1" workbookViewId="0">
      <selection activeCell="U19" sqref="A1:XFD1048576"/>
    </sheetView>
  </sheetViews>
  <sheetFormatPr defaultRowHeight="14.4" x14ac:dyDescent="0.3"/>
  <cols>
    <col min="34" max="34" width="26.88671875" customWidth="1"/>
    <col min="38" max="38" width="20.88671875" customWidth="1"/>
  </cols>
  <sheetData>
    <row r="1" spans="1:44" x14ac:dyDescent="0.3">
      <c r="A1" t="s">
        <v>37</v>
      </c>
    </row>
    <row r="2" spans="1:44" x14ac:dyDescent="0.3">
      <c r="A2" t="s">
        <v>17</v>
      </c>
      <c r="F2" t="s">
        <v>18</v>
      </c>
      <c r="K2" t="s">
        <v>19</v>
      </c>
      <c r="Q2" t="s">
        <v>20</v>
      </c>
      <c r="R2" t="s">
        <v>21</v>
      </c>
      <c r="S2" t="s">
        <v>22</v>
      </c>
      <c r="T2" t="s">
        <v>12</v>
      </c>
      <c r="U2" t="s">
        <v>14</v>
      </c>
      <c r="V2" t="s">
        <v>11</v>
      </c>
      <c r="W2" t="s">
        <v>4</v>
      </c>
      <c r="X2" t="s">
        <v>40</v>
      </c>
      <c r="Y2" t="s">
        <v>6</v>
      </c>
      <c r="Z2" t="s">
        <v>32</v>
      </c>
      <c r="AA2" t="s">
        <v>8</v>
      </c>
      <c r="AB2" t="s">
        <v>33</v>
      </c>
      <c r="AC2" t="s">
        <v>1</v>
      </c>
      <c r="AD2" t="s">
        <v>13</v>
      </c>
      <c r="AE2" t="s">
        <v>15</v>
      </c>
      <c r="AF2" t="s">
        <v>16</v>
      </c>
      <c r="AH2" t="s">
        <v>23</v>
      </c>
      <c r="AI2" t="s">
        <v>1</v>
      </c>
      <c r="AJ2" t="s">
        <v>15</v>
      </c>
      <c r="AL2" t="s">
        <v>24</v>
      </c>
      <c r="AM2" t="s">
        <v>1</v>
      </c>
      <c r="AN2" t="s">
        <v>15</v>
      </c>
    </row>
    <row r="3" spans="1:44" x14ac:dyDescent="0.3">
      <c r="B3">
        <v>61</v>
      </c>
      <c r="C3">
        <v>39</v>
      </c>
      <c r="D3">
        <v>30</v>
      </c>
      <c r="E3">
        <v>70</v>
      </c>
      <c r="G3">
        <v>77</v>
      </c>
      <c r="H3">
        <v>23</v>
      </c>
      <c r="I3">
        <v>28</v>
      </c>
      <c r="J3">
        <v>72</v>
      </c>
      <c r="L3">
        <v>93</v>
      </c>
      <c r="M3">
        <v>7</v>
      </c>
      <c r="N3">
        <v>19</v>
      </c>
      <c r="O3">
        <v>81</v>
      </c>
      <c r="Q3">
        <f>AVERAGE(C3,D3)</f>
        <v>34.5</v>
      </c>
      <c r="R3">
        <f>AVERAGE(H3,I3)</f>
        <v>25.5</v>
      </c>
      <c r="S3">
        <f>AVERAGE(M3,N3)</f>
        <v>13</v>
      </c>
      <c r="T3">
        <f>AVERAGE(Q3:S3)</f>
        <v>24.333333333333332</v>
      </c>
      <c r="U3">
        <f>MIN(Q3:S3)</f>
        <v>13</v>
      </c>
      <c r="V3">
        <f>((T3-U3))</f>
        <v>11.333333333333332</v>
      </c>
      <c r="W3">
        <f>AVERAGE(Q3:Q4)</f>
        <v>39.25</v>
      </c>
      <c r="X3">
        <f>_xlfn.STDEV.S(Q3:Q4)</f>
        <v>6.7175144212722016</v>
      </c>
      <c r="Y3">
        <f>AVERAGE(R3:R4)</f>
        <v>30.5</v>
      </c>
      <c r="Z3">
        <f>_xlfn.STDEV.S(R3:R4)</f>
        <v>7.0710678118654755</v>
      </c>
      <c r="AA3">
        <f>AVERAGE(S3:S4)</f>
        <v>11.75</v>
      </c>
      <c r="AB3">
        <f>_xlfn.STDEV.S(S3:S4)</f>
        <v>1.7677669529663689</v>
      </c>
      <c r="AC3">
        <f>AVERAGE(T3:T4)</f>
        <v>27.166666666666664</v>
      </c>
      <c r="AD3">
        <f>_xlfn.STDEV.S(T3:T4)</f>
        <v>4.00693842672381</v>
      </c>
      <c r="AE3">
        <f>AVERAGE(V3:V4)</f>
        <v>15.416666666666666</v>
      </c>
      <c r="AF3">
        <f>_xlfn.STDEV.S(V3:V4)</f>
        <v>5.7747053796901433</v>
      </c>
      <c r="AH3" t="s">
        <v>27</v>
      </c>
      <c r="AL3" t="s">
        <v>28</v>
      </c>
    </row>
    <row r="4" spans="1:44" x14ac:dyDescent="0.3">
      <c r="B4">
        <v>42</v>
      </c>
      <c r="C4">
        <v>58</v>
      </c>
      <c r="D4">
        <v>30</v>
      </c>
      <c r="E4">
        <v>70</v>
      </c>
      <c r="G4">
        <v>61</v>
      </c>
      <c r="H4">
        <v>39</v>
      </c>
      <c r="I4">
        <v>32</v>
      </c>
      <c r="J4">
        <v>68</v>
      </c>
      <c r="L4">
        <v>85</v>
      </c>
      <c r="M4">
        <v>15</v>
      </c>
      <c r="N4">
        <v>6</v>
      </c>
      <c r="O4">
        <v>94</v>
      </c>
      <c r="Q4">
        <f t="shared" ref="Q4:Q10" si="0">AVERAGE(C4,D4)</f>
        <v>44</v>
      </c>
      <c r="R4">
        <f t="shared" ref="R4:R10" si="1">AVERAGE(H4,I4)</f>
        <v>35.5</v>
      </c>
      <c r="S4">
        <f t="shared" ref="S4:S10" si="2">AVERAGE(M4,N4)</f>
        <v>10.5</v>
      </c>
      <c r="T4">
        <f t="shared" ref="T4:T10" si="3">AVERAGE(Q4:S4)</f>
        <v>30</v>
      </c>
      <c r="U4">
        <f t="shared" ref="U4:U10" si="4">MIN(Q4:S4)</f>
        <v>10.5</v>
      </c>
      <c r="V4">
        <f t="shared" ref="V4:V10" si="5">((T4-U4))</f>
        <v>19.5</v>
      </c>
      <c r="AH4" t="s">
        <v>29</v>
      </c>
      <c r="AI4">
        <v>28.041666666666668</v>
      </c>
      <c r="AJ4">
        <v>2.5972222222222219</v>
      </c>
      <c r="AL4" t="s">
        <v>29</v>
      </c>
      <c r="AM4">
        <v>28.041666666666668</v>
      </c>
      <c r="AN4">
        <v>2.5972222222222219</v>
      </c>
    </row>
    <row r="5" spans="1:44" x14ac:dyDescent="0.3">
      <c r="A5" t="s">
        <v>38</v>
      </c>
    </row>
    <row r="6" spans="1:44" x14ac:dyDescent="0.3">
      <c r="B6">
        <v>63</v>
      </c>
      <c r="C6">
        <v>37</v>
      </c>
      <c r="D6">
        <v>31</v>
      </c>
      <c r="E6">
        <v>69</v>
      </c>
      <c r="G6">
        <v>61</v>
      </c>
      <c r="H6">
        <v>39</v>
      </c>
      <c r="I6">
        <v>33</v>
      </c>
      <c r="J6">
        <v>67</v>
      </c>
      <c r="L6">
        <v>84</v>
      </c>
      <c r="M6">
        <v>16</v>
      </c>
      <c r="N6">
        <v>10</v>
      </c>
      <c r="O6">
        <v>90</v>
      </c>
      <c r="Q6">
        <f t="shared" si="0"/>
        <v>34</v>
      </c>
      <c r="R6">
        <f t="shared" si="1"/>
        <v>36</v>
      </c>
      <c r="S6">
        <f t="shared" si="2"/>
        <v>13</v>
      </c>
      <c r="T6">
        <f t="shared" si="3"/>
        <v>27.666666666666668</v>
      </c>
      <c r="U6">
        <f t="shared" si="4"/>
        <v>13</v>
      </c>
      <c r="V6">
        <f t="shared" si="5"/>
        <v>14.666666666666668</v>
      </c>
      <c r="W6">
        <f>AVERAGE(Q6:Q7)</f>
        <v>34.25</v>
      </c>
      <c r="X6">
        <f>_xlfn.STDEV.S(Q6:Q7)</f>
        <v>0.35355339059327379</v>
      </c>
      <c r="Y6">
        <f>AVERAGE(R6:R7)</f>
        <v>34.5</v>
      </c>
      <c r="Z6">
        <f>_xlfn.STDEV.S(R6:R7)</f>
        <v>2.1213203435596424</v>
      </c>
      <c r="AA6">
        <f>AVERAGE(S6:S7)</f>
        <v>14</v>
      </c>
      <c r="AB6">
        <f>_xlfn.STDEV.S(S6:S7)</f>
        <v>1.4142135623730951</v>
      </c>
      <c r="AC6">
        <f>AVERAGE(T6:T7)</f>
        <v>27.583333333333336</v>
      </c>
      <c r="AD6">
        <f>_xlfn.STDEV.S(T6:T7)</f>
        <v>0.11785113019775875</v>
      </c>
      <c r="AE6">
        <f>AVERAGE(V6:V7)</f>
        <v>13.583333333333334</v>
      </c>
      <c r="AF6">
        <f>_xlfn.STDEV.S(V6:V7)</f>
        <v>1.5320646925708539</v>
      </c>
      <c r="AI6" t="s">
        <v>4</v>
      </c>
      <c r="AJ6" t="s">
        <v>31</v>
      </c>
      <c r="AK6" t="s">
        <v>6</v>
      </c>
      <c r="AL6" t="s">
        <v>32</v>
      </c>
      <c r="AM6" t="s">
        <v>8</v>
      </c>
      <c r="AN6" t="s">
        <v>33</v>
      </c>
      <c r="AO6" t="s">
        <v>1</v>
      </c>
      <c r="AP6" t="s">
        <v>13</v>
      </c>
      <c r="AQ6" t="s">
        <v>15</v>
      </c>
      <c r="AR6" t="s">
        <v>16</v>
      </c>
    </row>
    <row r="7" spans="1:44" x14ac:dyDescent="0.3">
      <c r="B7">
        <v>53</v>
      </c>
      <c r="C7">
        <v>47</v>
      </c>
      <c r="D7">
        <v>22</v>
      </c>
      <c r="E7">
        <v>78</v>
      </c>
      <c r="G7">
        <v>67</v>
      </c>
      <c r="H7">
        <v>33</v>
      </c>
      <c r="I7">
        <v>33</v>
      </c>
      <c r="J7">
        <v>67</v>
      </c>
      <c r="L7">
        <v>82</v>
      </c>
      <c r="M7">
        <v>18</v>
      </c>
      <c r="N7">
        <v>12</v>
      </c>
      <c r="O7">
        <v>88</v>
      </c>
      <c r="Q7">
        <f t="shared" si="0"/>
        <v>34.5</v>
      </c>
      <c r="R7">
        <f t="shared" si="1"/>
        <v>33</v>
      </c>
      <c r="S7">
        <f t="shared" si="2"/>
        <v>15</v>
      </c>
      <c r="T7">
        <f t="shared" si="3"/>
        <v>27.5</v>
      </c>
      <c r="U7">
        <f t="shared" si="4"/>
        <v>15</v>
      </c>
      <c r="V7">
        <f t="shared" si="5"/>
        <v>12.5</v>
      </c>
      <c r="AH7" t="s">
        <v>29</v>
      </c>
      <c r="AI7" t="e">
        <f>AVERAGE(Q17:Q20)</f>
        <v>#DIV/0!</v>
      </c>
      <c r="AJ7" t="e">
        <f>_xlfn.STDEV.S(Q17:Q20)</f>
        <v>#DIV/0!</v>
      </c>
      <c r="AK7" t="e">
        <f>AVERAGE(R17:R20)</f>
        <v>#DIV/0!</v>
      </c>
      <c r="AL7" t="e">
        <f>_xlfn.STDEV.S(R17:R20)</f>
        <v>#DIV/0!</v>
      </c>
      <c r="AM7" t="e">
        <f>AVERAGE(S17:S20)</f>
        <v>#DIV/0!</v>
      </c>
      <c r="AN7" t="e">
        <f>_xlfn.STDEV.S(S17:S20)</f>
        <v>#DIV/0!</v>
      </c>
      <c r="AO7">
        <v>28.041666666666668</v>
      </c>
      <c r="AP7">
        <v>3.0103986446980731</v>
      </c>
      <c r="AQ7">
        <v>2.5972222222222219</v>
      </c>
      <c r="AR7">
        <v>0.62915286960589489</v>
      </c>
    </row>
    <row r="8" spans="1:44" x14ac:dyDescent="0.3">
      <c r="A8" t="s">
        <v>39</v>
      </c>
    </row>
    <row r="9" spans="1:44" x14ac:dyDescent="0.3">
      <c r="B9">
        <v>66</v>
      </c>
      <c r="C9">
        <v>34</v>
      </c>
      <c r="D9">
        <v>29</v>
      </c>
      <c r="E9">
        <v>71</v>
      </c>
      <c r="G9">
        <v>77</v>
      </c>
      <c r="H9">
        <v>23</v>
      </c>
      <c r="I9">
        <v>32</v>
      </c>
      <c r="J9">
        <v>68</v>
      </c>
      <c r="L9">
        <v>85</v>
      </c>
      <c r="M9">
        <v>15</v>
      </c>
      <c r="N9">
        <v>10</v>
      </c>
      <c r="O9">
        <v>90</v>
      </c>
      <c r="Q9">
        <f t="shared" si="0"/>
        <v>31.5</v>
      </c>
      <c r="R9">
        <f t="shared" si="1"/>
        <v>27.5</v>
      </c>
      <c r="S9">
        <f t="shared" si="2"/>
        <v>12.5</v>
      </c>
      <c r="T9">
        <f t="shared" si="3"/>
        <v>23.833333333333332</v>
      </c>
      <c r="U9">
        <f t="shared" si="4"/>
        <v>12.5</v>
      </c>
      <c r="V9">
        <f t="shared" si="5"/>
        <v>11.333333333333332</v>
      </c>
      <c r="W9">
        <f>AVERAGE(Q9:Q10)</f>
        <v>27</v>
      </c>
      <c r="X9">
        <f>_xlfn.STDEV.S(Q9:Q10)</f>
        <v>6.3639610306789276</v>
      </c>
      <c r="Y9">
        <f>AVERAGE(R9:R10)</f>
        <v>23</v>
      </c>
      <c r="Z9">
        <f>_xlfn.STDEV.S(R9:R10)</f>
        <v>6.3639610306789276</v>
      </c>
      <c r="AA9">
        <f>AVERAGE(S9:S10)</f>
        <v>11</v>
      </c>
      <c r="AB9">
        <f>_xlfn.STDEV.S(S9:S10)</f>
        <v>2.1213203435596424</v>
      </c>
      <c r="AC9">
        <f>AVERAGE(T9:T10)</f>
        <v>20.333333333333332</v>
      </c>
      <c r="AD9">
        <f>_xlfn.STDEV.S(T9:T10)</f>
        <v>4.9497474683058327</v>
      </c>
      <c r="AE9">
        <f>AVERAGE(V9:V10)</f>
        <v>9.3333333333333321</v>
      </c>
      <c r="AF9">
        <f>_xlfn.STDEV.S(V9:V10)</f>
        <v>2.8284271247461903</v>
      </c>
    </row>
    <row r="10" spans="1:44" x14ac:dyDescent="0.3">
      <c r="B10">
        <v>68</v>
      </c>
      <c r="C10">
        <v>32</v>
      </c>
      <c r="D10">
        <v>13</v>
      </c>
      <c r="E10">
        <v>87</v>
      </c>
      <c r="G10">
        <v>89</v>
      </c>
      <c r="H10">
        <v>11</v>
      </c>
      <c r="I10">
        <v>26</v>
      </c>
      <c r="J10">
        <v>74</v>
      </c>
      <c r="L10">
        <v>90</v>
      </c>
      <c r="M10">
        <v>10</v>
      </c>
      <c r="N10">
        <v>9</v>
      </c>
      <c r="O10">
        <v>91</v>
      </c>
      <c r="Q10">
        <f t="shared" si="0"/>
        <v>22.5</v>
      </c>
      <c r="R10">
        <f t="shared" si="1"/>
        <v>18.5</v>
      </c>
      <c r="S10">
        <f t="shared" si="2"/>
        <v>9.5</v>
      </c>
      <c r="T10">
        <f t="shared" si="3"/>
        <v>16.833333333333332</v>
      </c>
      <c r="U10">
        <f t="shared" si="4"/>
        <v>9.5</v>
      </c>
      <c r="V10">
        <f t="shared" si="5"/>
        <v>7.3333333333333321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AE23-A740-4698-B840-F018E78CD098}">
  <dimension ref="A1:AF17"/>
  <sheetViews>
    <sheetView topLeftCell="K1" workbookViewId="0">
      <selection activeCell="W3" sqref="W3:AF3"/>
    </sheetView>
  </sheetViews>
  <sheetFormatPr defaultRowHeight="14.4" x14ac:dyDescent="0.3"/>
  <cols>
    <col min="23" max="23" width="13.109375" customWidth="1"/>
  </cols>
  <sheetData>
    <row r="1" spans="1:32" x14ac:dyDescent="0.3">
      <c r="A1" t="s">
        <v>0</v>
      </c>
      <c r="Q1" t="s">
        <v>10</v>
      </c>
    </row>
    <row r="2" spans="1:32" x14ac:dyDescent="0.3">
      <c r="A2" t="s">
        <v>17</v>
      </c>
      <c r="Q2" t="s">
        <v>20</v>
      </c>
      <c r="R2" t="s">
        <v>21</v>
      </c>
      <c r="S2" t="s">
        <v>22</v>
      </c>
      <c r="T2" t="s">
        <v>12</v>
      </c>
      <c r="U2" t="s">
        <v>14</v>
      </c>
      <c r="V2" t="s">
        <v>11</v>
      </c>
      <c r="W2" t="s">
        <v>36</v>
      </c>
      <c r="X2" t="s">
        <v>31</v>
      </c>
      <c r="Y2" t="s">
        <v>6</v>
      </c>
      <c r="Z2" t="s">
        <v>32</v>
      </c>
      <c r="AA2" t="s">
        <v>8</v>
      </c>
      <c r="AB2" t="s">
        <v>33</v>
      </c>
      <c r="AC2" t="s">
        <v>1</v>
      </c>
      <c r="AD2" t="s">
        <v>13</v>
      </c>
      <c r="AE2" t="s">
        <v>15</v>
      </c>
      <c r="AF2" t="s">
        <v>16</v>
      </c>
    </row>
    <row r="3" spans="1:32" x14ac:dyDescent="0.3">
      <c r="B3">
        <v>64</v>
      </c>
      <c r="C3">
        <v>36</v>
      </c>
      <c r="D3">
        <v>20</v>
      </c>
      <c r="E3">
        <v>80</v>
      </c>
      <c r="G3">
        <v>72</v>
      </c>
      <c r="H3">
        <v>28</v>
      </c>
      <c r="I3">
        <v>34</v>
      </c>
      <c r="J3">
        <v>66</v>
      </c>
      <c r="L3">
        <v>92</v>
      </c>
      <c r="M3">
        <v>8</v>
      </c>
      <c r="N3">
        <v>9</v>
      </c>
      <c r="O3">
        <v>91</v>
      </c>
      <c r="Q3">
        <f>AVERAGE(C3:D3)</f>
        <v>28</v>
      </c>
      <c r="R3">
        <f>AVERAGE(H3:I3)</f>
        <v>31</v>
      </c>
      <c r="S3">
        <f>AVERAGE(M3:N3)</f>
        <v>8.5</v>
      </c>
      <c r="T3">
        <f>AVERAGE(Q3:S3)</f>
        <v>22.5</v>
      </c>
      <c r="U3">
        <f>MIN(Q3:S3)</f>
        <v>8.5</v>
      </c>
      <c r="V3">
        <f>T3-U3</f>
        <v>14</v>
      </c>
      <c r="W3">
        <f>AVERAGE(Q3:Q11)</f>
        <v>33.166666666666664</v>
      </c>
      <c r="X3">
        <f>_xlfn.STDEV.S(Q3:Q11)</f>
        <v>4.4300112866673373</v>
      </c>
      <c r="Y3">
        <f>AVERAGE(R3:R11)</f>
        <v>32</v>
      </c>
      <c r="Z3">
        <f>_xlfn.STDEV.S(R3:R11)</f>
        <v>4.5345892868042634</v>
      </c>
      <c r="AA3">
        <f>AVERAGE(S3:S11)</f>
        <v>12.777777777777779</v>
      </c>
      <c r="AB3">
        <f>_xlfn.STDEV.S(S3:S11)</f>
        <v>2.5630927498716187</v>
      </c>
      <c r="AC3">
        <f>AVERAGE(T3:T11)</f>
        <v>25.981481481481481</v>
      </c>
      <c r="AD3">
        <f>_xlfn.STDEV.S(T3:T11)</f>
        <v>2.5020053685389105</v>
      </c>
      <c r="AE3">
        <f>AVERAGE(V3:V11)</f>
        <v>13.203703703703702</v>
      </c>
      <c r="AF3">
        <f>_xlfn.STDEV.S(V3:V11)</f>
        <v>2.4885540449361203</v>
      </c>
    </row>
    <row r="4" spans="1:32" x14ac:dyDescent="0.3">
      <c r="B4">
        <v>71</v>
      </c>
      <c r="C4">
        <v>29</v>
      </c>
      <c r="D4">
        <v>26</v>
      </c>
      <c r="E4">
        <v>74</v>
      </c>
      <c r="G4">
        <v>72</v>
      </c>
      <c r="H4">
        <v>28</v>
      </c>
      <c r="I4">
        <v>24</v>
      </c>
      <c r="J4">
        <v>76</v>
      </c>
      <c r="L4">
        <v>89</v>
      </c>
      <c r="M4">
        <v>11</v>
      </c>
      <c r="N4">
        <v>17</v>
      </c>
      <c r="O4">
        <v>83</v>
      </c>
      <c r="Q4">
        <f t="shared" ref="Q4:Q5" si="0">AVERAGE(C4:D4)</f>
        <v>27.5</v>
      </c>
      <c r="R4">
        <f t="shared" ref="R4:R5" si="1">AVERAGE(H4:I4)</f>
        <v>26</v>
      </c>
      <c r="S4">
        <f t="shared" ref="S4:S5" si="2">AVERAGE(M4:N4)</f>
        <v>14</v>
      </c>
      <c r="T4">
        <f t="shared" ref="T4:T5" si="3">AVERAGE(Q4:S4)</f>
        <v>22.5</v>
      </c>
      <c r="U4">
        <f t="shared" ref="U4:U5" si="4">MIN(Q4:S4)</f>
        <v>14</v>
      </c>
      <c r="V4">
        <f t="shared" ref="V4:V5" si="5">T4-U4</f>
        <v>8.5</v>
      </c>
    </row>
    <row r="5" spans="1:32" x14ac:dyDescent="0.3">
      <c r="B5">
        <v>53</v>
      </c>
      <c r="C5">
        <v>47</v>
      </c>
      <c r="D5">
        <v>26</v>
      </c>
      <c r="E5">
        <v>74</v>
      </c>
      <c r="G5">
        <v>51</v>
      </c>
      <c r="H5">
        <v>49</v>
      </c>
      <c r="I5">
        <v>21</v>
      </c>
      <c r="J5">
        <v>79</v>
      </c>
      <c r="L5">
        <v>91</v>
      </c>
      <c r="M5">
        <v>9</v>
      </c>
      <c r="N5">
        <v>11</v>
      </c>
      <c r="O5">
        <v>89</v>
      </c>
      <c r="Q5">
        <f t="shared" si="0"/>
        <v>36.5</v>
      </c>
      <c r="R5">
        <f t="shared" si="1"/>
        <v>35</v>
      </c>
      <c r="S5">
        <f t="shared" si="2"/>
        <v>10</v>
      </c>
      <c r="T5">
        <f t="shared" si="3"/>
        <v>27.166666666666668</v>
      </c>
      <c r="U5">
        <f t="shared" si="4"/>
        <v>10</v>
      </c>
      <c r="V5">
        <f t="shared" si="5"/>
        <v>17.166666666666668</v>
      </c>
    </row>
    <row r="6" spans="1:32" x14ac:dyDescent="0.3">
      <c r="B6">
        <v>69</v>
      </c>
      <c r="C6">
        <v>31</v>
      </c>
      <c r="D6">
        <v>28</v>
      </c>
      <c r="E6">
        <v>72</v>
      </c>
      <c r="G6">
        <v>61</v>
      </c>
      <c r="H6">
        <v>39</v>
      </c>
      <c r="I6">
        <v>37</v>
      </c>
      <c r="J6">
        <v>63</v>
      </c>
      <c r="L6">
        <v>84</v>
      </c>
      <c r="M6">
        <v>16</v>
      </c>
      <c r="N6">
        <v>10</v>
      </c>
      <c r="O6">
        <v>90</v>
      </c>
      <c r="Q6">
        <f t="shared" ref="Q6:Q17" si="6">AVERAGE(C6:D6)</f>
        <v>29.5</v>
      </c>
      <c r="R6">
        <f t="shared" ref="R6:R17" si="7">AVERAGE(H6:I6)</f>
        <v>38</v>
      </c>
      <c r="S6">
        <f t="shared" ref="S6:S17" si="8">AVERAGE(M6:N6)</f>
        <v>13</v>
      </c>
      <c r="T6">
        <f t="shared" ref="T6:T17" si="9">AVERAGE(Q6:S6)</f>
        <v>26.833333333333332</v>
      </c>
      <c r="U6">
        <f t="shared" ref="U6:U17" si="10">MIN(Q6:S6)</f>
        <v>13</v>
      </c>
      <c r="V6">
        <f t="shared" ref="V6:V17" si="11">T6-U6</f>
        <v>13.833333333333332</v>
      </c>
    </row>
    <row r="7" spans="1:32" x14ac:dyDescent="0.3">
      <c r="B7">
        <v>69</v>
      </c>
      <c r="C7">
        <v>31</v>
      </c>
      <c r="D7">
        <v>28</v>
      </c>
      <c r="E7">
        <v>72</v>
      </c>
      <c r="G7">
        <v>80</v>
      </c>
      <c r="H7">
        <v>20</v>
      </c>
      <c r="I7">
        <v>50</v>
      </c>
      <c r="J7">
        <v>50</v>
      </c>
      <c r="L7">
        <v>84</v>
      </c>
      <c r="M7">
        <v>16</v>
      </c>
      <c r="N7">
        <v>11</v>
      </c>
      <c r="O7">
        <v>89</v>
      </c>
      <c r="Q7">
        <f t="shared" si="6"/>
        <v>29.5</v>
      </c>
      <c r="R7">
        <f t="shared" si="7"/>
        <v>35</v>
      </c>
      <c r="S7">
        <f t="shared" si="8"/>
        <v>13.5</v>
      </c>
      <c r="T7">
        <f t="shared" si="9"/>
        <v>26</v>
      </c>
      <c r="U7">
        <f t="shared" si="10"/>
        <v>13.5</v>
      </c>
      <c r="V7">
        <f t="shared" si="11"/>
        <v>12.5</v>
      </c>
    </row>
    <row r="8" spans="1:32" x14ac:dyDescent="0.3">
      <c r="B8">
        <v>56</v>
      </c>
      <c r="C8">
        <v>44</v>
      </c>
      <c r="D8">
        <v>31</v>
      </c>
      <c r="E8">
        <v>69</v>
      </c>
      <c r="G8">
        <v>55</v>
      </c>
      <c r="H8">
        <v>45</v>
      </c>
      <c r="I8">
        <v>28</v>
      </c>
      <c r="J8">
        <v>72</v>
      </c>
      <c r="L8">
        <v>82</v>
      </c>
      <c r="M8">
        <v>18</v>
      </c>
      <c r="N8">
        <v>16</v>
      </c>
      <c r="O8">
        <v>84</v>
      </c>
      <c r="Q8">
        <f t="shared" si="6"/>
        <v>37.5</v>
      </c>
      <c r="R8">
        <f t="shared" si="7"/>
        <v>36.5</v>
      </c>
      <c r="S8">
        <f t="shared" si="8"/>
        <v>17</v>
      </c>
      <c r="T8">
        <f t="shared" si="9"/>
        <v>30.333333333333332</v>
      </c>
      <c r="U8">
        <f t="shared" si="10"/>
        <v>17</v>
      </c>
      <c r="V8">
        <f t="shared" si="11"/>
        <v>13.333333333333332</v>
      </c>
    </row>
    <row r="9" spans="1:32" x14ac:dyDescent="0.3">
      <c r="B9">
        <v>64</v>
      </c>
      <c r="C9">
        <v>36</v>
      </c>
      <c r="D9">
        <v>40</v>
      </c>
      <c r="E9">
        <v>60</v>
      </c>
      <c r="G9">
        <v>75</v>
      </c>
      <c r="H9">
        <v>25</v>
      </c>
      <c r="I9">
        <v>35</v>
      </c>
      <c r="J9">
        <v>65</v>
      </c>
      <c r="L9">
        <v>89</v>
      </c>
      <c r="M9">
        <v>11</v>
      </c>
      <c r="N9">
        <v>18</v>
      </c>
      <c r="O9">
        <v>82</v>
      </c>
      <c r="Q9">
        <f t="shared" si="6"/>
        <v>38</v>
      </c>
      <c r="R9">
        <f t="shared" si="7"/>
        <v>30</v>
      </c>
      <c r="S9">
        <f t="shared" si="8"/>
        <v>14.5</v>
      </c>
      <c r="T9">
        <f t="shared" si="9"/>
        <v>27.5</v>
      </c>
      <c r="U9">
        <f t="shared" si="10"/>
        <v>14.5</v>
      </c>
      <c r="V9">
        <f t="shared" si="11"/>
        <v>13</v>
      </c>
    </row>
    <row r="10" spans="1:32" x14ac:dyDescent="0.3">
      <c r="B10">
        <v>62</v>
      </c>
      <c r="C10">
        <v>38</v>
      </c>
      <c r="D10">
        <v>32</v>
      </c>
      <c r="E10">
        <v>68</v>
      </c>
      <c r="G10">
        <v>73</v>
      </c>
      <c r="H10">
        <v>27</v>
      </c>
      <c r="I10">
        <v>23</v>
      </c>
      <c r="J10">
        <v>77</v>
      </c>
      <c r="L10">
        <v>83</v>
      </c>
      <c r="M10">
        <v>17</v>
      </c>
      <c r="N10">
        <v>10</v>
      </c>
      <c r="O10">
        <v>90</v>
      </c>
      <c r="Q10">
        <f t="shared" si="6"/>
        <v>35</v>
      </c>
      <c r="R10">
        <f t="shared" si="7"/>
        <v>25</v>
      </c>
      <c r="S10">
        <f t="shared" si="8"/>
        <v>13.5</v>
      </c>
      <c r="T10">
        <f t="shared" si="9"/>
        <v>24.5</v>
      </c>
      <c r="U10">
        <f t="shared" si="10"/>
        <v>13.5</v>
      </c>
      <c r="V10">
        <f t="shared" si="11"/>
        <v>11</v>
      </c>
    </row>
    <row r="11" spans="1:32" x14ac:dyDescent="0.3">
      <c r="B11">
        <v>55</v>
      </c>
      <c r="C11">
        <v>45</v>
      </c>
      <c r="D11">
        <v>29</v>
      </c>
      <c r="E11">
        <v>71</v>
      </c>
      <c r="G11">
        <v>60</v>
      </c>
      <c r="H11">
        <v>40</v>
      </c>
      <c r="I11">
        <v>23</v>
      </c>
      <c r="J11">
        <v>77</v>
      </c>
      <c r="L11">
        <v>87</v>
      </c>
      <c r="M11">
        <v>13</v>
      </c>
      <c r="N11">
        <v>9</v>
      </c>
      <c r="O11">
        <v>91</v>
      </c>
      <c r="Q11">
        <f t="shared" si="6"/>
        <v>37</v>
      </c>
      <c r="R11">
        <f t="shared" si="7"/>
        <v>31.5</v>
      </c>
      <c r="S11">
        <f t="shared" si="8"/>
        <v>11</v>
      </c>
      <c r="T11">
        <f t="shared" si="9"/>
        <v>26.5</v>
      </c>
      <c r="U11">
        <f t="shared" si="10"/>
        <v>11</v>
      </c>
      <c r="V11">
        <f t="shared" si="11"/>
        <v>15.5</v>
      </c>
    </row>
    <row r="12" spans="1:32" x14ac:dyDescent="0.3">
      <c r="B12">
        <v>51</v>
      </c>
      <c r="C12">
        <v>49</v>
      </c>
      <c r="D12">
        <v>33</v>
      </c>
      <c r="E12">
        <v>67</v>
      </c>
      <c r="G12">
        <v>68</v>
      </c>
      <c r="H12">
        <v>32</v>
      </c>
      <c r="I12">
        <v>28</v>
      </c>
      <c r="J12">
        <v>72</v>
      </c>
      <c r="L12">
        <v>89</v>
      </c>
      <c r="M12">
        <v>11</v>
      </c>
      <c r="N12">
        <v>15</v>
      </c>
      <c r="O12">
        <v>85</v>
      </c>
      <c r="Q12">
        <f t="shared" si="6"/>
        <v>41</v>
      </c>
      <c r="R12">
        <f t="shared" si="7"/>
        <v>30</v>
      </c>
      <c r="S12">
        <f t="shared" si="8"/>
        <v>13</v>
      </c>
      <c r="T12">
        <f t="shared" si="9"/>
        <v>28</v>
      </c>
      <c r="U12">
        <f t="shared" si="10"/>
        <v>13</v>
      </c>
      <c r="V12">
        <f t="shared" si="11"/>
        <v>15</v>
      </c>
    </row>
    <row r="13" spans="1:32" x14ac:dyDescent="0.3">
      <c r="B13">
        <v>64</v>
      </c>
      <c r="C13">
        <v>36</v>
      </c>
      <c r="D13">
        <v>31</v>
      </c>
      <c r="E13">
        <v>69</v>
      </c>
      <c r="G13">
        <v>65</v>
      </c>
      <c r="H13">
        <v>35</v>
      </c>
      <c r="I13">
        <v>28</v>
      </c>
      <c r="J13">
        <v>72</v>
      </c>
      <c r="L13">
        <v>90</v>
      </c>
      <c r="M13">
        <v>10</v>
      </c>
      <c r="N13">
        <v>11</v>
      </c>
      <c r="O13">
        <v>89</v>
      </c>
      <c r="Q13">
        <f t="shared" si="6"/>
        <v>33.5</v>
      </c>
      <c r="R13">
        <f t="shared" si="7"/>
        <v>31.5</v>
      </c>
      <c r="S13">
        <f t="shared" si="8"/>
        <v>10.5</v>
      </c>
      <c r="T13">
        <f t="shared" si="9"/>
        <v>25.166666666666668</v>
      </c>
      <c r="U13">
        <f t="shared" si="10"/>
        <v>10.5</v>
      </c>
      <c r="V13">
        <f t="shared" si="11"/>
        <v>14.666666666666668</v>
      </c>
    </row>
    <row r="14" spans="1:32" x14ac:dyDescent="0.3">
      <c r="B14">
        <v>46</v>
      </c>
      <c r="C14">
        <v>54</v>
      </c>
      <c r="D14">
        <v>33</v>
      </c>
      <c r="E14">
        <v>67</v>
      </c>
      <c r="G14">
        <v>62</v>
      </c>
      <c r="H14">
        <v>38</v>
      </c>
      <c r="I14">
        <v>33</v>
      </c>
      <c r="J14">
        <v>67</v>
      </c>
      <c r="L14">
        <v>85</v>
      </c>
      <c r="M14">
        <v>15</v>
      </c>
      <c r="N14">
        <v>13</v>
      </c>
      <c r="O14">
        <v>87</v>
      </c>
      <c r="Q14">
        <f t="shared" si="6"/>
        <v>43.5</v>
      </c>
      <c r="R14">
        <f t="shared" si="7"/>
        <v>35.5</v>
      </c>
      <c r="S14">
        <f t="shared" si="8"/>
        <v>14</v>
      </c>
      <c r="T14">
        <f t="shared" si="9"/>
        <v>31</v>
      </c>
      <c r="U14">
        <f t="shared" si="10"/>
        <v>14</v>
      </c>
      <c r="V14">
        <f t="shared" si="11"/>
        <v>17</v>
      </c>
    </row>
    <row r="15" spans="1:32" x14ac:dyDescent="0.3">
      <c r="B15">
        <v>57</v>
      </c>
      <c r="C15">
        <v>43</v>
      </c>
      <c r="D15">
        <v>19</v>
      </c>
      <c r="E15">
        <v>81</v>
      </c>
      <c r="G15">
        <v>67</v>
      </c>
      <c r="H15">
        <v>33</v>
      </c>
      <c r="I15">
        <v>25</v>
      </c>
      <c r="J15">
        <v>75</v>
      </c>
      <c r="L15">
        <v>88</v>
      </c>
      <c r="M15">
        <v>12</v>
      </c>
      <c r="N15">
        <v>9</v>
      </c>
      <c r="O15">
        <v>91</v>
      </c>
      <c r="Q15">
        <f t="shared" si="6"/>
        <v>31</v>
      </c>
      <c r="R15">
        <f t="shared" si="7"/>
        <v>29</v>
      </c>
      <c r="S15">
        <f t="shared" si="8"/>
        <v>10.5</v>
      </c>
      <c r="T15">
        <f t="shared" si="9"/>
        <v>23.5</v>
      </c>
      <c r="U15">
        <f t="shared" si="10"/>
        <v>10.5</v>
      </c>
      <c r="V15">
        <f t="shared" si="11"/>
        <v>13</v>
      </c>
    </row>
    <row r="16" spans="1:32" x14ac:dyDescent="0.3">
      <c r="B16">
        <v>67</v>
      </c>
      <c r="C16">
        <v>33</v>
      </c>
      <c r="D16">
        <v>34</v>
      </c>
      <c r="E16">
        <v>66</v>
      </c>
      <c r="G16">
        <v>77</v>
      </c>
      <c r="H16">
        <v>23</v>
      </c>
      <c r="I16">
        <v>22</v>
      </c>
      <c r="J16">
        <v>78</v>
      </c>
      <c r="L16">
        <v>85</v>
      </c>
      <c r="M16">
        <v>15</v>
      </c>
      <c r="N16">
        <v>9</v>
      </c>
      <c r="O16">
        <v>91</v>
      </c>
      <c r="Q16">
        <f t="shared" si="6"/>
        <v>33.5</v>
      </c>
      <c r="R16">
        <f t="shared" si="7"/>
        <v>22.5</v>
      </c>
      <c r="S16">
        <f t="shared" si="8"/>
        <v>12</v>
      </c>
      <c r="T16">
        <f t="shared" si="9"/>
        <v>22.666666666666668</v>
      </c>
      <c r="U16">
        <f t="shared" si="10"/>
        <v>12</v>
      </c>
      <c r="V16">
        <f t="shared" si="11"/>
        <v>10.666666666666668</v>
      </c>
    </row>
    <row r="17" spans="2:22" x14ac:dyDescent="0.3">
      <c r="B17">
        <v>61</v>
      </c>
      <c r="C17">
        <v>39</v>
      </c>
      <c r="D17">
        <v>26</v>
      </c>
      <c r="E17">
        <v>74</v>
      </c>
      <c r="G17">
        <v>64</v>
      </c>
      <c r="H17">
        <v>36</v>
      </c>
      <c r="I17">
        <v>30</v>
      </c>
      <c r="J17">
        <v>70</v>
      </c>
      <c r="L17">
        <v>90</v>
      </c>
      <c r="M17">
        <v>10</v>
      </c>
      <c r="N17">
        <v>10</v>
      </c>
      <c r="O17">
        <v>90</v>
      </c>
      <c r="Q17">
        <f t="shared" si="6"/>
        <v>32.5</v>
      </c>
      <c r="R17">
        <f t="shared" si="7"/>
        <v>33</v>
      </c>
      <c r="S17">
        <f t="shared" si="8"/>
        <v>10</v>
      </c>
      <c r="T17">
        <f t="shared" si="9"/>
        <v>25.166666666666668</v>
      </c>
      <c r="U17">
        <f t="shared" si="10"/>
        <v>10</v>
      </c>
      <c r="V17">
        <f t="shared" si="11"/>
        <v>15.166666666666668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STD_BAL_ADV_NOCLSDIV</vt:lpstr>
      <vt:lpstr>STD_BAL_ADV_CLSDIV</vt:lpstr>
      <vt:lpstr>STD_BAL_NOAUG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2026-03-18T18:23:30Z</dcterms:modified>
</cp:coreProperties>
</file>