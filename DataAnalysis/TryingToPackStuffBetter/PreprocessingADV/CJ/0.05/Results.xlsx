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CJ\0.05\"/>
    </mc:Choice>
  </mc:AlternateContent>
  <xr:revisionPtr revIDLastSave="0" documentId="13_ncr:1_{0620FB5B-96D7-47C1-A773-92848B90D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STD_BAL_ADV_NOCLSDIV" sheetId="7" r:id="rId2"/>
    <sheet name="STD_BAL_ADV_CLSDIV" sheetId="6" r:id="rId3"/>
    <sheet name="STD_BAL_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2" l="1"/>
  <c r="AD3" i="2"/>
  <c r="AA3" i="2"/>
  <c r="Z3" i="2"/>
  <c r="Y3" i="2"/>
  <c r="X3" i="2"/>
  <c r="W3" i="2"/>
  <c r="V3" i="2"/>
  <c r="U3" i="2"/>
  <c r="T3" i="2"/>
  <c r="P6" i="2"/>
  <c r="Q6" i="2"/>
  <c r="R6" i="2"/>
  <c r="S6" i="2"/>
  <c r="AB6" i="2"/>
  <c r="AC6" i="2"/>
  <c r="P7" i="2"/>
  <c r="Q7" i="2"/>
  <c r="R7" i="2"/>
  <c r="S7" i="2"/>
  <c r="AB7" i="2"/>
  <c r="AC7" i="2"/>
  <c r="P8" i="2"/>
  <c r="AB8" i="2" s="1"/>
  <c r="Q8" i="2"/>
  <c r="R8" i="2"/>
  <c r="S8" i="2"/>
  <c r="AC8" i="2" s="1"/>
  <c r="P9" i="2"/>
  <c r="Q9" i="2"/>
  <c r="R9" i="2"/>
  <c r="S9" i="2"/>
  <c r="AB9" i="2"/>
  <c r="AC9" i="2"/>
  <c r="P10" i="2"/>
  <c r="Q10" i="2"/>
  <c r="S10" i="2" s="1"/>
  <c r="R10" i="2"/>
  <c r="P11" i="2"/>
  <c r="S11" i="2" s="1"/>
  <c r="Q11" i="2"/>
  <c r="R11" i="2"/>
  <c r="V7" i="6"/>
  <c r="V8" i="6"/>
  <c r="V9" i="6"/>
  <c r="AF7" i="6" s="1"/>
  <c r="V10" i="6"/>
  <c r="V12" i="6"/>
  <c r="V13" i="6"/>
  <c r="V14" i="6"/>
  <c r="V15" i="6"/>
  <c r="V8" i="7"/>
  <c r="V9" i="7"/>
  <c r="V10" i="7"/>
  <c r="V12" i="7"/>
  <c r="V13" i="7"/>
  <c r="V14" i="7"/>
  <c r="V15" i="7"/>
  <c r="V7" i="7"/>
  <c r="AF12" i="7"/>
  <c r="AE12" i="7"/>
  <c r="AD12" i="7"/>
  <c r="AC12" i="7"/>
  <c r="AB12" i="7"/>
  <c r="AA12" i="7"/>
  <c r="Z12" i="7"/>
  <c r="Y12" i="7"/>
  <c r="X12" i="7"/>
  <c r="W12" i="7"/>
  <c r="S36" i="7"/>
  <c r="R36" i="7"/>
  <c r="Q36" i="7"/>
  <c r="U36" i="7" s="1"/>
  <c r="S35" i="7"/>
  <c r="R35" i="7"/>
  <c r="Q35" i="7"/>
  <c r="U35" i="7" s="1"/>
  <c r="U34" i="7"/>
  <c r="T34" i="7"/>
  <c r="V34" i="7" s="1"/>
  <c r="S34" i="7"/>
  <c r="R34" i="7"/>
  <c r="Q34" i="7"/>
  <c r="S33" i="7"/>
  <c r="R33" i="7"/>
  <c r="Q33" i="7"/>
  <c r="U33" i="7" s="1"/>
  <c r="S32" i="7"/>
  <c r="R32" i="7"/>
  <c r="Q32" i="7"/>
  <c r="T32" i="7" s="1"/>
  <c r="S31" i="7"/>
  <c r="R31" i="7"/>
  <c r="Q31" i="7"/>
  <c r="U31" i="7" s="1"/>
  <c r="S27" i="7"/>
  <c r="R27" i="7"/>
  <c r="Q27" i="7"/>
  <c r="T27" i="7" s="1"/>
  <c r="U26" i="7"/>
  <c r="S26" i="7"/>
  <c r="R26" i="7"/>
  <c r="Q26" i="7"/>
  <c r="T26" i="7" s="1"/>
  <c r="V26" i="7" s="1"/>
  <c r="S25" i="7"/>
  <c r="R25" i="7"/>
  <c r="Q25" i="7"/>
  <c r="U25" i="7" s="1"/>
  <c r="U24" i="7"/>
  <c r="S24" i="7"/>
  <c r="R24" i="7"/>
  <c r="Q24" i="7"/>
  <c r="T24" i="7" s="1"/>
  <c r="S15" i="7"/>
  <c r="R15" i="7"/>
  <c r="Q15" i="7"/>
  <c r="U15" i="7" s="1"/>
  <c r="S14" i="7"/>
  <c r="R14" i="7"/>
  <c r="Q14" i="7"/>
  <c r="T14" i="7" s="1"/>
  <c r="S13" i="7"/>
  <c r="R13" i="7"/>
  <c r="Q13" i="7"/>
  <c r="U13" i="7" s="1"/>
  <c r="S12" i="7"/>
  <c r="R12" i="7"/>
  <c r="Q12" i="7"/>
  <c r="U12" i="7" s="1"/>
  <c r="S10" i="7"/>
  <c r="R10" i="7"/>
  <c r="Q10" i="7"/>
  <c r="S9" i="7"/>
  <c r="R9" i="7"/>
  <c r="Q9" i="7"/>
  <c r="U9" i="7" s="1"/>
  <c r="S8" i="7"/>
  <c r="R8" i="7"/>
  <c r="Q8" i="7"/>
  <c r="AN7" i="7"/>
  <c r="AM7" i="7"/>
  <c r="AL7" i="7"/>
  <c r="AK7" i="7"/>
  <c r="AJ7" i="7"/>
  <c r="AI7" i="7"/>
  <c r="S7" i="7"/>
  <c r="R7" i="7"/>
  <c r="Q7" i="7"/>
  <c r="U7" i="7" s="1"/>
  <c r="S4" i="7"/>
  <c r="R4" i="7"/>
  <c r="Q4" i="7"/>
  <c r="S3" i="7"/>
  <c r="R3" i="7"/>
  <c r="Z3" i="7" s="1"/>
  <c r="Q3" i="7"/>
  <c r="X3" i="7" s="1"/>
  <c r="AD7" i="6"/>
  <c r="AB7" i="6"/>
  <c r="AA7" i="6"/>
  <c r="Z7" i="6"/>
  <c r="Y7" i="6"/>
  <c r="X7" i="6"/>
  <c r="AC7" i="6"/>
  <c r="AE7" i="6"/>
  <c r="AE12" i="6"/>
  <c r="AC12" i="6"/>
  <c r="Q13" i="6"/>
  <c r="R13" i="6"/>
  <c r="S13" i="6"/>
  <c r="T13" i="6"/>
  <c r="U13" i="6"/>
  <c r="Q14" i="6"/>
  <c r="R14" i="6"/>
  <c r="S14" i="6"/>
  <c r="T14" i="6"/>
  <c r="U14" i="6"/>
  <c r="Q15" i="6"/>
  <c r="U15" i="6" s="1"/>
  <c r="R15" i="6"/>
  <c r="S15" i="6"/>
  <c r="T15" i="6"/>
  <c r="S12" i="6"/>
  <c r="R12" i="6"/>
  <c r="Q12" i="6"/>
  <c r="U12" i="6" s="1"/>
  <c r="W7" i="6"/>
  <c r="Q8" i="6"/>
  <c r="T8" i="6" s="1"/>
  <c r="R8" i="6"/>
  <c r="S8" i="6"/>
  <c r="Q9" i="6"/>
  <c r="R9" i="6"/>
  <c r="S9" i="6"/>
  <c r="T9" i="6"/>
  <c r="U9" i="6"/>
  <c r="Q10" i="6"/>
  <c r="R10" i="6"/>
  <c r="S10" i="6"/>
  <c r="T10" i="6"/>
  <c r="U10" i="6"/>
  <c r="S7" i="6"/>
  <c r="R7" i="6"/>
  <c r="Q7" i="6"/>
  <c r="U7" i="6" s="1"/>
  <c r="V4" i="6"/>
  <c r="V3" i="6"/>
  <c r="AB3" i="6"/>
  <c r="AA3" i="6"/>
  <c r="Z3" i="6"/>
  <c r="Y3" i="6"/>
  <c r="X3" i="6"/>
  <c r="W3" i="6"/>
  <c r="P4" i="2"/>
  <c r="Q4" i="2"/>
  <c r="R4" i="2"/>
  <c r="P5" i="2"/>
  <c r="Q5" i="2"/>
  <c r="R5" i="2"/>
  <c r="S5" i="2" s="1"/>
  <c r="R3" i="2"/>
  <c r="Q3" i="2"/>
  <c r="P3" i="2"/>
  <c r="Q4" i="6"/>
  <c r="R4" i="6"/>
  <c r="S4" i="6"/>
  <c r="AL7" i="6"/>
  <c r="AN7" i="6"/>
  <c r="Q24" i="6"/>
  <c r="U24" i="6" s="1"/>
  <c r="R24" i="6"/>
  <c r="S24" i="6"/>
  <c r="Q25" i="6"/>
  <c r="R25" i="6"/>
  <c r="S25" i="6"/>
  <c r="Q26" i="6"/>
  <c r="T26" i="6" s="1"/>
  <c r="R26" i="6"/>
  <c r="S26" i="6"/>
  <c r="Q27" i="6"/>
  <c r="T27" i="6" s="1"/>
  <c r="R27" i="6"/>
  <c r="U27" i="6" s="1"/>
  <c r="S27" i="6"/>
  <c r="Q31" i="6"/>
  <c r="T31" i="6" s="1"/>
  <c r="AD31" i="6" s="1"/>
  <c r="R31" i="6"/>
  <c r="U31" i="6" s="1"/>
  <c r="S31" i="6"/>
  <c r="Q32" i="6"/>
  <c r="U32" i="6" s="1"/>
  <c r="R32" i="6"/>
  <c r="S32" i="6"/>
  <c r="Q33" i="6"/>
  <c r="T33" i="6" s="1"/>
  <c r="R33" i="6"/>
  <c r="S33" i="6"/>
  <c r="Q34" i="6"/>
  <c r="T34" i="6" s="1"/>
  <c r="R34" i="6"/>
  <c r="S34" i="6"/>
  <c r="Q35" i="6"/>
  <c r="U35" i="6" s="1"/>
  <c r="R35" i="6"/>
  <c r="S35" i="6"/>
  <c r="Q36" i="6"/>
  <c r="U36" i="6" s="1"/>
  <c r="R36" i="6"/>
  <c r="S36" i="6"/>
  <c r="S3" i="6"/>
  <c r="R3" i="6"/>
  <c r="Q3" i="6"/>
  <c r="AC11" i="2" l="1"/>
  <c r="AB10" i="2"/>
  <c r="AC10" i="2" s="1"/>
  <c r="AB11" i="2"/>
  <c r="AB3" i="2"/>
  <c r="AB5" i="2"/>
  <c r="AC5" i="2" s="1"/>
  <c r="S4" i="2"/>
  <c r="S3" i="2"/>
  <c r="AB4" i="2"/>
  <c r="AC4" i="2" s="1"/>
  <c r="AB3" i="7"/>
  <c r="T4" i="7"/>
  <c r="Z7" i="7"/>
  <c r="U8" i="7"/>
  <c r="T10" i="7"/>
  <c r="W7" i="7"/>
  <c r="U10" i="7"/>
  <c r="AB7" i="7"/>
  <c r="AC24" i="7"/>
  <c r="AD24" i="7"/>
  <c r="V24" i="7"/>
  <c r="X7" i="7"/>
  <c r="Y7" i="7"/>
  <c r="AA7" i="7"/>
  <c r="U14" i="7"/>
  <c r="T12" i="7"/>
  <c r="U27" i="7"/>
  <c r="V27" i="7" s="1"/>
  <c r="U32" i="7"/>
  <c r="V32" i="7" s="1"/>
  <c r="T35" i="7"/>
  <c r="V35" i="7" s="1"/>
  <c r="U4" i="7"/>
  <c r="V4" i="7" s="1"/>
  <c r="W3" i="7"/>
  <c r="T33" i="7"/>
  <c r="V33" i="7" s="1"/>
  <c r="T36" i="7"/>
  <c r="V36" i="7" s="1"/>
  <c r="T8" i="7"/>
  <c r="T3" i="7"/>
  <c r="U3" i="7"/>
  <c r="T9" i="7"/>
  <c r="T15" i="7"/>
  <c r="T25" i="7"/>
  <c r="V25" i="7" s="1"/>
  <c r="T31" i="7"/>
  <c r="Y3" i="7"/>
  <c r="T7" i="7"/>
  <c r="T13" i="7"/>
  <c r="AA3" i="7"/>
  <c r="T12" i="6"/>
  <c r="U8" i="6"/>
  <c r="T7" i="6"/>
  <c r="U3" i="6"/>
  <c r="T32" i="6"/>
  <c r="V32" i="6" s="1"/>
  <c r="U34" i="6"/>
  <c r="V34" i="6" s="1"/>
  <c r="AI7" i="6"/>
  <c r="U26" i="6"/>
  <c r="V26" i="6" s="1"/>
  <c r="T25" i="6"/>
  <c r="U33" i="6"/>
  <c r="T24" i="6"/>
  <c r="AC31" i="6"/>
  <c r="T4" i="6"/>
  <c r="T3" i="6"/>
  <c r="V27" i="6"/>
  <c r="AJ7" i="6"/>
  <c r="AK7" i="6"/>
  <c r="V33" i="6"/>
  <c r="V24" i="6"/>
  <c r="AM7" i="6"/>
  <c r="V31" i="6"/>
  <c r="T36" i="6"/>
  <c r="V36" i="6" s="1"/>
  <c r="T35" i="6"/>
  <c r="V35" i="6" s="1"/>
  <c r="U25" i="6"/>
  <c r="U4" i="6"/>
  <c r="AC3" i="2" l="1"/>
  <c r="AD31" i="7"/>
  <c r="AC31" i="7"/>
  <c r="V31" i="7"/>
  <c r="AC7" i="7"/>
  <c r="AD7" i="7"/>
  <c r="AE24" i="7"/>
  <c r="AF24" i="7"/>
  <c r="V3" i="7"/>
  <c r="AD3" i="7"/>
  <c r="AC3" i="7"/>
  <c r="V25" i="6"/>
  <c r="AC24" i="6"/>
  <c r="AD24" i="6"/>
  <c r="AD3" i="6"/>
  <c r="AC3" i="6"/>
  <c r="AF31" i="6"/>
  <c r="AE31" i="6"/>
  <c r="AE24" i="6"/>
  <c r="AF24" i="6"/>
  <c r="AF3" i="7" l="1"/>
  <c r="AE3" i="7"/>
  <c r="AF7" i="7"/>
  <c r="AE7" i="7"/>
  <c r="AF31" i="7"/>
  <c r="AE31" i="7"/>
  <c r="AE3" i="6"/>
  <c r="AF3" i="6"/>
</calcChain>
</file>

<file path=xl/sharedStrings.xml><?xml version="1.0" encoding="utf-8"?>
<sst xmlns="http://schemas.openxmlformats.org/spreadsheetml/2006/main" count="122" uniqueCount="44">
  <si>
    <t>Dati originali</t>
  </si>
  <si>
    <t>ERR</t>
  </si>
  <si>
    <t>STD</t>
  </si>
  <si>
    <t>NOAUG</t>
  </si>
  <si>
    <t>CULTURE0</t>
  </si>
  <si>
    <t>ERR0</t>
  </si>
  <si>
    <t>STD0</t>
  </si>
  <si>
    <t>ERR1</t>
  </si>
  <si>
    <t>STD1</t>
  </si>
  <si>
    <t>ERR2</t>
  </si>
  <si>
    <t>STD2</t>
  </si>
  <si>
    <t>COPIO LE COSE QUI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</si>
  <si>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</si>
  <si>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</si>
  <si>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</si>
  <si>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</si>
  <si>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</si>
  <si>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</si>
  <si>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</si>
  <si>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</si>
  <si>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</si>
  <si>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c0</t>
  </si>
  <si>
    <t>c1</t>
  </si>
  <si>
    <t>c2</t>
  </si>
  <si>
    <t>ERR_0_i</t>
  </si>
  <si>
    <t>ERR_1_i</t>
  </si>
  <si>
    <t>ERR_2_i</t>
  </si>
  <si>
    <t>LIST of Best ERR 10%</t>
  </si>
  <si>
    <t>LIST of BEST ERR 20%</t>
  </si>
  <si>
    <t>n=5 -&gt; 0.5 -&gt; 1</t>
  </si>
  <si>
    <t>n=5 -&gt; 1 -&gt; 1</t>
  </si>
  <si>
    <t>eps=0.003</t>
  </si>
  <si>
    <t>ADV</t>
  </si>
  <si>
    <t>ERR0_STD</t>
  </si>
  <si>
    <t>ERR1_STD</t>
  </si>
  <si>
    <t>ERR2_STD</t>
  </si>
  <si>
    <t>CLSDIV</t>
  </si>
  <si>
    <t>NOCLSDIV</t>
  </si>
  <si>
    <t>ERR_0</t>
  </si>
  <si>
    <t>ERR_1</t>
  </si>
  <si>
    <t>ERR_2</t>
  </si>
  <si>
    <t>ep=0.0001</t>
  </si>
  <si>
    <t>ep=0.01</t>
  </si>
  <si>
    <t>ep=0.1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</si>
</sst>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E2" sqref="E2:N7"/>
    </sheetView>
  </sheetViews>
  <sheetFormatPr defaultRowHeight="14.4" x14ac:dyDescent="0.3"/>
  <cols>
    <col min="1" max="1" width="9.88671875" customWidth="1"/>
  </cols>
  <sheetData>
    <row r="1" spans="1:14" x14ac:dyDescent="0.3">
      <c r="A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</v>
      </c>
      <c r="L1" t="s">
        <v>17</v>
      </c>
      <c r="M1" t="s">
        <v>19</v>
      </c>
      <c r="N1" t="s">
        <v>20</v>
      </c>
    </row>
    <row r="2" spans="1:14" x14ac:dyDescent="0.3">
      <c r="B2" t="s">
        <v>3</v>
      </c>
      <c r="E2" s="1">
        <v>28.055555555555557</v>
      </c>
      <c r="F2" s="1">
        <v>2.4930458836085987</v>
      </c>
      <c r="G2" s="1">
        <v>13.666666666666666</v>
      </c>
      <c r="H2" s="1">
        <v>2.3048861143232218</v>
      </c>
      <c r="I2" s="1">
        <v>37.444444444444443</v>
      </c>
      <c r="J2" s="1">
        <v>1.7579185924774154</v>
      </c>
      <c r="K2" s="1">
        <v>26.388888888888893</v>
      </c>
      <c r="L2" s="1">
        <v>1.5701203067847307</v>
      </c>
      <c r="M2" s="1">
        <v>12.722222222222221</v>
      </c>
      <c r="N2" s="1">
        <v>1.8503002759312106</v>
      </c>
    </row>
    <row r="3" spans="1:14" x14ac:dyDescent="0.3">
      <c r="B3" t="s">
        <v>32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C4" t="s">
        <v>36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D5" t="s">
        <v>42</v>
      </c>
      <c r="E5" s="1">
        <v>26.625</v>
      </c>
      <c r="F5" s="1">
        <v>3.1721443851123801</v>
      </c>
      <c r="G5" s="1">
        <v>11.625</v>
      </c>
      <c r="H5" s="1">
        <v>2.7801378862687129</v>
      </c>
      <c r="I5" s="1">
        <v>38.375</v>
      </c>
      <c r="J5" s="1">
        <v>1.8874586088176875</v>
      </c>
      <c r="K5" s="1">
        <v>25.541666666666668</v>
      </c>
      <c r="L5" s="1">
        <v>1.8327019114674095</v>
      </c>
      <c r="M5" s="1">
        <v>13.916666666666668</v>
      </c>
      <c r="N5" s="1">
        <v>0.9670497325294003</v>
      </c>
    </row>
    <row r="6" spans="1:14" x14ac:dyDescent="0.3">
      <c r="C6" t="s">
        <v>37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D7" t="s">
        <v>41</v>
      </c>
      <c r="E7" s="1">
        <v>23.25</v>
      </c>
      <c r="F7" s="1">
        <v>6.7175144212722016</v>
      </c>
      <c r="G7" s="1">
        <v>15.25</v>
      </c>
      <c r="H7" s="1">
        <v>1.0606601717798212</v>
      </c>
      <c r="I7" s="1">
        <v>39.25</v>
      </c>
      <c r="J7" s="1">
        <v>0.35355339059327379</v>
      </c>
      <c r="K7" s="1">
        <v>25.916666666666664</v>
      </c>
      <c r="L7" s="1">
        <v>2.7105759945484316</v>
      </c>
      <c r="M7" s="1">
        <v>10.666666666666666</v>
      </c>
      <c r="N7" s="1">
        <v>1.6499158227686042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2D8A-1A23-4CF3-9872-DA5B576CDAF9}">
  <dimension ref="A1:AR36"/>
  <sheetViews>
    <sheetView topLeftCell="O1" workbookViewId="0">
      <selection activeCell="W15" sqref="W15:AF15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44" x14ac:dyDescent="0.3">
      <c r="A1" t="s">
        <v>41</v>
      </c>
    </row>
    <row r="2" spans="1:44" x14ac:dyDescent="0.3">
      <c r="A2" t="s">
        <v>21</v>
      </c>
      <c r="F2" t="s">
        <v>22</v>
      </c>
      <c r="K2" t="s">
        <v>23</v>
      </c>
      <c r="Q2" t="s">
        <v>24</v>
      </c>
      <c r="R2" t="s">
        <v>25</v>
      </c>
      <c r="S2" t="s">
        <v>26</v>
      </c>
      <c r="T2" t="s">
        <v>16</v>
      </c>
      <c r="U2" t="s">
        <v>18</v>
      </c>
      <c r="V2" t="s">
        <v>15</v>
      </c>
      <c r="W2" t="s">
        <v>5</v>
      </c>
      <c r="X2" t="s">
        <v>33</v>
      </c>
      <c r="Y2" t="s">
        <v>7</v>
      </c>
      <c r="Z2" t="s">
        <v>34</v>
      </c>
      <c r="AA2" t="s">
        <v>9</v>
      </c>
      <c r="AB2" t="s">
        <v>35</v>
      </c>
      <c r="AC2" t="s">
        <v>1</v>
      </c>
      <c r="AD2" t="s">
        <v>17</v>
      </c>
      <c r="AE2" t="s">
        <v>19</v>
      </c>
      <c r="AF2" t="s">
        <v>20</v>
      </c>
      <c r="AH2" t="s">
        <v>27</v>
      </c>
      <c r="AI2" t="s">
        <v>1</v>
      </c>
      <c r="AJ2" t="s">
        <v>19</v>
      </c>
      <c r="AL2" t="s">
        <v>28</v>
      </c>
      <c r="AM2" t="s">
        <v>1</v>
      </c>
      <c r="AN2" t="s">
        <v>19</v>
      </c>
    </row>
    <row r="3" spans="1:44" x14ac:dyDescent="0.3">
      <c r="B3">
        <v>89</v>
      </c>
      <c r="C3">
        <v>11</v>
      </c>
      <c r="D3">
        <v>26</v>
      </c>
      <c r="E3">
        <v>74</v>
      </c>
      <c r="G3">
        <v>85</v>
      </c>
      <c r="H3">
        <v>15</v>
      </c>
      <c r="I3">
        <v>14</v>
      </c>
      <c r="J3">
        <v>86</v>
      </c>
      <c r="L3">
        <v>71</v>
      </c>
      <c r="M3">
        <v>29</v>
      </c>
      <c r="N3">
        <v>49</v>
      </c>
      <c r="O3">
        <v>51</v>
      </c>
      <c r="Q3">
        <f>AVERAGE(C3,D3)</f>
        <v>18.5</v>
      </c>
      <c r="R3">
        <f>AVERAGE(H3,I3)</f>
        <v>14.5</v>
      </c>
      <c r="S3">
        <f>AVERAGE(M3,N3)</f>
        <v>39</v>
      </c>
      <c r="T3">
        <f>AVERAGE(Q3:S3)</f>
        <v>24</v>
      </c>
      <c r="U3">
        <f>MIN(Q3:S3)</f>
        <v>14.5</v>
      </c>
      <c r="V3">
        <f>(T3-U3)</f>
        <v>9.5</v>
      </c>
      <c r="W3">
        <f>AVERAGE(Q3:Q4)</f>
        <v>23.25</v>
      </c>
      <c r="X3">
        <f>_xlfn.STDEV.S(Q3:Q4)</f>
        <v>6.7175144212722016</v>
      </c>
      <c r="Y3">
        <f>AVERAGE(R3:R4)</f>
        <v>15.25</v>
      </c>
      <c r="Z3">
        <f>_xlfn.STDEV.S(R3:R4)</f>
        <v>1.0606601717798212</v>
      </c>
      <c r="AA3">
        <f>AVERAGE(S3:S4)</f>
        <v>39.25</v>
      </c>
      <c r="AB3">
        <f>_xlfn.STDEV.S(S3:S4)</f>
        <v>0.35355339059327379</v>
      </c>
      <c r="AC3">
        <f>AVERAGE(T3:T6)</f>
        <v>25.916666666666664</v>
      </c>
      <c r="AD3">
        <f>_xlfn.STDEV.S(T3:T6)</f>
        <v>2.7105759945484316</v>
      </c>
      <c r="AE3">
        <f>AVERAGE(V3:V6)</f>
        <v>10.666666666666666</v>
      </c>
      <c r="AF3">
        <f>_xlfn.STDEV.S(V3:V6)</f>
        <v>1.6499158227686042</v>
      </c>
      <c r="AH3" t="s">
        <v>29</v>
      </c>
      <c r="AL3" t="s">
        <v>30</v>
      </c>
    </row>
    <row r="4" spans="1:44" x14ac:dyDescent="0.3">
      <c r="B4">
        <v>78</v>
      </c>
      <c r="C4">
        <v>22</v>
      </c>
      <c r="D4">
        <v>34</v>
      </c>
      <c r="E4">
        <v>66</v>
      </c>
      <c r="G4">
        <v>76</v>
      </c>
      <c r="H4">
        <v>24</v>
      </c>
      <c r="I4">
        <v>8</v>
      </c>
      <c r="J4">
        <v>92</v>
      </c>
      <c r="L4">
        <v>79</v>
      </c>
      <c r="M4">
        <v>21</v>
      </c>
      <c r="N4">
        <v>58</v>
      </c>
      <c r="O4">
        <v>42</v>
      </c>
      <c r="Q4">
        <f t="shared" ref="Q4:Q27" si="0">AVERAGE(C4,D4)</f>
        <v>28</v>
      </c>
      <c r="R4">
        <f t="shared" ref="R4:R27" si="1">AVERAGE(H4,I4)</f>
        <v>16</v>
      </c>
      <c r="S4">
        <f t="shared" ref="S4:S27" si="2">AVERAGE(M4,N4)</f>
        <v>39.5</v>
      </c>
      <c r="T4">
        <f t="shared" ref="T4:T27" si="3">AVERAGE(Q4:S4)</f>
        <v>27.833333333333332</v>
      </c>
      <c r="U4">
        <f t="shared" ref="U4:U27" si="4">MIN(Q4:S4)</f>
        <v>16</v>
      </c>
      <c r="V4">
        <f>(T4-U4)</f>
        <v>11.833333333333332</v>
      </c>
      <c r="AH4" t="s">
        <v>31</v>
      </c>
      <c r="AI4">
        <v>28.041666666666668</v>
      </c>
      <c r="AJ4">
        <v>2.5972222222222219</v>
      </c>
      <c r="AL4" t="s">
        <v>31</v>
      </c>
      <c r="AM4">
        <v>28.041666666666668</v>
      </c>
      <c r="AN4">
        <v>2.5972222222222219</v>
      </c>
    </row>
    <row r="6" spans="1:44" x14ac:dyDescent="0.3">
      <c r="A6" t="s">
        <v>42</v>
      </c>
      <c r="AI6" t="s">
        <v>5</v>
      </c>
      <c r="AJ6" t="s">
        <v>33</v>
      </c>
      <c r="AK6" t="s">
        <v>7</v>
      </c>
      <c r="AL6" t="s">
        <v>34</v>
      </c>
      <c r="AM6" t="s">
        <v>9</v>
      </c>
      <c r="AN6" t="s">
        <v>35</v>
      </c>
      <c r="AO6" t="s">
        <v>1</v>
      </c>
      <c r="AP6" t="s">
        <v>17</v>
      </c>
      <c r="AQ6" t="s">
        <v>19</v>
      </c>
      <c r="AR6" t="s">
        <v>20</v>
      </c>
    </row>
    <row r="7" spans="1:44" x14ac:dyDescent="0.3">
      <c r="B7">
        <v>77</v>
      </c>
      <c r="C7">
        <v>23</v>
      </c>
      <c r="D7">
        <v>33</v>
      </c>
      <c r="E7">
        <v>67</v>
      </c>
      <c r="G7">
        <v>82</v>
      </c>
      <c r="H7">
        <v>18</v>
      </c>
      <c r="I7">
        <v>10</v>
      </c>
      <c r="J7">
        <v>90</v>
      </c>
      <c r="L7">
        <v>59</v>
      </c>
      <c r="M7">
        <v>41</v>
      </c>
      <c r="N7">
        <v>61</v>
      </c>
      <c r="O7">
        <v>39</v>
      </c>
      <c r="Q7">
        <f t="shared" ref="Q7:Q10" si="5">AVERAGE(C7,D7)</f>
        <v>28</v>
      </c>
      <c r="R7">
        <f t="shared" ref="R7:R10" si="6">AVERAGE(H7,I7)</f>
        <v>14</v>
      </c>
      <c r="S7">
        <f t="shared" ref="S7:S10" si="7">AVERAGE(M7,N7)</f>
        <v>51</v>
      </c>
      <c r="T7">
        <f t="shared" ref="T7:T10" si="8">AVERAGE(Q7:S7)</f>
        <v>31</v>
      </c>
      <c r="U7">
        <f t="shared" ref="U7:U10" si="9">MIN(Q7:S7)</f>
        <v>14</v>
      </c>
      <c r="V7">
        <f>(T7-U7)</f>
        <v>17</v>
      </c>
      <c r="W7">
        <f>AVERAGE(Q7:Q10)</f>
        <v>27.125</v>
      </c>
      <c r="X7">
        <f>_xlfn.STDEV.S(Q7:Q10)</f>
        <v>3.0103986446980739</v>
      </c>
      <c r="Y7">
        <f>AVERAGE(R7:R10)</f>
        <v>11.875</v>
      </c>
      <c r="Z7">
        <f>_xlfn.STDEV.S(R7:R10)</f>
        <v>1.6520189667999174</v>
      </c>
      <c r="AA7">
        <f>AVERAGE(S7:S10)</f>
        <v>42.5</v>
      </c>
      <c r="AB7">
        <f>_xlfn.STDEV.S(S7:S10)</f>
        <v>5.9581876439064922</v>
      </c>
      <c r="AC7">
        <f>AVERAGE(T7:T10)</f>
        <v>27.166666666666668</v>
      </c>
      <c r="AD7">
        <f>_xlfn.STDEV.S(T7:T10)</f>
        <v>2.8771127502720115</v>
      </c>
      <c r="AE7">
        <f>AVERAGE(V7:V10)</f>
        <v>15.291666666666668</v>
      </c>
      <c r="AF7">
        <f>_xlfn.STDEV.S(V7:V10)</f>
        <v>2.381934321326062</v>
      </c>
      <c r="AH7" t="s">
        <v>31</v>
      </c>
      <c r="AI7" t="e">
        <f>AVERAGE(Q17:Q20)</f>
        <v>#DIV/0!</v>
      </c>
      <c r="AJ7" t="e">
        <f>_xlfn.STDEV.S(Q17:Q20)</f>
        <v>#DIV/0!</v>
      </c>
      <c r="AK7" t="e">
        <f>AVERAGE(R17:R20)</f>
        <v>#DIV/0!</v>
      </c>
      <c r="AL7" t="e">
        <f>_xlfn.STDEV.S(R17:R20)</f>
        <v>#DIV/0!</v>
      </c>
      <c r="AM7" t="e">
        <f>AVERAGE(S17:S20)</f>
        <v>#DIV/0!</v>
      </c>
      <c r="AN7" t="e">
        <f>_xlfn.STDEV.S(S17:S20)</f>
        <v>#DIV/0!</v>
      </c>
      <c r="AO7">
        <v>28.041666666666668</v>
      </c>
      <c r="AP7">
        <v>3.0103986446980731</v>
      </c>
      <c r="AQ7">
        <v>2.5972222222222219</v>
      </c>
      <c r="AR7">
        <v>0.62915286960589489</v>
      </c>
    </row>
    <row r="8" spans="1:44" x14ac:dyDescent="0.3">
      <c r="B8">
        <v>76</v>
      </c>
      <c r="C8">
        <v>24</v>
      </c>
      <c r="D8">
        <v>26</v>
      </c>
      <c r="E8">
        <v>74</v>
      </c>
      <c r="G8">
        <v>83</v>
      </c>
      <c r="H8">
        <v>17</v>
      </c>
      <c r="I8">
        <v>7</v>
      </c>
      <c r="J8">
        <v>93</v>
      </c>
      <c r="L8">
        <v>64</v>
      </c>
      <c r="M8">
        <v>36</v>
      </c>
      <c r="N8">
        <v>43</v>
      </c>
      <c r="O8">
        <v>57</v>
      </c>
      <c r="Q8">
        <f t="shared" si="5"/>
        <v>25</v>
      </c>
      <c r="R8">
        <f t="shared" si="6"/>
        <v>12</v>
      </c>
      <c r="S8">
        <f t="shared" si="7"/>
        <v>39.5</v>
      </c>
      <c r="T8">
        <f t="shared" si="8"/>
        <v>25.5</v>
      </c>
      <c r="U8">
        <f t="shared" si="9"/>
        <v>12</v>
      </c>
      <c r="V8">
        <f t="shared" ref="V8:V15" si="10">(T8-U8)</f>
        <v>13.5</v>
      </c>
    </row>
    <row r="9" spans="1:44" x14ac:dyDescent="0.3">
      <c r="B9">
        <v>75</v>
      </c>
      <c r="C9">
        <v>25</v>
      </c>
      <c r="D9">
        <v>37</v>
      </c>
      <c r="E9">
        <v>63</v>
      </c>
      <c r="G9">
        <v>86</v>
      </c>
      <c r="H9">
        <v>14</v>
      </c>
      <c r="I9">
        <v>6</v>
      </c>
      <c r="J9">
        <v>94</v>
      </c>
      <c r="L9">
        <v>72</v>
      </c>
      <c r="M9">
        <v>28</v>
      </c>
      <c r="N9">
        <v>56</v>
      </c>
      <c r="O9">
        <v>44</v>
      </c>
      <c r="Q9">
        <f t="shared" si="5"/>
        <v>31</v>
      </c>
      <c r="R9">
        <f t="shared" si="6"/>
        <v>10</v>
      </c>
      <c r="S9">
        <f t="shared" si="7"/>
        <v>42</v>
      </c>
      <c r="T9">
        <f t="shared" si="8"/>
        <v>27.666666666666668</v>
      </c>
      <c r="U9">
        <f t="shared" si="9"/>
        <v>10</v>
      </c>
      <c r="V9">
        <f t="shared" si="10"/>
        <v>17.666666666666668</v>
      </c>
    </row>
    <row r="10" spans="1:44" x14ac:dyDescent="0.3">
      <c r="B10">
        <v>81</v>
      </c>
      <c r="C10">
        <v>19</v>
      </c>
      <c r="D10">
        <v>30</v>
      </c>
      <c r="E10">
        <v>70</v>
      </c>
      <c r="G10">
        <v>84</v>
      </c>
      <c r="H10">
        <v>16</v>
      </c>
      <c r="I10">
        <v>7</v>
      </c>
      <c r="J10">
        <v>93</v>
      </c>
      <c r="L10">
        <v>77</v>
      </c>
      <c r="M10">
        <v>23</v>
      </c>
      <c r="N10">
        <v>52</v>
      </c>
      <c r="O10">
        <v>48</v>
      </c>
      <c r="Q10">
        <f t="shared" si="5"/>
        <v>24.5</v>
      </c>
      <c r="R10">
        <f t="shared" si="6"/>
        <v>11.5</v>
      </c>
      <c r="S10">
        <f t="shared" si="7"/>
        <v>37.5</v>
      </c>
      <c r="T10">
        <f t="shared" si="8"/>
        <v>24.5</v>
      </c>
      <c r="U10">
        <f t="shared" si="9"/>
        <v>11.5</v>
      </c>
      <c r="V10">
        <f t="shared" si="10"/>
        <v>13</v>
      </c>
    </row>
    <row r="11" spans="1:44" x14ac:dyDescent="0.3">
      <c r="A11" t="s">
        <v>43</v>
      </c>
    </row>
    <row r="12" spans="1:44" x14ac:dyDescent="0.3">
      <c r="B12">
        <v>80</v>
      </c>
      <c r="C12">
        <v>20</v>
      </c>
      <c r="D12">
        <v>39</v>
      </c>
      <c r="E12">
        <v>61</v>
      </c>
      <c r="G12">
        <v>89</v>
      </c>
      <c r="H12">
        <v>11</v>
      </c>
      <c r="I12">
        <v>7</v>
      </c>
      <c r="J12">
        <v>93</v>
      </c>
      <c r="L12">
        <v>71</v>
      </c>
      <c r="M12">
        <v>29</v>
      </c>
      <c r="N12">
        <v>59</v>
      </c>
      <c r="O12">
        <v>41</v>
      </c>
      <c r="Q12">
        <f t="shared" ref="Q12:Q15" si="11">AVERAGE(C12,D12)</f>
        <v>29.5</v>
      </c>
      <c r="R12">
        <f t="shared" ref="R12:R15" si="12">AVERAGE(H12,I12)</f>
        <v>9</v>
      </c>
      <c r="S12">
        <f t="shared" ref="S12:S15" si="13">AVERAGE(M12,N12)</f>
        <v>44</v>
      </c>
      <c r="T12">
        <f t="shared" ref="T12:T15" si="14">AVERAGE(Q12:S12)</f>
        <v>27.5</v>
      </c>
      <c r="U12">
        <f t="shared" ref="U12:U15" si="15">MIN(Q12:S12)</f>
        <v>9</v>
      </c>
      <c r="V12">
        <f t="shared" si="10"/>
        <v>18.5</v>
      </c>
      <c r="W12">
        <f>AVERAGE(Q12:Q15)</f>
        <v>26.625</v>
      </c>
      <c r="X12">
        <f>_xlfn.STDEV.S(Q12:Q15)</f>
        <v>2.2867371223353739</v>
      </c>
      <c r="Y12">
        <f>AVERAGE(R12:R15)</f>
        <v>13</v>
      </c>
      <c r="Z12">
        <f>_xlfn.STDEV.S(R12:R15)</f>
        <v>3.1622776601683795</v>
      </c>
      <c r="AA12">
        <f>AVERAGE(S12:S15)</f>
        <v>41.125</v>
      </c>
      <c r="AB12">
        <f>_xlfn.STDEV.S(S12:S15)</f>
        <v>3.966001344763598</v>
      </c>
      <c r="AC12">
        <f>AVERAGE(T12:T15)</f>
        <v>26.916666666666668</v>
      </c>
      <c r="AD12">
        <f>_xlfn.STDEV.S(T12:T15)</f>
        <v>1.4813657362192647</v>
      </c>
      <c r="AE12">
        <f>AVERAGE(V12:V15)</f>
        <v>13.916666666666668</v>
      </c>
      <c r="AF12">
        <f>_xlfn.STDEV.S(V12:V15)</f>
        <v>3.2956199888808611</v>
      </c>
    </row>
    <row r="13" spans="1:44" x14ac:dyDescent="0.3">
      <c r="B13">
        <v>81</v>
      </c>
      <c r="C13">
        <v>19</v>
      </c>
      <c r="D13">
        <v>33</v>
      </c>
      <c r="E13">
        <v>67</v>
      </c>
      <c r="G13">
        <v>79</v>
      </c>
      <c r="H13">
        <v>21</v>
      </c>
      <c r="I13">
        <v>9</v>
      </c>
      <c r="J13">
        <v>91</v>
      </c>
      <c r="L13">
        <v>66</v>
      </c>
      <c r="M13">
        <v>34</v>
      </c>
      <c r="N13">
        <v>55</v>
      </c>
      <c r="O13">
        <v>45</v>
      </c>
      <c r="Q13">
        <f t="shared" si="11"/>
        <v>26</v>
      </c>
      <c r="R13">
        <f t="shared" si="12"/>
        <v>15</v>
      </c>
      <c r="S13">
        <f t="shared" si="13"/>
        <v>44.5</v>
      </c>
      <c r="T13">
        <f t="shared" si="14"/>
        <v>28.5</v>
      </c>
      <c r="U13">
        <f t="shared" si="15"/>
        <v>15</v>
      </c>
      <c r="V13">
        <f t="shared" si="10"/>
        <v>13.5</v>
      </c>
    </row>
    <row r="14" spans="1:44" x14ac:dyDescent="0.3">
      <c r="B14">
        <v>77</v>
      </c>
      <c r="C14">
        <v>23</v>
      </c>
      <c r="D14">
        <v>25</v>
      </c>
      <c r="E14">
        <v>75</v>
      </c>
      <c r="G14">
        <v>79</v>
      </c>
      <c r="H14">
        <v>21</v>
      </c>
      <c r="I14">
        <v>11</v>
      </c>
      <c r="J14">
        <v>89</v>
      </c>
      <c r="L14">
        <v>63</v>
      </c>
      <c r="M14">
        <v>37</v>
      </c>
      <c r="N14">
        <v>43</v>
      </c>
      <c r="O14">
        <v>57</v>
      </c>
      <c r="Q14">
        <f t="shared" si="11"/>
        <v>24</v>
      </c>
      <c r="R14">
        <f t="shared" si="12"/>
        <v>16</v>
      </c>
      <c r="S14">
        <f t="shared" si="13"/>
        <v>40</v>
      </c>
      <c r="T14">
        <f t="shared" si="14"/>
        <v>26.666666666666668</v>
      </c>
      <c r="U14">
        <f t="shared" si="15"/>
        <v>16</v>
      </c>
      <c r="V14">
        <f t="shared" si="10"/>
        <v>10.666666666666668</v>
      </c>
    </row>
    <row r="15" spans="1:44" x14ac:dyDescent="0.3">
      <c r="B15">
        <v>88</v>
      </c>
      <c r="C15">
        <v>12</v>
      </c>
      <c r="D15">
        <v>42</v>
      </c>
      <c r="E15">
        <v>58</v>
      </c>
      <c r="G15">
        <v>85</v>
      </c>
      <c r="H15">
        <v>15</v>
      </c>
      <c r="I15">
        <v>9</v>
      </c>
      <c r="J15">
        <v>91</v>
      </c>
      <c r="L15">
        <v>71</v>
      </c>
      <c r="M15">
        <v>29</v>
      </c>
      <c r="N15">
        <v>43</v>
      </c>
      <c r="O15">
        <v>57</v>
      </c>
      <c r="Q15">
        <f t="shared" si="11"/>
        <v>27</v>
      </c>
      <c r="R15">
        <f t="shared" si="12"/>
        <v>12</v>
      </c>
      <c r="S15">
        <f t="shared" si="13"/>
        <v>36</v>
      </c>
      <c r="T15">
        <f t="shared" si="14"/>
        <v>25</v>
      </c>
      <c r="U15">
        <f t="shared" si="15"/>
        <v>12</v>
      </c>
      <c r="V15">
        <f t="shared" si="10"/>
        <v>13</v>
      </c>
    </row>
    <row r="24" spans="17:32" x14ac:dyDescent="0.3">
      <c r="Q24" t="e">
        <f t="shared" si="0"/>
        <v>#DIV/0!</v>
      </c>
      <c r="R24" t="e">
        <f t="shared" si="1"/>
        <v>#DIV/0!</v>
      </c>
      <c r="S24" t="e">
        <f t="shared" si="2"/>
        <v>#DIV/0!</v>
      </c>
      <c r="T24" t="e">
        <f t="shared" si="3"/>
        <v>#DIV/0!</v>
      </c>
      <c r="U24" t="e">
        <f t="shared" si="4"/>
        <v>#DIV/0!</v>
      </c>
      <c r="V24" t="e">
        <f>(1/3)*(T24-U24)</f>
        <v>#DIV/0!</v>
      </c>
      <c r="AC24" t="e">
        <f>AVERAGE(T24:T27)</f>
        <v>#DIV/0!</v>
      </c>
      <c r="AD24" t="e">
        <f>_xlfn.STDEV.S(T24:T27)</f>
        <v>#DIV/0!</v>
      </c>
      <c r="AE24" t="e">
        <f>AVERAGE(V24:V27)</f>
        <v>#DIV/0!</v>
      </c>
      <c r="AF24" t="e">
        <f>_xlfn.STDEV.S(V24:V27)</f>
        <v>#DIV/0!</v>
      </c>
    </row>
    <row r="25" spans="17:32" x14ac:dyDescent="0.3">
      <c r="Q25" t="e">
        <f t="shared" si="0"/>
        <v>#DIV/0!</v>
      </c>
      <c r="R25" t="e">
        <f t="shared" si="1"/>
        <v>#DIV/0!</v>
      </c>
      <c r="S25" t="e">
        <f t="shared" si="2"/>
        <v>#DIV/0!</v>
      </c>
      <c r="T25" t="e">
        <f t="shared" si="3"/>
        <v>#DIV/0!</v>
      </c>
      <c r="U25" t="e">
        <f t="shared" si="4"/>
        <v>#DIV/0!</v>
      </c>
      <c r="V25" t="e">
        <f>(1/3)*(T25-U25)</f>
        <v>#DIV/0!</v>
      </c>
    </row>
    <row r="26" spans="17:32" x14ac:dyDescent="0.3">
      <c r="Q26" t="e">
        <f t="shared" si="0"/>
        <v>#DIV/0!</v>
      </c>
      <c r="R26" t="e">
        <f t="shared" si="1"/>
        <v>#DIV/0!</v>
      </c>
      <c r="S26" t="e">
        <f t="shared" si="2"/>
        <v>#DIV/0!</v>
      </c>
      <c r="T26" t="e">
        <f t="shared" si="3"/>
        <v>#DIV/0!</v>
      </c>
      <c r="U26" t="e">
        <f t="shared" si="4"/>
        <v>#DIV/0!</v>
      </c>
      <c r="V26" t="e">
        <f>(1/3)*(T26-U26)</f>
        <v>#DIV/0!</v>
      </c>
    </row>
    <row r="27" spans="17:32" x14ac:dyDescent="0.3">
      <c r="Q27" t="e">
        <f t="shared" si="0"/>
        <v>#DIV/0!</v>
      </c>
      <c r="R27" t="e">
        <f t="shared" si="1"/>
        <v>#DIV/0!</v>
      </c>
      <c r="S27" t="e">
        <f t="shared" si="2"/>
        <v>#DIV/0!</v>
      </c>
      <c r="T27" t="e">
        <f t="shared" si="3"/>
        <v>#DIV/0!</v>
      </c>
      <c r="U27" t="e">
        <f t="shared" si="4"/>
        <v>#DIV/0!</v>
      </c>
      <c r="V27" t="e">
        <f>(1/3)*(T27-U27)</f>
        <v>#DIV/0!</v>
      </c>
    </row>
    <row r="31" spans="17:32" x14ac:dyDescent="0.3">
      <c r="Q31" t="e">
        <f t="shared" ref="Q31:Q36" si="16">AVERAGE(C31,D31)</f>
        <v>#DIV/0!</v>
      </c>
      <c r="R31" t="e">
        <f t="shared" ref="R31:R36" si="17">AVERAGE(H31,I31)</f>
        <v>#DIV/0!</v>
      </c>
      <c r="S31" t="e">
        <f t="shared" ref="S31:S36" si="18">AVERAGE(M31,N31)</f>
        <v>#DIV/0!</v>
      </c>
      <c r="T31" t="e">
        <f t="shared" ref="T31:T36" si="19">AVERAGE(Q31:S31)</f>
        <v>#DIV/0!</v>
      </c>
      <c r="U31" t="e">
        <f t="shared" ref="U31:U36" si="20">MIN(Q31:S31)</f>
        <v>#DIV/0!</v>
      </c>
      <c r="V31" t="e">
        <f t="shared" ref="V31:V36" si="21">(1/3)*(T31-U31)</f>
        <v>#DIV/0!</v>
      </c>
      <c r="AC31" t="e">
        <f>AVERAGE(T31:T36)</f>
        <v>#DIV/0!</v>
      </c>
      <c r="AD31" t="e">
        <f>_xlfn.STDEV.S(T31:T36)</f>
        <v>#DIV/0!</v>
      </c>
      <c r="AE31" t="e">
        <f>AVERAGE(V31:V36)</f>
        <v>#DIV/0!</v>
      </c>
      <c r="AF31" t="e">
        <f>_xlfn.STDEV.S(V31:V36)</f>
        <v>#DIV/0!</v>
      </c>
    </row>
    <row r="32" spans="17:32" x14ac:dyDescent="0.3">
      <c r="Q32" t="e">
        <f t="shared" si="16"/>
        <v>#DIV/0!</v>
      </c>
      <c r="R32" t="e">
        <f t="shared" si="17"/>
        <v>#DIV/0!</v>
      </c>
      <c r="S32" t="e">
        <f t="shared" si="18"/>
        <v>#DIV/0!</v>
      </c>
      <c r="T32" t="e">
        <f t="shared" si="19"/>
        <v>#DIV/0!</v>
      </c>
      <c r="U32" t="e">
        <f t="shared" si="20"/>
        <v>#DIV/0!</v>
      </c>
      <c r="V32" t="e">
        <f t="shared" si="21"/>
        <v>#DIV/0!</v>
      </c>
    </row>
    <row r="33" spans="17:22" x14ac:dyDescent="0.3">
      <c r="Q33" t="e">
        <f t="shared" si="16"/>
        <v>#DIV/0!</v>
      </c>
      <c r="R33" t="e">
        <f t="shared" si="17"/>
        <v>#DIV/0!</v>
      </c>
      <c r="S33" t="e">
        <f t="shared" si="18"/>
        <v>#DIV/0!</v>
      </c>
      <c r="T33" t="e">
        <f t="shared" si="19"/>
        <v>#DIV/0!</v>
      </c>
      <c r="U33" t="e">
        <f t="shared" si="20"/>
        <v>#DIV/0!</v>
      </c>
      <c r="V33" t="e">
        <f t="shared" si="21"/>
        <v>#DIV/0!</v>
      </c>
    </row>
    <row r="34" spans="17:22" x14ac:dyDescent="0.3">
      <c r="Q34" t="e">
        <f t="shared" si="16"/>
        <v>#DIV/0!</v>
      </c>
      <c r="R34" t="e">
        <f t="shared" si="17"/>
        <v>#DIV/0!</v>
      </c>
      <c r="S34" t="e">
        <f t="shared" si="18"/>
        <v>#DIV/0!</v>
      </c>
      <c r="T34" t="e">
        <f t="shared" si="19"/>
        <v>#DIV/0!</v>
      </c>
      <c r="U34" t="e">
        <f t="shared" si="20"/>
        <v>#DIV/0!</v>
      </c>
      <c r="V34" t="e">
        <f t="shared" si="21"/>
        <v>#DIV/0!</v>
      </c>
    </row>
    <row r="35" spans="17:22" x14ac:dyDescent="0.3">
      <c r="Q35" t="e">
        <f t="shared" si="16"/>
        <v>#DIV/0!</v>
      </c>
      <c r="R35" t="e">
        <f t="shared" si="17"/>
        <v>#DIV/0!</v>
      </c>
      <c r="S35" t="e">
        <f t="shared" si="18"/>
        <v>#DIV/0!</v>
      </c>
      <c r="T35" t="e">
        <f t="shared" si="19"/>
        <v>#DIV/0!</v>
      </c>
      <c r="U35" t="e">
        <f t="shared" si="20"/>
        <v>#DIV/0!</v>
      </c>
      <c r="V35" t="e">
        <f t="shared" si="21"/>
        <v>#DIV/0!</v>
      </c>
    </row>
    <row r="36" spans="17:22" x14ac:dyDescent="0.3">
      <c r="Q36" t="e">
        <f t="shared" si="16"/>
        <v>#DIV/0!</v>
      </c>
      <c r="R36" t="e">
        <f t="shared" si="17"/>
        <v>#DIV/0!</v>
      </c>
      <c r="S36" t="e">
        <f t="shared" si="18"/>
        <v>#DIV/0!</v>
      </c>
      <c r="T36" t="e">
        <f t="shared" si="19"/>
        <v>#DIV/0!</v>
      </c>
      <c r="U36" t="e">
        <f t="shared" si="20"/>
        <v>#DIV/0!</v>
      </c>
      <c r="V36" t="e">
        <f t="shared" si="21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24B-224B-4F9B-B528-181D112DB9C5}">
  <dimension ref="A1:AR36"/>
  <sheetViews>
    <sheetView topLeftCell="M1" workbookViewId="0">
      <selection activeCell="W7" sqref="W7:AF7"/>
    </sheetView>
  </sheetViews>
  <sheetFormatPr defaultRowHeight="14.4" x14ac:dyDescent="0.3"/>
  <cols>
    <col min="34" max="34" width="26.88671875" customWidth="1"/>
    <col min="38" max="38" width="20.88671875" customWidth="1"/>
  </cols>
  <sheetData>
    <row r="1" spans="1:44" x14ac:dyDescent="0.3">
      <c r="A1" t="s">
        <v>41</v>
      </c>
    </row>
    <row r="2" spans="1:44" x14ac:dyDescent="0.3">
      <c r="A2" t="s">
        <v>21</v>
      </c>
      <c r="F2" t="s">
        <v>22</v>
      </c>
      <c r="K2" t="s">
        <v>23</v>
      </c>
      <c r="Q2" t="s">
        <v>24</v>
      </c>
      <c r="R2" t="s">
        <v>25</v>
      </c>
      <c r="S2" t="s">
        <v>26</v>
      </c>
      <c r="T2" t="s">
        <v>16</v>
      </c>
      <c r="U2" t="s">
        <v>18</v>
      </c>
      <c r="V2" t="s">
        <v>15</v>
      </c>
      <c r="W2" t="s">
        <v>5</v>
      </c>
      <c r="X2" t="s">
        <v>33</v>
      </c>
      <c r="Y2" t="s">
        <v>7</v>
      </c>
      <c r="Z2" t="s">
        <v>34</v>
      </c>
      <c r="AA2" t="s">
        <v>9</v>
      </c>
      <c r="AB2" t="s">
        <v>35</v>
      </c>
      <c r="AC2" t="s">
        <v>1</v>
      </c>
      <c r="AD2" t="s">
        <v>17</v>
      </c>
      <c r="AE2" t="s">
        <v>19</v>
      </c>
      <c r="AF2" t="s">
        <v>20</v>
      </c>
      <c r="AH2" t="s">
        <v>27</v>
      </c>
      <c r="AI2" t="s">
        <v>1</v>
      </c>
      <c r="AJ2" t="s">
        <v>19</v>
      </c>
      <c r="AL2" t="s">
        <v>28</v>
      </c>
      <c r="AM2" t="s">
        <v>1</v>
      </c>
      <c r="AN2" t="s">
        <v>19</v>
      </c>
    </row>
    <row r="3" spans="1:44" x14ac:dyDescent="0.3">
      <c r="B3">
        <v>84</v>
      </c>
      <c r="C3">
        <v>16</v>
      </c>
      <c r="D3">
        <v>44</v>
      </c>
      <c r="E3">
        <v>56</v>
      </c>
      <c r="G3">
        <v>79</v>
      </c>
      <c r="H3">
        <v>21</v>
      </c>
      <c r="I3">
        <v>8</v>
      </c>
      <c r="J3">
        <v>92</v>
      </c>
      <c r="L3">
        <v>74</v>
      </c>
      <c r="M3">
        <v>26</v>
      </c>
      <c r="N3">
        <v>56</v>
      </c>
      <c r="O3">
        <v>44</v>
      </c>
      <c r="Q3">
        <f>AVERAGE(C3,D3)</f>
        <v>30</v>
      </c>
      <c r="R3">
        <f>AVERAGE(H3,I3)</f>
        <v>14.5</v>
      </c>
      <c r="S3">
        <f>AVERAGE(M3,N3)</f>
        <v>41</v>
      </c>
      <c r="T3">
        <f>AVERAGE(Q3:S3)</f>
        <v>28.5</v>
      </c>
      <c r="U3">
        <f>MIN(Q3:S3)</f>
        <v>14.5</v>
      </c>
      <c r="V3">
        <f>(T3-U3)</f>
        <v>14</v>
      </c>
      <c r="W3">
        <f>AVERAGE(Q3:Q4)</f>
        <v>29</v>
      </c>
      <c r="X3">
        <f>_xlfn.STDEV.S(Q3:Q4)</f>
        <v>1.4142135623730951</v>
      </c>
      <c r="Y3">
        <f>AVERAGE(R3:R4)</f>
        <v>15.25</v>
      </c>
      <c r="Z3">
        <f>_xlfn.STDEV.S(R3:R4)</f>
        <v>1.0606601717798212</v>
      </c>
      <c r="AA3">
        <f>AVERAGE(S3:S4)</f>
        <v>41.75</v>
      </c>
      <c r="AB3">
        <f>_xlfn.STDEV.S(S3:S4)</f>
        <v>1.0606601717798212</v>
      </c>
      <c r="AC3">
        <f>AVERAGE(T3:T6)</f>
        <v>28.666666666666664</v>
      </c>
      <c r="AD3">
        <f>_xlfn.STDEV.S(T3:T6)</f>
        <v>0.23570226039551501</v>
      </c>
      <c r="AE3">
        <f>AVERAGE(V3:V6)</f>
        <v>13.416666666666666</v>
      </c>
      <c r="AF3">
        <f>_xlfn.STDEV.S(V3:V6)</f>
        <v>0.8249579113843063</v>
      </c>
      <c r="AH3" t="s">
        <v>29</v>
      </c>
      <c r="AL3" t="s">
        <v>30</v>
      </c>
    </row>
    <row r="4" spans="1:44" x14ac:dyDescent="0.3">
      <c r="B4">
        <v>84</v>
      </c>
      <c r="C4">
        <v>16</v>
      </c>
      <c r="D4">
        <v>40</v>
      </c>
      <c r="E4">
        <v>60</v>
      </c>
      <c r="G4">
        <v>82</v>
      </c>
      <c r="H4">
        <v>18</v>
      </c>
      <c r="I4">
        <v>14</v>
      </c>
      <c r="J4">
        <v>86</v>
      </c>
      <c r="L4">
        <v>62</v>
      </c>
      <c r="M4">
        <v>38</v>
      </c>
      <c r="N4">
        <v>47</v>
      </c>
      <c r="O4">
        <v>53</v>
      </c>
      <c r="Q4">
        <f t="shared" ref="Q4:Q27" si="0">AVERAGE(C4,D4)</f>
        <v>28</v>
      </c>
      <c r="R4">
        <f t="shared" ref="R4:R27" si="1">AVERAGE(H4,I4)</f>
        <v>16</v>
      </c>
      <c r="S4">
        <f t="shared" ref="S4:S27" si="2">AVERAGE(M4,N4)</f>
        <v>42.5</v>
      </c>
      <c r="T4">
        <f t="shared" ref="T4:T27" si="3">AVERAGE(Q4:S4)</f>
        <v>28.833333333333332</v>
      </c>
      <c r="U4">
        <f t="shared" ref="U4:U27" si="4">MIN(Q4:S4)</f>
        <v>16</v>
      </c>
      <c r="V4">
        <f>(T4-U4)</f>
        <v>12.833333333333332</v>
      </c>
      <c r="AH4" t="s">
        <v>31</v>
      </c>
      <c r="AI4">
        <v>28.041666666666668</v>
      </c>
      <c r="AJ4">
        <v>2.5972222222222219</v>
      </c>
      <c r="AL4" t="s">
        <v>31</v>
      </c>
      <c r="AM4">
        <v>28.041666666666668</v>
      </c>
      <c r="AN4">
        <v>2.5972222222222219</v>
      </c>
    </row>
    <row r="6" spans="1:44" x14ac:dyDescent="0.3">
      <c r="A6" t="s">
        <v>42</v>
      </c>
      <c r="AI6" t="s">
        <v>5</v>
      </c>
      <c r="AJ6" t="s">
        <v>33</v>
      </c>
      <c r="AK6" t="s">
        <v>7</v>
      </c>
      <c r="AL6" t="s">
        <v>34</v>
      </c>
      <c r="AM6" t="s">
        <v>9</v>
      </c>
      <c r="AN6" t="s">
        <v>35</v>
      </c>
      <c r="AO6" t="s">
        <v>1</v>
      </c>
      <c r="AP6" t="s">
        <v>17</v>
      </c>
      <c r="AQ6" t="s">
        <v>19</v>
      </c>
      <c r="AR6" t="s">
        <v>20</v>
      </c>
    </row>
    <row r="7" spans="1:44" x14ac:dyDescent="0.3">
      <c r="B7">
        <v>84</v>
      </c>
      <c r="C7">
        <v>16</v>
      </c>
      <c r="D7">
        <v>45</v>
      </c>
      <c r="E7">
        <v>55</v>
      </c>
      <c r="G7">
        <v>88</v>
      </c>
      <c r="H7">
        <v>12</v>
      </c>
      <c r="I7">
        <v>13</v>
      </c>
      <c r="J7">
        <v>87</v>
      </c>
      <c r="L7">
        <v>75</v>
      </c>
      <c r="M7">
        <v>25</v>
      </c>
      <c r="N7">
        <v>47</v>
      </c>
      <c r="O7">
        <v>53</v>
      </c>
      <c r="Q7">
        <f t="shared" ref="Q7" si="5">AVERAGE(C7,D7)</f>
        <v>30.5</v>
      </c>
      <c r="R7">
        <f t="shared" ref="R7" si="6">AVERAGE(H7,I7)</f>
        <v>12.5</v>
      </c>
      <c r="S7">
        <f t="shared" ref="S7" si="7">AVERAGE(M7,N7)</f>
        <v>36</v>
      </c>
      <c r="T7">
        <f t="shared" ref="T7" si="8">AVERAGE(Q7:S7)</f>
        <v>26.333333333333332</v>
      </c>
      <c r="U7">
        <f t="shared" ref="U7" si="9">MIN(Q7:S7)</f>
        <v>12.5</v>
      </c>
      <c r="V7">
        <f t="shared" ref="V7:V15" si="10">(T7-U7)</f>
        <v>13.833333333333332</v>
      </c>
      <c r="W7">
        <f>AVERAGE(Q7:Q10)</f>
        <v>26.625</v>
      </c>
      <c r="X7">
        <f>_xlfn.STDEV.S(Q7:Q10)</f>
        <v>3.1721443851123801</v>
      </c>
      <c r="Y7">
        <f>AVERAGE(R7:R10)</f>
        <v>11.625</v>
      </c>
      <c r="Z7">
        <f>_xlfn.STDEV.S(R7:R10)</f>
        <v>2.7801378862687129</v>
      </c>
      <c r="AA7">
        <f>AVERAGE(S7:S10)</f>
        <v>38.375</v>
      </c>
      <c r="AB7">
        <f>_xlfn.STDEV.S(S7:S10)</f>
        <v>1.8874586088176875</v>
      </c>
      <c r="AC7">
        <f>AVERAGE(T7:T10)</f>
        <v>25.541666666666668</v>
      </c>
      <c r="AD7">
        <f>_xlfn.STDEV.S(T7:T10)</f>
        <v>1.8327019114674095</v>
      </c>
      <c r="AE7">
        <f>AVERAGE(V7:V10)</f>
        <v>13.916666666666668</v>
      </c>
      <c r="AF7">
        <f>_xlfn.STDEV.S(V7:V10)</f>
        <v>0.9670497325294003</v>
      </c>
      <c r="AH7" t="s">
        <v>31</v>
      </c>
      <c r="AI7" t="e">
        <f>AVERAGE(Q17:Q20)</f>
        <v>#DIV/0!</v>
      </c>
      <c r="AJ7" t="e">
        <f>_xlfn.STDEV.S(Q17:Q20)</f>
        <v>#DIV/0!</v>
      </c>
      <c r="AK7" t="e">
        <f>AVERAGE(R17:R20)</f>
        <v>#DIV/0!</v>
      </c>
      <c r="AL7" t="e">
        <f>_xlfn.STDEV.S(R17:R20)</f>
        <v>#DIV/0!</v>
      </c>
      <c r="AM7" t="e">
        <f>AVERAGE(S17:S20)</f>
        <v>#DIV/0!</v>
      </c>
      <c r="AN7" t="e">
        <f>_xlfn.STDEV.S(S17:S20)</f>
        <v>#DIV/0!</v>
      </c>
      <c r="AO7">
        <v>28.041666666666668</v>
      </c>
      <c r="AP7">
        <v>3.0103986446980731</v>
      </c>
      <c r="AQ7">
        <v>2.5972222222222219</v>
      </c>
      <c r="AR7">
        <v>0.62915286960589489</v>
      </c>
    </row>
    <row r="8" spans="1:44" x14ac:dyDescent="0.3">
      <c r="B8">
        <v>73</v>
      </c>
      <c r="C8">
        <v>27</v>
      </c>
      <c r="D8">
        <v>28</v>
      </c>
      <c r="E8">
        <v>72</v>
      </c>
      <c r="G8">
        <v>80</v>
      </c>
      <c r="H8">
        <v>20</v>
      </c>
      <c r="I8">
        <v>10</v>
      </c>
      <c r="J8">
        <v>90</v>
      </c>
      <c r="L8">
        <v>69</v>
      </c>
      <c r="M8">
        <v>31</v>
      </c>
      <c r="N8">
        <v>50</v>
      </c>
      <c r="O8">
        <v>50</v>
      </c>
      <c r="Q8">
        <f t="shared" ref="Q8:Q10" si="11">AVERAGE(C8,D8)</f>
        <v>27.5</v>
      </c>
      <c r="R8">
        <f t="shared" ref="R8:R10" si="12">AVERAGE(H8,I8)</f>
        <v>15</v>
      </c>
      <c r="S8">
        <f t="shared" ref="S8:S10" si="13">AVERAGE(M8,N8)</f>
        <v>40.5</v>
      </c>
      <c r="T8">
        <f t="shared" ref="T8:T10" si="14">AVERAGE(Q8:S8)</f>
        <v>27.666666666666668</v>
      </c>
      <c r="U8">
        <f t="shared" ref="U8:U10" si="15">MIN(Q8:S8)</f>
        <v>15</v>
      </c>
      <c r="V8">
        <f t="shared" si="10"/>
        <v>12.666666666666668</v>
      </c>
    </row>
    <row r="9" spans="1:44" x14ac:dyDescent="0.3">
      <c r="B9">
        <v>85</v>
      </c>
      <c r="C9">
        <v>15</v>
      </c>
      <c r="D9">
        <v>31</v>
      </c>
      <c r="E9">
        <v>69</v>
      </c>
      <c r="G9">
        <v>87</v>
      </c>
      <c r="H9">
        <v>13</v>
      </c>
      <c r="I9">
        <v>4</v>
      </c>
      <c r="J9">
        <v>96</v>
      </c>
      <c r="L9">
        <v>71</v>
      </c>
      <c r="M9">
        <v>29</v>
      </c>
      <c r="N9">
        <v>49</v>
      </c>
      <c r="O9">
        <v>51</v>
      </c>
      <c r="Q9">
        <f t="shared" si="11"/>
        <v>23</v>
      </c>
      <c r="R9">
        <f t="shared" si="12"/>
        <v>8.5</v>
      </c>
      <c r="S9">
        <f t="shared" si="13"/>
        <v>39</v>
      </c>
      <c r="T9">
        <f t="shared" si="14"/>
        <v>23.5</v>
      </c>
      <c r="U9">
        <f t="shared" si="15"/>
        <v>8.5</v>
      </c>
      <c r="V9">
        <f t="shared" si="10"/>
        <v>15</v>
      </c>
    </row>
    <row r="10" spans="1:44" x14ac:dyDescent="0.3">
      <c r="B10">
        <v>84</v>
      </c>
      <c r="C10">
        <v>16</v>
      </c>
      <c r="D10">
        <v>35</v>
      </c>
      <c r="E10">
        <v>65</v>
      </c>
      <c r="G10">
        <v>88</v>
      </c>
      <c r="H10">
        <v>12</v>
      </c>
      <c r="I10">
        <v>9</v>
      </c>
      <c r="J10">
        <v>91</v>
      </c>
      <c r="L10">
        <v>71</v>
      </c>
      <c r="M10">
        <v>29</v>
      </c>
      <c r="N10">
        <v>47</v>
      </c>
      <c r="O10">
        <v>53</v>
      </c>
      <c r="Q10">
        <f t="shared" si="11"/>
        <v>25.5</v>
      </c>
      <c r="R10">
        <f t="shared" si="12"/>
        <v>10.5</v>
      </c>
      <c r="S10">
        <f t="shared" si="13"/>
        <v>38</v>
      </c>
      <c r="T10">
        <f t="shared" si="14"/>
        <v>24.666666666666668</v>
      </c>
      <c r="U10">
        <f t="shared" si="15"/>
        <v>10.5</v>
      </c>
      <c r="V10">
        <f t="shared" si="10"/>
        <v>14.166666666666668</v>
      </c>
    </row>
    <row r="11" spans="1:44" x14ac:dyDescent="0.3">
      <c r="A11" t="s">
        <v>43</v>
      </c>
    </row>
    <row r="12" spans="1:44" x14ac:dyDescent="0.3">
      <c r="B12">
        <v>79</v>
      </c>
      <c r="C12">
        <v>21</v>
      </c>
      <c r="D12">
        <v>30</v>
      </c>
      <c r="E12">
        <v>70</v>
      </c>
      <c r="G12">
        <v>78</v>
      </c>
      <c r="H12">
        <v>22</v>
      </c>
      <c r="I12">
        <v>8</v>
      </c>
      <c r="J12">
        <v>92</v>
      </c>
      <c r="L12">
        <v>69</v>
      </c>
      <c r="M12">
        <v>31</v>
      </c>
      <c r="N12">
        <v>38</v>
      </c>
      <c r="O12">
        <v>62</v>
      </c>
      <c r="Q12">
        <f t="shared" ref="Q12" si="16">AVERAGE(C12,D12)</f>
        <v>25.5</v>
      </c>
      <c r="R12">
        <f t="shared" ref="R12" si="17">AVERAGE(H12,I12)</f>
        <v>15</v>
      </c>
      <c r="S12">
        <f t="shared" ref="S12" si="18">AVERAGE(M12,N12)</f>
        <v>34.5</v>
      </c>
      <c r="T12">
        <f t="shared" ref="T12" si="19">AVERAGE(Q12:S12)</f>
        <v>25</v>
      </c>
      <c r="U12">
        <f t="shared" ref="U12" si="20">MIN(Q12:S12)</f>
        <v>15</v>
      </c>
      <c r="V12">
        <f t="shared" si="10"/>
        <v>10</v>
      </c>
      <c r="AC12">
        <f>AVERAGE(T12:T15)</f>
        <v>26.5</v>
      </c>
      <c r="AE12">
        <f>AVERAGE(V12:V15)</f>
        <v>11.625</v>
      </c>
    </row>
    <row r="13" spans="1:44" x14ac:dyDescent="0.3">
      <c r="B13">
        <v>79</v>
      </c>
      <c r="C13">
        <v>21</v>
      </c>
      <c r="D13">
        <v>28</v>
      </c>
      <c r="E13">
        <v>72</v>
      </c>
      <c r="G13">
        <v>85</v>
      </c>
      <c r="H13">
        <v>15</v>
      </c>
      <c r="I13">
        <v>14</v>
      </c>
      <c r="J13">
        <v>86</v>
      </c>
      <c r="L13">
        <v>65</v>
      </c>
      <c r="M13">
        <v>35</v>
      </c>
      <c r="N13">
        <v>47</v>
      </c>
      <c r="O13">
        <v>53</v>
      </c>
      <c r="Q13">
        <f t="shared" ref="Q13:Q15" si="21">AVERAGE(C13,D13)</f>
        <v>24.5</v>
      </c>
      <c r="R13">
        <f t="shared" ref="R13:R15" si="22">AVERAGE(H13,I13)</f>
        <v>14.5</v>
      </c>
      <c r="S13">
        <f t="shared" ref="S13:S15" si="23">AVERAGE(M13,N13)</f>
        <v>41</v>
      </c>
      <c r="T13">
        <f t="shared" ref="T13:T15" si="24">AVERAGE(Q13:S13)</f>
        <v>26.666666666666668</v>
      </c>
      <c r="U13">
        <f t="shared" ref="U13:U15" si="25">MIN(Q13:S13)</f>
        <v>14.5</v>
      </c>
      <c r="V13">
        <f t="shared" si="10"/>
        <v>12.166666666666668</v>
      </c>
    </row>
    <row r="14" spans="1:44" x14ac:dyDescent="0.3">
      <c r="B14">
        <v>73</v>
      </c>
      <c r="C14">
        <v>27</v>
      </c>
      <c r="D14">
        <v>31</v>
      </c>
      <c r="E14">
        <v>69</v>
      </c>
      <c r="G14">
        <v>77</v>
      </c>
      <c r="H14">
        <v>23</v>
      </c>
      <c r="I14">
        <v>14</v>
      </c>
      <c r="J14">
        <v>86</v>
      </c>
      <c r="L14">
        <v>65</v>
      </c>
      <c r="M14">
        <v>35</v>
      </c>
      <c r="N14">
        <v>46</v>
      </c>
      <c r="O14">
        <v>54</v>
      </c>
      <c r="Q14">
        <f t="shared" si="21"/>
        <v>29</v>
      </c>
      <c r="R14">
        <f t="shared" si="22"/>
        <v>18.5</v>
      </c>
      <c r="S14">
        <f t="shared" si="23"/>
        <v>40.5</v>
      </c>
      <c r="T14">
        <f t="shared" si="24"/>
        <v>29.333333333333332</v>
      </c>
      <c r="U14">
        <f t="shared" si="25"/>
        <v>18.5</v>
      </c>
      <c r="V14">
        <f t="shared" si="10"/>
        <v>10.833333333333332</v>
      </c>
    </row>
    <row r="15" spans="1:44" x14ac:dyDescent="0.3">
      <c r="B15">
        <v>77</v>
      </c>
      <c r="C15">
        <v>23</v>
      </c>
      <c r="D15">
        <v>29</v>
      </c>
      <c r="E15">
        <v>71</v>
      </c>
      <c r="G15">
        <v>84</v>
      </c>
      <c r="H15">
        <v>16</v>
      </c>
      <c r="I15">
        <v>7</v>
      </c>
      <c r="J15">
        <v>93</v>
      </c>
      <c r="L15">
        <v>68</v>
      </c>
      <c r="M15">
        <v>32</v>
      </c>
      <c r="N15">
        <v>43</v>
      </c>
      <c r="O15">
        <v>57</v>
      </c>
      <c r="Q15">
        <f t="shared" si="21"/>
        <v>26</v>
      </c>
      <c r="R15">
        <f t="shared" si="22"/>
        <v>11.5</v>
      </c>
      <c r="S15">
        <f t="shared" si="23"/>
        <v>37.5</v>
      </c>
      <c r="T15">
        <f t="shared" si="24"/>
        <v>25</v>
      </c>
      <c r="U15">
        <f t="shared" si="25"/>
        <v>11.5</v>
      </c>
      <c r="V15">
        <f t="shared" si="10"/>
        <v>13.5</v>
      </c>
    </row>
    <row r="24" spans="17:32" x14ac:dyDescent="0.3">
      <c r="Q24" t="e">
        <f t="shared" si="0"/>
        <v>#DIV/0!</v>
      </c>
      <c r="R24" t="e">
        <f t="shared" si="1"/>
        <v>#DIV/0!</v>
      </c>
      <c r="S24" t="e">
        <f t="shared" si="2"/>
        <v>#DIV/0!</v>
      </c>
      <c r="T24" t="e">
        <f t="shared" si="3"/>
        <v>#DIV/0!</v>
      </c>
      <c r="U24" t="e">
        <f t="shared" si="4"/>
        <v>#DIV/0!</v>
      </c>
      <c r="V24" t="e">
        <f>(1/3)*(T24-U24)</f>
        <v>#DIV/0!</v>
      </c>
      <c r="AC24" t="e">
        <f>AVERAGE(T24:T27)</f>
        <v>#DIV/0!</v>
      </c>
      <c r="AD24" t="e">
        <f>_xlfn.STDEV.S(T24:T27)</f>
        <v>#DIV/0!</v>
      </c>
      <c r="AE24" t="e">
        <f>AVERAGE(V24:V27)</f>
        <v>#DIV/0!</v>
      </c>
      <c r="AF24" t="e">
        <f>_xlfn.STDEV.S(V24:V27)</f>
        <v>#DIV/0!</v>
      </c>
    </row>
    <row r="25" spans="17:32" x14ac:dyDescent="0.3">
      <c r="Q25" t="e">
        <f t="shared" si="0"/>
        <v>#DIV/0!</v>
      </c>
      <c r="R25" t="e">
        <f t="shared" si="1"/>
        <v>#DIV/0!</v>
      </c>
      <c r="S25" t="e">
        <f t="shared" si="2"/>
        <v>#DIV/0!</v>
      </c>
      <c r="T25" t="e">
        <f t="shared" si="3"/>
        <v>#DIV/0!</v>
      </c>
      <c r="U25" t="e">
        <f t="shared" si="4"/>
        <v>#DIV/0!</v>
      </c>
      <c r="V25" t="e">
        <f>(1/3)*(T25-U25)</f>
        <v>#DIV/0!</v>
      </c>
    </row>
    <row r="26" spans="17:32" x14ac:dyDescent="0.3">
      <c r="Q26" t="e">
        <f t="shared" si="0"/>
        <v>#DIV/0!</v>
      </c>
      <c r="R26" t="e">
        <f t="shared" si="1"/>
        <v>#DIV/0!</v>
      </c>
      <c r="S26" t="e">
        <f t="shared" si="2"/>
        <v>#DIV/0!</v>
      </c>
      <c r="T26" t="e">
        <f t="shared" si="3"/>
        <v>#DIV/0!</v>
      </c>
      <c r="U26" t="e">
        <f t="shared" si="4"/>
        <v>#DIV/0!</v>
      </c>
      <c r="V26" t="e">
        <f>(1/3)*(T26-U26)</f>
        <v>#DIV/0!</v>
      </c>
    </row>
    <row r="27" spans="17:32" x14ac:dyDescent="0.3">
      <c r="Q27" t="e">
        <f t="shared" si="0"/>
        <v>#DIV/0!</v>
      </c>
      <c r="R27" t="e">
        <f t="shared" si="1"/>
        <v>#DIV/0!</v>
      </c>
      <c r="S27" t="e">
        <f t="shared" si="2"/>
        <v>#DIV/0!</v>
      </c>
      <c r="T27" t="e">
        <f t="shared" si="3"/>
        <v>#DIV/0!</v>
      </c>
      <c r="U27" t="e">
        <f t="shared" si="4"/>
        <v>#DIV/0!</v>
      </c>
      <c r="V27" t="e">
        <f>(1/3)*(T27-U27)</f>
        <v>#DIV/0!</v>
      </c>
    </row>
    <row r="31" spans="17:32" x14ac:dyDescent="0.3">
      <c r="Q31" t="e">
        <f t="shared" ref="Q31:Q36" si="26">AVERAGE(C31,D31)</f>
        <v>#DIV/0!</v>
      </c>
      <c r="R31" t="e">
        <f t="shared" ref="R31:R36" si="27">AVERAGE(H31,I31)</f>
        <v>#DIV/0!</v>
      </c>
      <c r="S31" t="e">
        <f t="shared" ref="S31:S36" si="28">AVERAGE(M31,N31)</f>
        <v>#DIV/0!</v>
      </c>
      <c r="T31" t="e">
        <f t="shared" ref="T31:T36" si="29">AVERAGE(Q31:S31)</f>
        <v>#DIV/0!</v>
      </c>
      <c r="U31" t="e">
        <f t="shared" ref="U31:U36" si="30">MIN(Q31:S31)</f>
        <v>#DIV/0!</v>
      </c>
      <c r="V31" t="e">
        <f t="shared" ref="V31:V36" si="31">(1/3)*(T31-U31)</f>
        <v>#DIV/0!</v>
      </c>
      <c r="AC31" t="e">
        <f>AVERAGE(T31:T36)</f>
        <v>#DIV/0!</v>
      </c>
      <c r="AD31" t="e">
        <f>_xlfn.STDEV.S(T31:T36)</f>
        <v>#DIV/0!</v>
      </c>
      <c r="AE31" t="e">
        <f>AVERAGE(V31:V36)</f>
        <v>#DIV/0!</v>
      </c>
      <c r="AF31" t="e">
        <f>_xlfn.STDEV.S(V31:V36)</f>
        <v>#DIV/0!</v>
      </c>
    </row>
    <row r="32" spans="17:32" x14ac:dyDescent="0.3">
      <c r="Q32" t="e">
        <f t="shared" si="26"/>
        <v>#DIV/0!</v>
      </c>
      <c r="R32" t="e">
        <f t="shared" si="27"/>
        <v>#DIV/0!</v>
      </c>
      <c r="S32" t="e">
        <f t="shared" si="28"/>
        <v>#DIV/0!</v>
      </c>
      <c r="T32" t="e">
        <f t="shared" si="29"/>
        <v>#DIV/0!</v>
      </c>
      <c r="U32" t="e">
        <f t="shared" si="30"/>
        <v>#DIV/0!</v>
      </c>
      <c r="V32" t="e">
        <f t="shared" si="31"/>
        <v>#DIV/0!</v>
      </c>
    </row>
    <row r="33" spans="17:22" x14ac:dyDescent="0.3">
      <c r="Q33" t="e">
        <f t="shared" si="26"/>
        <v>#DIV/0!</v>
      </c>
      <c r="R33" t="e">
        <f t="shared" si="27"/>
        <v>#DIV/0!</v>
      </c>
      <c r="S33" t="e">
        <f t="shared" si="28"/>
        <v>#DIV/0!</v>
      </c>
      <c r="T33" t="e">
        <f t="shared" si="29"/>
        <v>#DIV/0!</v>
      </c>
      <c r="U33" t="e">
        <f t="shared" si="30"/>
        <v>#DIV/0!</v>
      </c>
      <c r="V33" t="e">
        <f t="shared" si="31"/>
        <v>#DIV/0!</v>
      </c>
    </row>
    <row r="34" spans="17:22" x14ac:dyDescent="0.3">
      <c r="Q34" t="e">
        <f t="shared" si="26"/>
        <v>#DIV/0!</v>
      </c>
      <c r="R34" t="e">
        <f t="shared" si="27"/>
        <v>#DIV/0!</v>
      </c>
      <c r="S34" t="e">
        <f t="shared" si="28"/>
        <v>#DIV/0!</v>
      </c>
      <c r="T34" t="e">
        <f t="shared" si="29"/>
        <v>#DIV/0!</v>
      </c>
      <c r="U34" t="e">
        <f t="shared" si="30"/>
        <v>#DIV/0!</v>
      </c>
      <c r="V34" t="e">
        <f t="shared" si="31"/>
        <v>#DIV/0!</v>
      </c>
    </row>
    <row r="35" spans="17:22" x14ac:dyDescent="0.3">
      <c r="Q35" t="e">
        <f t="shared" si="26"/>
        <v>#DIV/0!</v>
      </c>
      <c r="R35" t="e">
        <f t="shared" si="27"/>
        <v>#DIV/0!</v>
      </c>
      <c r="S35" t="e">
        <f t="shared" si="28"/>
        <v>#DIV/0!</v>
      </c>
      <c r="T35" t="e">
        <f t="shared" si="29"/>
        <v>#DIV/0!</v>
      </c>
      <c r="U35" t="e">
        <f t="shared" si="30"/>
        <v>#DIV/0!</v>
      </c>
      <c r="V35" t="e">
        <f t="shared" si="31"/>
        <v>#DIV/0!</v>
      </c>
    </row>
    <row r="36" spans="17:22" x14ac:dyDescent="0.3">
      <c r="Q36" t="e">
        <f t="shared" si="26"/>
        <v>#DIV/0!</v>
      </c>
      <c r="R36" t="e">
        <f t="shared" si="27"/>
        <v>#DIV/0!</v>
      </c>
      <c r="S36" t="e">
        <f t="shared" si="28"/>
        <v>#DIV/0!</v>
      </c>
      <c r="T36" t="e">
        <f t="shared" si="29"/>
        <v>#DIV/0!</v>
      </c>
      <c r="U36" t="e">
        <f t="shared" si="30"/>
        <v>#DIV/0!</v>
      </c>
      <c r="V36" t="e">
        <f t="shared" si="31"/>
        <v>#DIV/0!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E11"/>
  <sheetViews>
    <sheetView topLeftCell="K1" workbookViewId="0">
      <selection activeCell="AE3" activeCellId="2" sqref="T3:AA3 AD3 AE3"/>
    </sheetView>
  </sheetViews>
  <sheetFormatPr defaultRowHeight="14.4" x14ac:dyDescent="0.3"/>
  <cols>
    <col min="22" max="22" width="13.109375" customWidth="1"/>
  </cols>
  <sheetData>
    <row r="1" spans="1:31" x14ac:dyDescent="0.3">
      <c r="A1" t="s">
        <v>0</v>
      </c>
      <c r="P1" t="s">
        <v>11</v>
      </c>
    </row>
    <row r="2" spans="1:31" x14ac:dyDescent="0.3">
      <c r="A2" t="s">
        <v>4</v>
      </c>
      <c r="P2" t="s">
        <v>12</v>
      </c>
      <c r="Q2" t="s">
        <v>13</v>
      </c>
      <c r="R2" t="s">
        <v>14</v>
      </c>
      <c r="S2" t="s">
        <v>16</v>
      </c>
      <c r="T2" t="s">
        <v>38</v>
      </c>
      <c r="U2" t="s">
        <v>33</v>
      </c>
      <c r="V2" t="s">
        <v>39</v>
      </c>
      <c r="W2" t="s">
        <v>34</v>
      </c>
      <c r="X2" t="s">
        <v>40</v>
      </c>
      <c r="Y2" t="s">
        <v>35</v>
      </c>
      <c r="Z2" t="s">
        <v>1</v>
      </c>
      <c r="AA2" t="s">
        <v>17</v>
      </c>
      <c r="AB2" t="s">
        <v>18</v>
      </c>
      <c r="AC2" t="s">
        <v>15</v>
      </c>
      <c r="AD2" t="s">
        <v>19</v>
      </c>
      <c r="AE2" t="s">
        <v>20</v>
      </c>
    </row>
    <row r="3" spans="1:31" x14ac:dyDescent="0.3">
      <c r="A3">
        <v>84</v>
      </c>
      <c r="B3">
        <v>16</v>
      </c>
      <c r="C3">
        <v>39</v>
      </c>
      <c r="D3">
        <v>61</v>
      </c>
      <c r="F3">
        <v>77</v>
      </c>
      <c r="G3">
        <v>23</v>
      </c>
      <c r="H3">
        <v>13</v>
      </c>
      <c r="I3">
        <v>87</v>
      </c>
      <c r="K3">
        <v>68</v>
      </c>
      <c r="L3">
        <v>32</v>
      </c>
      <c r="M3">
        <v>42</v>
      </c>
      <c r="N3">
        <v>58</v>
      </c>
      <c r="P3">
        <f>AVERAGE(B3:C3)</f>
        <v>27.5</v>
      </c>
      <c r="Q3">
        <f>AVERAGE(G3:H3)</f>
        <v>18</v>
      </c>
      <c r="R3">
        <f>AVERAGE(L3:M3)</f>
        <v>37</v>
      </c>
      <c r="S3">
        <f>AVERAGE(P3:R3)</f>
        <v>27.5</v>
      </c>
      <c r="T3">
        <f>AVERAGE(P3:P11)</f>
        <v>28.055555555555557</v>
      </c>
      <c r="U3">
        <f>_xlfn.STDEV.S(P3:P11)</f>
        <v>2.4930458836085987</v>
      </c>
      <c r="V3">
        <f>AVERAGE(Q3:Q11)</f>
        <v>13.666666666666666</v>
      </c>
      <c r="W3">
        <f>_xlfn.STDEV.S(Q3:Q11)</f>
        <v>2.3048861143232218</v>
      </c>
      <c r="X3">
        <f>AVERAGE(R3:R11)</f>
        <v>37.444444444444443</v>
      </c>
      <c r="Y3">
        <f>_xlfn.STDEV.S(R3:R11)</f>
        <v>1.7579185924774154</v>
      </c>
      <c r="Z3">
        <f>AVERAGE(S3:S11)</f>
        <v>26.388888888888893</v>
      </c>
      <c r="AA3">
        <f>_xlfn.STDEV.S(S3:S11)</f>
        <v>1.5701203067847307</v>
      </c>
      <c r="AB3">
        <f>MIN(P3:R3)</f>
        <v>18</v>
      </c>
      <c r="AC3">
        <f>S3-AB3</f>
        <v>9.5</v>
      </c>
      <c r="AD3">
        <f>AVERAGE(AC3:AC11)</f>
        <v>12.722222222222221</v>
      </c>
      <c r="AE3">
        <f>_xlfn.STDEV.S(AC3:AC11)</f>
        <v>1.8503002759312106</v>
      </c>
    </row>
    <row r="4" spans="1:31" x14ac:dyDescent="0.3">
      <c r="A4">
        <v>80</v>
      </c>
      <c r="B4">
        <v>20</v>
      </c>
      <c r="C4">
        <v>39</v>
      </c>
      <c r="D4">
        <v>61</v>
      </c>
      <c r="F4">
        <v>78</v>
      </c>
      <c r="G4">
        <v>22</v>
      </c>
      <c r="H4">
        <v>11</v>
      </c>
      <c r="I4">
        <v>89</v>
      </c>
      <c r="K4">
        <v>65</v>
      </c>
      <c r="L4">
        <v>35</v>
      </c>
      <c r="M4">
        <v>43</v>
      </c>
      <c r="N4">
        <v>57</v>
      </c>
      <c r="P4">
        <f t="shared" ref="P4:P5" si="0">AVERAGE(B4:C4)</f>
        <v>29.5</v>
      </c>
      <c r="Q4">
        <f t="shared" ref="Q4:Q5" si="1">AVERAGE(G4:H4)</f>
        <v>16.5</v>
      </c>
      <c r="R4">
        <f t="shared" ref="R4:R5" si="2">AVERAGE(L4:M4)</f>
        <v>39</v>
      </c>
      <c r="S4">
        <f t="shared" ref="S4:S5" si="3">AVERAGE(P4:R4)</f>
        <v>28.333333333333332</v>
      </c>
      <c r="AB4">
        <f t="shared" ref="AB4:AB5" si="4">MIN(P4:R4)</f>
        <v>16.5</v>
      </c>
      <c r="AC4">
        <f t="shared" ref="AC4:AC5" si="5">S4-AB4</f>
        <v>11.833333333333332</v>
      </c>
    </row>
    <row r="5" spans="1:31" x14ac:dyDescent="0.3">
      <c r="A5">
        <v>86</v>
      </c>
      <c r="B5">
        <v>14</v>
      </c>
      <c r="C5">
        <v>40</v>
      </c>
      <c r="D5">
        <v>60</v>
      </c>
      <c r="F5">
        <v>88</v>
      </c>
      <c r="G5">
        <v>12</v>
      </c>
      <c r="H5">
        <v>10</v>
      </c>
      <c r="I5">
        <v>90</v>
      </c>
      <c r="K5">
        <v>76</v>
      </c>
      <c r="L5">
        <v>24</v>
      </c>
      <c r="M5">
        <v>48</v>
      </c>
      <c r="N5">
        <v>52</v>
      </c>
      <c r="P5">
        <f t="shared" si="0"/>
        <v>27</v>
      </c>
      <c r="Q5">
        <f t="shared" si="1"/>
        <v>11</v>
      </c>
      <c r="R5">
        <f t="shared" si="2"/>
        <v>36</v>
      </c>
      <c r="S5">
        <f t="shared" si="3"/>
        <v>24.666666666666668</v>
      </c>
      <c r="AB5">
        <f t="shared" si="4"/>
        <v>11</v>
      </c>
      <c r="AC5">
        <f t="shared" si="5"/>
        <v>13.666666666666668</v>
      </c>
    </row>
    <row r="6" spans="1:31" x14ac:dyDescent="0.3">
      <c r="A6">
        <v>79</v>
      </c>
      <c r="B6">
        <v>21</v>
      </c>
      <c r="C6">
        <v>29</v>
      </c>
      <c r="D6">
        <v>71</v>
      </c>
      <c r="F6">
        <v>84</v>
      </c>
      <c r="G6">
        <v>16</v>
      </c>
      <c r="H6">
        <v>10</v>
      </c>
      <c r="I6">
        <v>90</v>
      </c>
      <c r="K6">
        <v>77</v>
      </c>
      <c r="L6">
        <v>23</v>
      </c>
      <c r="M6">
        <v>49</v>
      </c>
      <c r="N6">
        <v>51</v>
      </c>
      <c r="P6">
        <f t="shared" ref="P6:P11" si="6">AVERAGE(B6:C6)</f>
        <v>25</v>
      </c>
      <c r="Q6">
        <f t="shared" ref="Q6:Q11" si="7">AVERAGE(G6:H6)</f>
        <v>13</v>
      </c>
      <c r="R6">
        <f t="shared" ref="R6:R11" si="8">AVERAGE(L6:M6)</f>
        <v>36</v>
      </c>
      <c r="S6">
        <f t="shared" ref="S6:S11" si="9">AVERAGE(P6:R6)</f>
        <v>24.666666666666668</v>
      </c>
      <c r="AB6">
        <f t="shared" ref="AB6:AB11" si="10">MIN(P6:R6)</f>
        <v>13</v>
      </c>
      <c r="AC6">
        <f t="shared" ref="AC6:AC11" si="11">S6-AB6</f>
        <v>11.666666666666668</v>
      </c>
    </row>
    <row r="7" spans="1:31" x14ac:dyDescent="0.3">
      <c r="A7">
        <v>67</v>
      </c>
      <c r="B7">
        <v>33</v>
      </c>
      <c r="C7">
        <v>31</v>
      </c>
      <c r="D7">
        <v>69</v>
      </c>
      <c r="F7">
        <v>78</v>
      </c>
      <c r="G7">
        <v>22</v>
      </c>
      <c r="H7">
        <v>6</v>
      </c>
      <c r="I7">
        <v>94</v>
      </c>
      <c r="K7">
        <v>65</v>
      </c>
      <c r="L7">
        <v>35</v>
      </c>
      <c r="M7">
        <v>45</v>
      </c>
      <c r="N7">
        <v>55</v>
      </c>
      <c r="P7">
        <f t="shared" si="6"/>
        <v>32</v>
      </c>
      <c r="Q7">
        <f t="shared" si="7"/>
        <v>14</v>
      </c>
      <c r="R7">
        <f t="shared" si="8"/>
        <v>40</v>
      </c>
      <c r="S7">
        <f t="shared" si="9"/>
        <v>28.666666666666668</v>
      </c>
      <c r="AB7">
        <f t="shared" si="10"/>
        <v>14</v>
      </c>
      <c r="AC7">
        <f t="shared" si="11"/>
        <v>14.666666666666668</v>
      </c>
    </row>
    <row r="8" spans="1:31" x14ac:dyDescent="0.3">
      <c r="A8">
        <v>80</v>
      </c>
      <c r="B8">
        <v>20</v>
      </c>
      <c r="C8">
        <v>42</v>
      </c>
      <c r="D8">
        <v>58</v>
      </c>
      <c r="F8">
        <v>87</v>
      </c>
      <c r="G8">
        <v>13</v>
      </c>
      <c r="H8">
        <v>9</v>
      </c>
      <c r="I8">
        <v>91</v>
      </c>
      <c r="K8">
        <v>79</v>
      </c>
      <c r="L8">
        <v>21</v>
      </c>
      <c r="M8">
        <v>53</v>
      </c>
      <c r="N8">
        <v>47</v>
      </c>
      <c r="P8">
        <f t="shared" si="6"/>
        <v>31</v>
      </c>
      <c r="Q8">
        <f t="shared" si="7"/>
        <v>11</v>
      </c>
      <c r="R8">
        <f t="shared" si="8"/>
        <v>37</v>
      </c>
      <c r="S8">
        <f t="shared" si="9"/>
        <v>26.333333333333332</v>
      </c>
      <c r="AB8">
        <f t="shared" si="10"/>
        <v>11</v>
      </c>
      <c r="AC8">
        <f t="shared" si="11"/>
        <v>15.333333333333332</v>
      </c>
    </row>
    <row r="9" spans="1:31" x14ac:dyDescent="0.3">
      <c r="A9">
        <v>82</v>
      </c>
      <c r="B9">
        <v>18</v>
      </c>
      <c r="C9">
        <v>38</v>
      </c>
      <c r="D9">
        <v>62</v>
      </c>
      <c r="F9">
        <v>81</v>
      </c>
      <c r="G9">
        <v>19</v>
      </c>
      <c r="H9">
        <v>7</v>
      </c>
      <c r="I9">
        <v>93</v>
      </c>
      <c r="K9">
        <v>73</v>
      </c>
      <c r="L9">
        <v>27</v>
      </c>
      <c r="M9">
        <v>44</v>
      </c>
      <c r="N9">
        <v>56</v>
      </c>
      <c r="P9">
        <f t="shared" si="6"/>
        <v>28</v>
      </c>
      <c r="Q9">
        <f t="shared" si="7"/>
        <v>13</v>
      </c>
      <c r="R9">
        <f t="shared" si="8"/>
        <v>35.5</v>
      </c>
      <c r="S9">
        <f t="shared" si="9"/>
        <v>25.5</v>
      </c>
      <c r="AB9">
        <f t="shared" si="10"/>
        <v>13</v>
      </c>
      <c r="AC9">
        <f t="shared" si="11"/>
        <v>12.5</v>
      </c>
    </row>
    <row r="10" spans="1:31" x14ac:dyDescent="0.3">
      <c r="A10">
        <v>76</v>
      </c>
      <c r="B10">
        <v>24</v>
      </c>
      <c r="C10">
        <v>32</v>
      </c>
      <c r="D10">
        <v>68</v>
      </c>
      <c r="F10">
        <v>84</v>
      </c>
      <c r="G10">
        <v>16</v>
      </c>
      <c r="H10">
        <v>10</v>
      </c>
      <c r="I10">
        <v>90</v>
      </c>
      <c r="K10">
        <v>67</v>
      </c>
      <c r="L10">
        <v>33</v>
      </c>
      <c r="M10">
        <v>47</v>
      </c>
      <c r="N10">
        <v>53</v>
      </c>
      <c r="P10">
        <f t="shared" si="6"/>
        <v>28</v>
      </c>
      <c r="Q10">
        <f t="shared" si="7"/>
        <v>13</v>
      </c>
      <c r="R10">
        <f t="shared" si="8"/>
        <v>40</v>
      </c>
      <c r="S10">
        <f t="shared" si="9"/>
        <v>27</v>
      </c>
      <c r="AB10">
        <f t="shared" si="10"/>
        <v>13</v>
      </c>
      <c r="AC10">
        <f t="shared" si="11"/>
        <v>14</v>
      </c>
    </row>
    <row r="11" spans="1:31" x14ac:dyDescent="0.3">
      <c r="A11">
        <v>85</v>
      </c>
      <c r="B11">
        <v>15</v>
      </c>
      <c r="C11">
        <v>34</v>
      </c>
      <c r="D11">
        <v>66</v>
      </c>
      <c r="F11">
        <v>86</v>
      </c>
      <c r="G11">
        <v>14</v>
      </c>
      <c r="H11">
        <v>13</v>
      </c>
      <c r="I11">
        <v>87</v>
      </c>
      <c r="K11">
        <v>74</v>
      </c>
      <c r="L11">
        <v>26</v>
      </c>
      <c r="M11">
        <v>47</v>
      </c>
      <c r="N11">
        <v>53</v>
      </c>
      <c r="P11">
        <f t="shared" si="6"/>
        <v>24.5</v>
      </c>
      <c r="Q11">
        <f t="shared" si="7"/>
        <v>13.5</v>
      </c>
      <c r="R11">
        <f t="shared" si="8"/>
        <v>36.5</v>
      </c>
      <c r="S11">
        <f t="shared" si="9"/>
        <v>24.833333333333332</v>
      </c>
      <c r="AB11">
        <f t="shared" si="10"/>
        <v>13.5</v>
      </c>
      <c r="AC11">
        <f t="shared" si="11"/>
        <v>11.333333333333332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STD_BAL_ADV_NOCLSDIV</vt:lpstr>
      <vt:lpstr>STD_BAL_ADV_CLSDIV</vt:lpstr>
      <vt:lpstr>STD_BAL_NOAUG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2026-03-18T17:31:34Z</dcterms:modified>
</cp:coreProperties>
</file>