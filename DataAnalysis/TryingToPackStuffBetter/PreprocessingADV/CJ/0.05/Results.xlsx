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Utente\Desktop\CultureAwarenessTest\DataAnalysis\TryingToPackStuffBetter\PreprocessingADV\CJ\0.05\"/>
    </mc:Choice>
  </mc:AlternateContent>
  <xr:revisionPtr revIDLastSave="0" documentId="13_ncr:1_{8CCA7EF4-DD73-49A3-A55C-D5EC14E81B7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Foglio1" sheetId="1" r:id="rId1"/>
    <sheet name="STD_BAL_ADV_NOCLSDIV" sheetId="7" r:id="rId2"/>
    <sheet name="STD_BAL_ADV_CLSDIV" sheetId="6" r:id="rId3"/>
    <sheet name="STD_BAL_NOAUG" sheetId="2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3" i="6" l="1"/>
  <c r="AE3" i="6"/>
  <c r="AD3" i="6"/>
  <c r="AC3" i="6"/>
  <c r="AB3" i="6"/>
  <c r="AA3" i="6"/>
  <c r="Z3" i="6"/>
  <c r="Y3" i="6"/>
  <c r="X3" i="6"/>
  <c r="W3" i="6"/>
  <c r="Q5" i="6"/>
  <c r="R5" i="6"/>
  <c r="S5" i="6"/>
  <c r="T5" i="6"/>
  <c r="U5" i="6"/>
  <c r="V5" i="6"/>
  <c r="Q6" i="6"/>
  <c r="R6" i="6"/>
  <c r="S6" i="6"/>
  <c r="T6" i="6"/>
  <c r="U6" i="6"/>
  <c r="V6" i="6"/>
  <c r="Q7" i="6"/>
  <c r="U7" i="6" s="1"/>
  <c r="R7" i="6"/>
  <c r="S7" i="6"/>
  <c r="T7" i="6"/>
  <c r="V7" i="6" s="1"/>
  <c r="Q8" i="6"/>
  <c r="R8" i="6"/>
  <c r="S8" i="6"/>
  <c r="T8" i="6"/>
  <c r="U8" i="6"/>
  <c r="V8" i="6"/>
  <c r="AF3" i="7"/>
  <c r="AE3" i="7"/>
  <c r="AD3" i="7"/>
  <c r="AC3" i="7"/>
  <c r="AB3" i="7"/>
  <c r="AA3" i="7"/>
  <c r="Z3" i="7"/>
  <c r="Y3" i="7"/>
  <c r="X3" i="7"/>
  <c r="W3" i="7"/>
  <c r="Q5" i="7"/>
  <c r="R5" i="7"/>
  <c r="S5" i="7"/>
  <c r="T5" i="7"/>
  <c r="U5" i="7"/>
  <c r="V5" i="7"/>
  <c r="Q6" i="7"/>
  <c r="R6" i="7"/>
  <c r="S6" i="7"/>
  <c r="T6" i="7"/>
  <c r="U6" i="7"/>
  <c r="V6" i="7"/>
  <c r="Q7" i="7"/>
  <c r="U7" i="7" s="1"/>
  <c r="R7" i="7"/>
  <c r="S7" i="7"/>
  <c r="T7" i="7"/>
  <c r="V7" i="7" s="1"/>
  <c r="Q8" i="7"/>
  <c r="R8" i="7"/>
  <c r="S8" i="7"/>
  <c r="T8" i="7"/>
  <c r="U8" i="7"/>
  <c r="V8" i="7"/>
  <c r="AE3" i="2"/>
  <c r="AD3" i="2"/>
  <c r="AA3" i="2"/>
  <c r="Z3" i="2"/>
  <c r="Y3" i="2"/>
  <c r="X3" i="2"/>
  <c r="W3" i="2"/>
  <c r="V3" i="2"/>
  <c r="U3" i="2"/>
  <c r="T3" i="2"/>
  <c r="P6" i="2"/>
  <c r="Q6" i="2"/>
  <c r="R6" i="2"/>
  <c r="S6" i="2"/>
  <c r="AB6" i="2"/>
  <c r="AC6" i="2"/>
  <c r="P7" i="2"/>
  <c r="Q7" i="2"/>
  <c r="R7" i="2"/>
  <c r="S7" i="2"/>
  <c r="AB7" i="2"/>
  <c r="AC7" i="2"/>
  <c r="P8" i="2"/>
  <c r="AB8" i="2" s="1"/>
  <c r="Q8" i="2"/>
  <c r="R8" i="2"/>
  <c r="S8" i="2"/>
  <c r="AC8" i="2" s="1"/>
  <c r="P9" i="2"/>
  <c r="Q9" i="2"/>
  <c r="R9" i="2"/>
  <c r="S9" i="2"/>
  <c r="AB9" i="2"/>
  <c r="AC9" i="2"/>
  <c r="P10" i="2"/>
  <c r="Q10" i="2"/>
  <c r="S10" i="2" s="1"/>
  <c r="R10" i="2"/>
  <c r="P11" i="2"/>
  <c r="S11" i="2" s="1"/>
  <c r="Q11" i="2"/>
  <c r="R11" i="2"/>
  <c r="S4" i="7"/>
  <c r="R4" i="7"/>
  <c r="Q4" i="7"/>
  <c r="S3" i="7"/>
  <c r="R3" i="7"/>
  <c r="Q3" i="7"/>
  <c r="P4" i="2"/>
  <c r="Q4" i="2"/>
  <c r="R4" i="2"/>
  <c r="P5" i="2"/>
  <c r="Q5" i="2"/>
  <c r="R5" i="2"/>
  <c r="S5" i="2" s="1"/>
  <c r="R3" i="2"/>
  <c r="Q3" i="2"/>
  <c r="P3" i="2"/>
  <c r="Q4" i="6"/>
  <c r="R4" i="6"/>
  <c r="S4" i="6"/>
  <c r="S3" i="6"/>
  <c r="R3" i="6"/>
  <c r="Q3" i="6"/>
  <c r="AC11" i="2" l="1"/>
  <c r="AB10" i="2"/>
  <c r="AC10" i="2" s="1"/>
  <c r="AB11" i="2"/>
  <c r="AB3" i="2"/>
  <c r="AB5" i="2"/>
  <c r="AC5" i="2" s="1"/>
  <c r="S4" i="2"/>
  <c r="S3" i="2"/>
  <c r="AB4" i="2"/>
  <c r="AC4" i="2" s="1"/>
  <c r="T4" i="7"/>
  <c r="U4" i="7"/>
  <c r="V4" i="7" s="1"/>
  <c r="T3" i="7"/>
  <c r="U3" i="7"/>
  <c r="U3" i="6"/>
  <c r="T4" i="6"/>
  <c r="T3" i="6"/>
  <c r="V3" i="6" s="1"/>
  <c r="U4" i="6"/>
  <c r="V4" i="6" l="1"/>
  <c r="AC3" i="2"/>
  <c r="V3" i="7"/>
</calcChain>
</file>

<file path=xl/sharedStrings.xml><?xml version="1.0" encoding="utf-8"?>
<sst xmlns="http://schemas.openxmlformats.org/spreadsheetml/2006/main" count="86" uniqueCount="43">
  <si>
    <t>Dati originali</t>
  </si>
  <si>
    <t>ERR</t>
  </si>
  <si>
    <t>STD</t>
  </si>
  <si>
    <t>NOAUG</t>
  </si>
  <si>
    <t>CULTURE0</t>
  </si>
  <si>
    <t>ERR0</t>
  </si>
  <si>
    <t>STD0</t>
  </si>
  <si>
    <t>ERR1</t>
  </si>
  <si>
    <t>STD1</t>
  </si>
  <si>
    <t>ERR2</t>
  </si>
  <si>
    <t>STD2</t>
  </si>
  <si>
    <t>COPIO LE COSE QUI</t>
  </si>
  <si>
    <t>ERR_i_0</t>
  </si>
  <si>
    <t>ERR_i_1</t>
  </si>
  <si>
    <t>ERR_i_2</t>
  </si>
  <si>
    <t>CIC_i</t>
  </si>
  <si>
    <t>ERR_i</t>
  </si>
  <si>
    <t>ERR_STD</t>
  </si>
  <si>
    <t>MIN_ERR_i</t>
  </si>
  <si>
    <t>CIC</t>
  </si>
  <si>
    <t>CIC_STD</t>
  </si>
  <si>
    <t>c0</t>
  </si>
  <si>
    <t>c1</t>
  </si>
  <si>
    <t>c2</t>
  </si>
  <si>
    <t>ERR_0_i</t>
  </si>
  <si>
    <t>ERR_1_i</t>
  </si>
  <si>
    <t>ERR_2_i</t>
  </si>
  <si>
    <t>LIST of Best ERR 10%</t>
  </si>
  <si>
    <t>LIST of BEST ERR 20%</t>
  </si>
  <si>
    <t>n=5 -&gt; 0.5 -&gt; 1</t>
  </si>
  <si>
    <t>n=5 -&gt; 1 -&gt; 1</t>
  </si>
  <si>
    <t>eps=0.003</t>
  </si>
  <si>
    <t>ADV</t>
  </si>
  <si>
    <t>ERR0_STD</t>
  </si>
  <si>
    <t>ERR1_STD</t>
  </si>
  <si>
    <t>ERR2_STD</t>
  </si>
  <si>
    <t>CLSDIV</t>
  </si>
  <si>
    <t>NOCLSDIV</t>
  </si>
  <si>
    <t>ERR_0</t>
  </si>
  <si>
    <t>ERR_1</t>
  </si>
  <si>
    <t>ERR_2</t>
  </si>
  <si>
    <t>ep=0.0001</t>
  </si>
  <si>
    <t>ep=0.01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</si>
</sst>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2" fontId="0" fillId="0" borderId="0" xfId="0" applyNumberFormat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7"/>
  <sheetViews>
    <sheetView tabSelected="1" workbookViewId="0">
      <selection activeCell="E5" sqref="E5:N5"/>
    </sheetView>
  </sheetViews>
  <sheetFormatPr defaultRowHeight="14.4" x14ac:dyDescent="0.3"/>
  <cols>
    <col min="1" max="1" width="9.88671875" customWidth="1"/>
  </cols>
  <sheetData>
    <row r="1" spans="1:14" x14ac:dyDescent="0.3">
      <c r="A1" t="s">
        <v>2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</v>
      </c>
      <c r="L1" t="s">
        <v>17</v>
      </c>
      <c r="M1" t="s">
        <v>19</v>
      </c>
      <c r="N1" t="s">
        <v>20</v>
      </c>
    </row>
    <row r="2" spans="1:14" x14ac:dyDescent="0.3">
      <c r="B2" t="s">
        <v>3</v>
      </c>
      <c r="E2" s="1">
        <v>28.055555555555557</v>
      </c>
      <c r="F2" s="1">
        <v>2.4930458836085987</v>
      </c>
      <c r="G2" s="1">
        <v>13.666666666666666</v>
      </c>
      <c r="H2" s="1">
        <v>2.3048861143232218</v>
      </c>
      <c r="I2" s="1">
        <v>37.444444444444443</v>
      </c>
      <c r="J2" s="1">
        <v>1.7579185924774154</v>
      </c>
      <c r="K2" s="1">
        <v>26.388888888888893</v>
      </c>
      <c r="L2" s="1">
        <v>1.5701203067847307</v>
      </c>
      <c r="M2" s="1">
        <v>12.722222222222221</v>
      </c>
      <c r="N2" s="1">
        <v>1.8503002759312106</v>
      </c>
    </row>
    <row r="3" spans="1:14" x14ac:dyDescent="0.3">
      <c r="B3" t="s">
        <v>32</v>
      </c>
      <c r="E3" s="1"/>
      <c r="F3" s="1"/>
      <c r="G3" s="1"/>
      <c r="H3" s="1"/>
      <c r="I3" s="1"/>
      <c r="J3" s="1"/>
      <c r="K3" s="1"/>
      <c r="L3" s="1"/>
      <c r="M3" s="1"/>
      <c r="N3" s="1"/>
    </row>
    <row r="4" spans="1:14" x14ac:dyDescent="0.3">
      <c r="C4" t="s">
        <v>36</v>
      </c>
      <c r="E4" s="1"/>
      <c r="F4" s="1"/>
      <c r="G4" s="1"/>
      <c r="H4" s="1"/>
      <c r="I4" s="1"/>
      <c r="J4" s="1"/>
      <c r="K4" s="1"/>
      <c r="L4" s="1"/>
      <c r="M4" s="1"/>
      <c r="N4" s="1"/>
    </row>
    <row r="5" spans="1:14" x14ac:dyDescent="0.3">
      <c r="D5" t="s">
        <v>42</v>
      </c>
      <c r="E5" s="1">
        <v>23.583333333333332</v>
      </c>
      <c r="F5" s="1">
        <v>3.6389100932376302</v>
      </c>
      <c r="G5" s="1">
        <v>12.25</v>
      </c>
      <c r="H5" s="1">
        <v>2.7156951228000539</v>
      </c>
      <c r="I5" s="1">
        <v>36.25</v>
      </c>
      <c r="J5" s="1">
        <v>4.6341126442934035</v>
      </c>
      <c r="K5" s="1">
        <v>24.027777777777775</v>
      </c>
      <c r="L5" s="1">
        <v>2.9766063201547528</v>
      </c>
      <c r="M5" s="1">
        <v>11.777777777777779</v>
      </c>
      <c r="N5" s="1">
        <v>2.5136663498798919</v>
      </c>
    </row>
    <row r="6" spans="1:14" x14ac:dyDescent="0.3">
      <c r="C6" t="s">
        <v>37</v>
      </c>
      <c r="E6" s="1"/>
      <c r="F6" s="1"/>
      <c r="G6" s="1"/>
      <c r="H6" s="1"/>
      <c r="I6" s="1"/>
      <c r="J6" s="1"/>
      <c r="K6" s="1"/>
      <c r="L6" s="1"/>
      <c r="M6" s="1"/>
      <c r="N6" s="1"/>
    </row>
    <row r="7" spans="1:14" x14ac:dyDescent="0.3">
      <c r="D7" t="s">
        <v>41</v>
      </c>
      <c r="E7" s="1">
        <v>25.333333333333332</v>
      </c>
      <c r="F7" s="1">
        <v>3.1885210782848366</v>
      </c>
      <c r="G7" s="1">
        <v>12.166666666666666</v>
      </c>
      <c r="H7" s="1">
        <v>1.7795130420052205</v>
      </c>
      <c r="I7" s="1">
        <v>38.416666666666664</v>
      </c>
      <c r="J7" s="1">
        <v>4.6627960138383484</v>
      </c>
      <c r="K7" s="1">
        <v>25.305555555555557</v>
      </c>
      <c r="L7" s="1">
        <v>2.8624322731758092</v>
      </c>
      <c r="M7" s="1">
        <v>13.138888888888886</v>
      </c>
      <c r="N7" s="1">
        <v>2.1484275041855216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82D8A-1A23-4CF3-9872-DA5B576CDAF9}">
  <dimension ref="A1:AF8"/>
  <sheetViews>
    <sheetView topLeftCell="P1" workbookViewId="0">
      <selection activeCell="W3" sqref="W3:AF3"/>
    </sheetView>
  </sheetViews>
  <sheetFormatPr defaultRowHeight="14.4" x14ac:dyDescent="0.3"/>
  <cols>
    <col min="34" max="34" width="26.88671875" customWidth="1"/>
    <col min="38" max="38" width="20.88671875" customWidth="1"/>
  </cols>
  <sheetData>
    <row r="1" spans="1:32" x14ac:dyDescent="0.3">
      <c r="A1" t="s">
        <v>41</v>
      </c>
    </row>
    <row r="2" spans="1:32" x14ac:dyDescent="0.3">
      <c r="A2" t="s">
        <v>21</v>
      </c>
      <c r="F2" t="s">
        <v>22</v>
      </c>
      <c r="K2" t="s">
        <v>23</v>
      </c>
      <c r="Q2" t="s">
        <v>24</v>
      </c>
      <c r="R2" t="s">
        <v>25</v>
      </c>
      <c r="S2" t="s">
        <v>26</v>
      </c>
      <c r="T2" t="s">
        <v>16</v>
      </c>
      <c r="U2" t="s">
        <v>18</v>
      </c>
      <c r="V2" t="s">
        <v>15</v>
      </c>
      <c r="W2" t="s">
        <v>5</v>
      </c>
      <c r="X2" t="s">
        <v>33</v>
      </c>
      <c r="Y2" t="s">
        <v>7</v>
      </c>
      <c r="Z2" t="s">
        <v>34</v>
      </c>
      <c r="AA2" t="s">
        <v>9</v>
      </c>
      <c r="AB2" t="s">
        <v>35</v>
      </c>
      <c r="AC2" t="s">
        <v>1</v>
      </c>
      <c r="AD2" t="s">
        <v>17</v>
      </c>
      <c r="AE2" t="s">
        <v>19</v>
      </c>
      <c r="AF2" t="s">
        <v>20</v>
      </c>
    </row>
    <row r="3" spans="1:32" x14ac:dyDescent="0.3">
      <c r="B3">
        <v>81</v>
      </c>
      <c r="C3">
        <v>19</v>
      </c>
      <c r="D3">
        <v>32</v>
      </c>
      <c r="E3">
        <v>68</v>
      </c>
      <c r="G3">
        <v>88</v>
      </c>
      <c r="H3">
        <v>12</v>
      </c>
      <c r="I3">
        <v>15</v>
      </c>
      <c r="J3">
        <v>85</v>
      </c>
      <c r="L3">
        <v>80</v>
      </c>
      <c r="M3">
        <v>20</v>
      </c>
      <c r="N3">
        <v>51</v>
      </c>
      <c r="O3">
        <v>49</v>
      </c>
      <c r="Q3">
        <f>AVERAGE(C3,D3)</f>
        <v>25.5</v>
      </c>
      <c r="R3">
        <f>AVERAGE(H3,I3)</f>
        <v>13.5</v>
      </c>
      <c r="S3">
        <f>AVERAGE(M3,N3)</f>
        <v>35.5</v>
      </c>
      <c r="T3">
        <f>AVERAGE(Q3:S3)</f>
        <v>24.833333333333332</v>
      </c>
      <c r="U3">
        <f>MIN(Q3:S3)</f>
        <v>13.5</v>
      </c>
      <c r="V3">
        <f>(T3-U3)</f>
        <v>11.333333333333332</v>
      </c>
      <c r="W3">
        <f>AVERAGE(Q3:Q8)</f>
        <v>25.333333333333332</v>
      </c>
      <c r="X3">
        <f>_xlfn.STDEV.S(Q3:Q8)</f>
        <v>3.1885210782848366</v>
      </c>
      <c r="Y3">
        <f>AVERAGE(R3:R8)</f>
        <v>12.166666666666666</v>
      </c>
      <c r="Z3">
        <f>_xlfn.STDEV.S(R3:R8)</f>
        <v>1.7795130420052205</v>
      </c>
      <c r="AA3">
        <f>AVERAGE(S3:S8)</f>
        <v>38.416666666666664</v>
      </c>
      <c r="AB3">
        <f>_xlfn.STDEV.S(S3:S8)</f>
        <v>4.6627960138383484</v>
      </c>
      <c r="AC3">
        <f>AVERAGE(T3:T8)</f>
        <v>25.305555555555557</v>
      </c>
      <c r="AD3">
        <f>_xlfn.STDEV.S(T3:T8)</f>
        <v>2.8624322731758092</v>
      </c>
      <c r="AE3">
        <f>AVERAGE(V3:V8)</f>
        <v>13.138888888888886</v>
      </c>
      <c r="AF3">
        <f>_xlfn.STDEV.S(V3:V8)</f>
        <v>2.1484275041855216</v>
      </c>
    </row>
    <row r="4" spans="1:32" x14ac:dyDescent="0.3">
      <c r="B4">
        <v>87</v>
      </c>
      <c r="C4">
        <v>13</v>
      </c>
      <c r="D4">
        <v>44</v>
      </c>
      <c r="E4">
        <v>56</v>
      </c>
      <c r="G4">
        <v>87</v>
      </c>
      <c r="H4">
        <v>13</v>
      </c>
      <c r="I4">
        <v>16</v>
      </c>
      <c r="J4">
        <v>84</v>
      </c>
      <c r="L4">
        <v>84</v>
      </c>
      <c r="M4">
        <v>16</v>
      </c>
      <c r="N4">
        <v>66</v>
      </c>
      <c r="O4">
        <v>34</v>
      </c>
      <c r="Q4">
        <f t="shared" ref="Q4:Q27" si="0">AVERAGE(C4,D4)</f>
        <v>28.5</v>
      </c>
      <c r="R4">
        <f t="shared" ref="R4:R27" si="1">AVERAGE(H4,I4)</f>
        <v>14.5</v>
      </c>
      <c r="S4">
        <f t="shared" ref="S4:S27" si="2">AVERAGE(M4,N4)</f>
        <v>41</v>
      </c>
      <c r="T4">
        <f t="shared" ref="T4:T27" si="3">AVERAGE(Q4:S4)</f>
        <v>28</v>
      </c>
      <c r="U4">
        <f t="shared" ref="U4:U27" si="4">MIN(Q4:S4)</f>
        <v>14.5</v>
      </c>
      <c r="V4">
        <f>(T4-U4)</f>
        <v>13.5</v>
      </c>
    </row>
    <row r="5" spans="1:32" x14ac:dyDescent="0.3">
      <c r="B5">
        <v>82</v>
      </c>
      <c r="C5">
        <v>18</v>
      </c>
      <c r="D5">
        <v>37</v>
      </c>
      <c r="E5">
        <v>63</v>
      </c>
      <c r="G5">
        <v>89</v>
      </c>
      <c r="H5">
        <v>11</v>
      </c>
      <c r="I5">
        <v>12</v>
      </c>
      <c r="J5">
        <v>88</v>
      </c>
      <c r="L5">
        <v>76</v>
      </c>
      <c r="M5">
        <v>24</v>
      </c>
      <c r="N5">
        <v>66</v>
      </c>
      <c r="O5">
        <v>34</v>
      </c>
      <c r="Q5">
        <f t="shared" ref="Q5:Q8" si="5">AVERAGE(C5,D5)</f>
        <v>27.5</v>
      </c>
      <c r="R5">
        <f t="shared" ref="R5:R8" si="6">AVERAGE(H5,I5)</f>
        <v>11.5</v>
      </c>
      <c r="S5">
        <f t="shared" ref="S5:S8" si="7">AVERAGE(M5,N5)</f>
        <v>45</v>
      </c>
      <c r="T5">
        <f t="shared" ref="T5:T8" si="8">AVERAGE(Q5:S5)</f>
        <v>28</v>
      </c>
      <c r="U5">
        <f t="shared" ref="U5:U8" si="9">MIN(Q5:S5)</f>
        <v>11.5</v>
      </c>
      <c r="V5">
        <f t="shared" ref="V5:V8" si="10">(T5-U5)</f>
        <v>16.5</v>
      </c>
    </row>
    <row r="6" spans="1:32" x14ac:dyDescent="0.3">
      <c r="B6">
        <v>79</v>
      </c>
      <c r="C6">
        <v>21</v>
      </c>
      <c r="D6">
        <v>18</v>
      </c>
      <c r="E6">
        <v>82</v>
      </c>
      <c r="G6">
        <v>85</v>
      </c>
      <c r="H6">
        <v>15</v>
      </c>
      <c r="I6">
        <v>6</v>
      </c>
      <c r="J6">
        <v>94</v>
      </c>
      <c r="L6">
        <v>68</v>
      </c>
      <c r="M6">
        <v>32</v>
      </c>
      <c r="N6">
        <v>33</v>
      </c>
      <c r="O6">
        <v>67</v>
      </c>
      <c r="Q6">
        <f t="shared" si="5"/>
        <v>19.5</v>
      </c>
      <c r="R6">
        <f t="shared" si="6"/>
        <v>10.5</v>
      </c>
      <c r="S6">
        <f t="shared" si="7"/>
        <v>32.5</v>
      </c>
      <c r="T6">
        <f t="shared" si="8"/>
        <v>20.833333333333332</v>
      </c>
      <c r="U6">
        <f t="shared" si="9"/>
        <v>10.5</v>
      </c>
      <c r="V6">
        <f t="shared" si="10"/>
        <v>10.333333333333332</v>
      </c>
    </row>
    <row r="7" spans="1:32" x14ac:dyDescent="0.3">
      <c r="B7">
        <v>80</v>
      </c>
      <c r="C7">
        <v>20</v>
      </c>
      <c r="D7">
        <v>33</v>
      </c>
      <c r="E7">
        <v>67</v>
      </c>
      <c r="G7">
        <v>81</v>
      </c>
      <c r="H7">
        <v>19</v>
      </c>
      <c r="I7">
        <v>7</v>
      </c>
      <c r="J7">
        <v>93</v>
      </c>
      <c r="L7">
        <v>76</v>
      </c>
      <c r="M7">
        <v>24</v>
      </c>
      <c r="N7">
        <v>58</v>
      </c>
      <c r="O7">
        <v>42</v>
      </c>
      <c r="Q7">
        <f t="shared" si="5"/>
        <v>26.5</v>
      </c>
      <c r="R7">
        <f t="shared" si="6"/>
        <v>13</v>
      </c>
      <c r="S7">
        <f t="shared" si="7"/>
        <v>41</v>
      </c>
      <c r="T7">
        <f t="shared" si="8"/>
        <v>26.833333333333332</v>
      </c>
      <c r="U7">
        <f t="shared" si="9"/>
        <v>13</v>
      </c>
      <c r="V7">
        <f t="shared" si="10"/>
        <v>13.833333333333332</v>
      </c>
    </row>
    <row r="8" spans="1:32" x14ac:dyDescent="0.3">
      <c r="B8">
        <v>88</v>
      </c>
      <c r="C8">
        <v>12</v>
      </c>
      <c r="D8">
        <v>37</v>
      </c>
      <c r="E8">
        <v>63</v>
      </c>
      <c r="G8">
        <v>88</v>
      </c>
      <c r="H8">
        <v>12</v>
      </c>
      <c r="I8">
        <v>8</v>
      </c>
      <c r="J8">
        <v>92</v>
      </c>
      <c r="L8">
        <v>78</v>
      </c>
      <c r="M8">
        <v>22</v>
      </c>
      <c r="N8">
        <v>49</v>
      </c>
      <c r="O8">
        <v>51</v>
      </c>
      <c r="Q8">
        <f t="shared" si="5"/>
        <v>24.5</v>
      </c>
      <c r="R8">
        <f t="shared" si="6"/>
        <v>10</v>
      </c>
      <c r="S8">
        <f t="shared" si="7"/>
        <v>35.5</v>
      </c>
      <c r="T8">
        <f t="shared" si="8"/>
        <v>23.333333333333332</v>
      </c>
      <c r="U8">
        <f t="shared" si="9"/>
        <v>10</v>
      </c>
      <c r="V8">
        <f t="shared" si="10"/>
        <v>13.333333333333332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4124B-224B-4F9B-B528-181D112DB9C5}">
  <dimension ref="A1:AN8"/>
  <sheetViews>
    <sheetView topLeftCell="O1" workbookViewId="0">
      <selection activeCell="W3" sqref="W3:AF3"/>
    </sheetView>
  </sheetViews>
  <sheetFormatPr defaultRowHeight="14.4" x14ac:dyDescent="0.3"/>
  <cols>
    <col min="34" max="34" width="26.88671875" customWidth="1"/>
    <col min="38" max="38" width="20.88671875" customWidth="1"/>
  </cols>
  <sheetData>
    <row r="1" spans="1:40" x14ac:dyDescent="0.3">
      <c r="A1" t="s">
        <v>41</v>
      </c>
    </row>
    <row r="2" spans="1:40" x14ac:dyDescent="0.3">
      <c r="A2" t="s">
        <v>21</v>
      </c>
      <c r="F2" t="s">
        <v>22</v>
      </c>
      <c r="K2" t="s">
        <v>23</v>
      </c>
      <c r="Q2" t="s">
        <v>24</v>
      </c>
      <c r="R2" t="s">
        <v>25</v>
      </c>
      <c r="S2" t="s">
        <v>26</v>
      </c>
      <c r="T2" t="s">
        <v>16</v>
      </c>
      <c r="U2" t="s">
        <v>18</v>
      </c>
      <c r="V2" t="s">
        <v>15</v>
      </c>
      <c r="W2" t="s">
        <v>5</v>
      </c>
      <c r="X2" t="s">
        <v>33</v>
      </c>
      <c r="Y2" t="s">
        <v>7</v>
      </c>
      <c r="Z2" t="s">
        <v>34</v>
      </c>
      <c r="AA2" t="s">
        <v>9</v>
      </c>
      <c r="AB2" t="s">
        <v>35</v>
      </c>
      <c r="AC2" t="s">
        <v>1</v>
      </c>
      <c r="AD2" t="s">
        <v>17</v>
      </c>
      <c r="AE2" t="s">
        <v>19</v>
      </c>
      <c r="AF2" t="s">
        <v>20</v>
      </c>
      <c r="AH2" t="s">
        <v>27</v>
      </c>
      <c r="AI2" t="s">
        <v>1</v>
      </c>
      <c r="AJ2" t="s">
        <v>19</v>
      </c>
      <c r="AL2" t="s">
        <v>28</v>
      </c>
      <c r="AM2" t="s">
        <v>1</v>
      </c>
      <c r="AN2" t="s">
        <v>19</v>
      </c>
    </row>
    <row r="3" spans="1:40" x14ac:dyDescent="0.3">
      <c r="B3">
        <v>80</v>
      </c>
      <c r="C3">
        <v>20</v>
      </c>
      <c r="D3">
        <v>23</v>
      </c>
      <c r="E3">
        <v>77</v>
      </c>
      <c r="G3">
        <v>83</v>
      </c>
      <c r="H3">
        <v>17</v>
      </c>
      <c r="I3">
        <v>12</v>
      </c>
      <c r="J3">
        <v>88</v>
      </c>
      <c r="L3">
        <v>68</v>
      </c>
      <c r="M3">
        <v>32</v>
      </c>
      <c r="N3">
        <v>44</v>
      </c>
      <c r="O3">
        <v>56</v>
      </c>
      <c r="Q3">
        <f>AVERAGE(C3,D3)</f>
        <v>21.5</v>
      </c>
      <c r="R3">
        <f>AVERAGE(H3,I3)</f>
        <v>14.5</v>
      </c>
      <c r="S3">
        <f>AVERAGE(M3,N3)</f>
        <v>38</v>
      </c>
      <c r="T3">
        <f>AVERAGE(Q3:S3)</f>
        <v>24.666666666666668</v>
      </c>
      <c r="U3">
        <f>MIN(Q3:S3)</f>
        <v>14.5</v>
      </c>
      <c r="V3">
        <f>(T3-U3)</f>
        <v>10.166666666666668</v>
      </c>
      <c r="W3">
        <f>AVERAGE(Q3:Q8)</f>
        <v>23.583333333333332</v>
      </c>
      <c r="X3">
        <f>_xlfn.STDEV.S(Q3:Q8)</f>
        <v>3.6389100932376302</v>
      </c>
      <c r="Y3">
        <f>AVERAGE(R3:R8)</f>
        <v>12.25</v>
      </c>
      <c r="Z3">
        <f>_xlfn.STDEV.S(R3:R8)</f>
        <v>2.7156951228000539</v>
      </c>
      <c r="AA3">
        <f>AVERAGE(S3:S8)</f>
        <v>36.25</v>
      </c>
      <c r="AB3">
        <f>_xlfn.STDEV.S(S3:S8)</f>
        <v>4.6341126442934035</v>
      </c>
      <c r="AC3">
        <f>AVERAGE(T3:T8)</f>
        <v>24.027777777777775</v>
      </c>
      <c r="AD3">
        <f>_xlfn.STDEV.S(T3:T8)</f>
        <v>2.9766063201547528</v>
      </c>
      <c r="AE3">
        <f>AVERAGE(V3:V8)</f>
        <v>11.777777777777779</v>
      </c>
      <c r="AF3">
        <f>_xlfn.STDEV.S(V3:V8)</f>
        <v>2.5136663498798919</v>
      </c>
      <c r="AH3" t="s">
        <v>29</v>
      </c>
      <c r="AL3" t="s">
        <v>30</v>
      </c>
    </row>
    <row r="4" spans="1:40" x14ac:dyDescent="0.3">
      <c r="B4">
        <v>86</v>
      </c>
      <c r="C4">
        <v>14</v>
      </c>
      <c r="D4">
        <v>29</v>
      </c>
      <c r="E4">
        <v>71</v>
      </c>
      <c r="G4">
        <v>80</v>
      </c>
      <c r="H4">
        <v>20</v>
      </c>
      <c r="I4">
        <v>8</v>
      </c>
      <c r="J4">
        <v>92</v>
      </c>
      <c r="L4">
        <v>80</v>
      </c>
      <c r="M4">
        <v>20</v>
      </c>
      <c r="N4">
        <v>40</v>
      </c>
      <c r="O4">
        <v>60</v>
      </c>
      <c r="Q4">
        <f t="shared" ref="Q4:Q27" si="0">AVERAGE(C4,D4)</f>
        <v>21.5</v>
      </c>
      <c r="R4">
        <f t="shared" ref="R4:R27" si="1">AVERAGE(H4,I4)</f>
        <v>14</v>
      </c>
      <c r="S4">
        <f t="shared" ref="S4:S27" si="2">AVERAGE(M4,N4)</f>
        <v>30</v>
      </c>
      <c r="T4">
        <f t="shared" ref="T4:T27" si="3">AVERAGE(Q4:S4)</f>
        <v>21.833333333333332</v>
      </c>
      <c r="U4">
        <f t="shared" ref="U4:U27" si="4">MIN(Q4:S4)</f>
        <v>14</v>
      </c>
      <c r="V4">
        <f>(T4-U4)</f>
        <v>7.8333333333333321</v>
      </c>
      <c r="AH4" t="s">
        <v>31</v>
      </c>
      <c r="AI4">
        <v>28.041666666666668</v>
      </c>
      <c r="AJ4">
        <v>2.5972222222222219</v>
      </c>
      <c r="AL4" t="s">
        <v>31</v>
      </c>
      <c r="AM4">
        <v>28.041666666666668</v>
      </c>
    </row>
    <row r="5" spans="1:40" x14ac:dyDescent="0.3">
      <c r="B5">
        <v>74</v>
      </c>
      <c r="C5">
        <v>26</v>
      </c>
      <c r="D5">
        <v>22</v>
      </c>
      <c r="E5">
        <v>78</v>
      </c>
      <c r="G5">
        <v>80</v>
      </c>
      <c r="H5">
        <v>20</v>
      </c>
      <c r="I5">
        <v>4</v>
      </c>
      <c r="J5">
        <v>96</v>
      </c>
      <c r="L5">
        <v>51</v>
      </c>
      <c r="M5">
        <v>49</v>
      </c>
      <c r="N5">
        <v>32</v>
      </c>
      <c r="O5">
        <v>68</v>
      </c>
      <c r="Q5">
        <f t="shared" ref="Q5:Q8" si="5">AVERAGE(C5,D5)</f>
        <v>24</v>
      </c>
      <c r="R5">
        <f t="shared" ref="R5:R8" si="6">AVERAGE(H5,I5)</f>
        <v>12</v>
      </c>
      <c r="S5">
        <f t="shared" ref="S5:S8" si="7">AVERAGE(M5,N5)</f>
        <v>40.5</v>
      </c>
      <c r="T5">
        <f t="shared" ref="T5:T8" si="8">AVERAGE(Q5:S5)</f>
        <v>25.5</v>
      </c>
      <c r="U5">
        <f t="shared" ref="U5:U8" si="9">MIN(Q5:S5)</f>
        <v>12</v>
      </c>
      <c r="V5">
        <f t="shared" ref="V5:V8" si="10">(T5-U5)</f>
        <v>13.5</v>
      </c>
    </row>
    <row r="6" spans="1:40" x14ac:dyDescent="0.3">
      <c r="B6">
        <v>82</v>
      </c>
      <c r="C6">
        <v>18</v>
      </c>
      <c r="D6">
        <v>29</v>
      </c>
      <c r="E6">
        <v>71</v>
      </c>
      <c r="G6">
        <v>86</v>
      </c>
      <c r="H6">
        <v>14</v>
      </c>
      <c r="I6">
        <v>4</v>
      </c>
      <c r="J6">
        <v>96</v>
      </c>
      <c r="L6">
        <v>73</v>
      </c>
      <c r="M6">
        <v>27</v>
      </c>
      <c r="N6">
        <v>48</v>
      </c>
      <c r="O6">
        <v>52</v>
      </c>
      <c r="Q6">
        <f t="shared" si="5"/>
        <v>23.5</v>
      </c>
      <c r="R6">
        <f t="shared" si="6"/>
        <v>9</v>
      </c>
      <c r="S6">
        <f t="shared" si="7"/>
        <v>37.5</v>
      </c>
      <c r="T6">
        <f t="shared" si="8"/>
        <v>23.333333333333332</v>
      </c>
      <c r="U6">
        <f t="shared" si="9"/>
        <v>9</v>
      </c>
      <c r="V6">
        <f t="shared" si="10"/>
        <v>14.333333333333332</v>
      </c>
    </row>
    <row r="7" spans="1:40" x14ac:dyDescent="0.3">
      <c r="B7">
        <v>85</v>
      </c>
      <c r="C7">
        <v>15</v>
      </c>
      <c r="D7">
        <v>26</v>
      </c>
      <c r="E7">
        <v>74</v>
      </c>
      <c r="G7">
        <v>89</v>
      </c>
      <c r="H7">
        <v>11</v>
      </c>
      <c r="I7">
        <v>7</v>
      </c>
      <c r="J7">
        <v>93</v>
      </c>
      <c r="L7">
        <v>73</v>
      </c>
      <c r="M7">
        <v>27</v>
      </c>
      <c r="N7">
        <v>35</v>
      </c>
      <c r="O7">
        <v>65</v>
      </c>
      <c r="Q7">
        <f t="shared" si="5"/>
        <v>20.5</v>
      </c>
      <c r="R7">
        <f t="shared" si="6"/>
        <v>9</v>
      </c>
      <c r="S7">
        <f t="shared" si="7"/>
        <v>31</v>
      </c>
      <c r="T7">
        <f t="shared" si="8"/>
        <v>20.166666666666668</v>
      </c>
      <c r="U7">
        <f t="shared" si="9"/>
        <v>9</v>
      </c>
      <c r="V7">
        <f t="shared" si="10"/>
        <v>11.166666666666668</v>
      </c>
    </row>
    <row r="8" spans="1:40" x14ac:dyDescent="0.3">
      <c r="B8">
        <v>85</v>
      </c>
      <c r="C8">
        <v>15</v>
      </c>
      <c r="D8">
        <v>46</v>
      </c>
      <c r="E8">
        <v>54</v>
      </c>
      <c r="G8">
        <v>84</v>
      </c>
      <c r="H8">
        <v>16</v>
      </c>
      <c r="I8">
        <v>14</v>
      </c>
      <c r="J8">
        <v>86</v>
      </c>
      <c r="L8">
        <v>75</v>
      </c>
      <c r="M8">
        <v>25</v>
      </c>
      <c r="N8">
        <v>56</v>
      </c>
      <c r="O8">
        <v>44</v>
      </c>
      <c r="Q8">
        <f t="shared" si="5"/>
        <v>30.5</v>
      </c>
      <c r="R8">
        <f t="shared" si="6"/>
        <v>15</v>
      </c>
      <c r="S8">
        <f t="shared" si="7"/>
        <v>40.5</v>
      </c>
      <c r="T8">
        <f t="shared" si="8"/>
        <v>28.666666666666668</v>
      </c>
      <c r="U8">
        <f t="shared" si="9"/>
        <v>15</v>
      </c>
      <c r="V8">
        <f t="shared" si="10"/>
        <v>13.666666666666668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BAE23-A740-4698-B840-F018E78CD098}">
  <dimension ref="A1:AE11"/>
  <sheetViews>
    <sheetView topLeftCell="K1" workbookViewId="0">
      <selection activeCell="AE3" activeCellId="2" sqref="T3:AA3 AD3 AE3"/>
    </sheetView>
  </sheetViews>
  <sheetFormatPr defaultRowHeight="14.4" x14ac:dyDescent="0.3"/>
  <cols>
    <col min="22" max="22" width="13.109375" customWidth="1"/>
  </cols>
  <sheetData>
    <row r="1" spans="1:31" x14ac:dyDescent="0.3">
      <c r="A1" t="s">
        <v>0</v>
      </c>
      <c r="P1" t="s">
        <v>11</v>
      </c>
    </row>
    <row r="2" spans="1:31" x14ac:dyDescent="0.3">
      <c r="A2" t="s">
        <v>4</v>
      </c>
      <c r="P2" t="s">
        <v>12</v>
      </c>
      <c r="Q2" t="s">
        <v>13</v>
      </c>
      <c r="R2" t="s">
        <v>14</v>
      </c>
      <c r="S2" t="s">
        <v>16</v>
      </c>
      <c r="T2" t="s">
        <v>38</v>
      </c>
      <c r="U2" t="s">
        <v>33</v>
      </c>
      <c r="V2" t="s">
        <v>39</v>
      </c>
      <c r="W2" t="s">
        <v>34</v>
      </c>
      <c r="X2" t="s">
        <v>40</v>
      </c>
      <c r="Y2" t="s">
        <v>35</v>
      </c>
      <c r="Z2" t="s">
        <v>1</v>
      </c>
      <c r="AA2" t="s">
        <v>17</v>
      </c>
      <c r="AB2" t="s">
        <v>18</v>
      </c>
      <c r="AC2" t="s">
        <v>15</v>
      </c>
      <c r="AD2" t="s">
        <v>19</v>
      </c>
      <c r="AE2" t="s">
        <v>20</v>
      </c>
    </row>
    <row r="3" spans="1:31" x14ac:dyDescent="0.3">
      <c r="A3">
        <v>84</v>
      </c>
      <c r="B3">
        <v>16</v>
      </c>
      <c r="C3">
        <v>39</v>
      </c>
      <c r="D3">
        <v>61</v>
      </c>
      <c r="F3">
        <v>77</v>
      </c>
      <c r="G3">
        <v>23</v>
      </c>
      <c r="H3">
        <v>13</v>
      </c>
      <c r="I3">
        <v>87</v>
      </c>
      <c r="K3">
        <v>68</v>
      </c>
      <c r="L3">
        <v>32</v>
      </c>
      <c r="M3">
        <v>42</v>
      </c>
      <c r="N3">
        <v>58</v>
      </c>
      <c r="P3">
        <f>AVERAGE(B3:C3)</f>
        <v>27.5</v>
      </c>
      <c r="Q3">
        <f>AVERAGE(G3:H3)</f>
        <v>18</v>
      </c>
      <c r="R3">
        <f>AVERAGE(L3:M3)</f>
        <v>37</v>
      </c>
      <c r="S3">
        <f>AVERAGE(P3:R3)</f>
        <v>27.5</v>
      </c>
      <c r="T3">
        <f>AVERAGE(P3:P11)</f>
        <v>28.055555555555557</v>
      </c>
      <c r="U3">
        <f>_xlfn.STDEV.S(P3:P11)</f>
        <v>2.4930458836085987</v>
      </c>
      <c r="V3">
        <f>AVERAGE(Q3:Q11)</f>
        <v>13.666666666666666</v>
      </c>
      <c r="W3">
        <f>_xlfn.STDEV.S(Q3:Q11)</f>
        <v>2.3048861143232218</v>
      </c>
      <c r="X3">
        <f>AVERAGE(R3:R11)</f>
        <v>37.444444444444443</v>
      </c>
      <c r="Y3">
        <f>_xlfn.STDEV.S(R3:R11)</f>
        <v>1.7579185924774154</v>
      </c>
      <c r="Z3">
        <f>AVERAGE(S3:S11)</f>
        <v>26.388888888888893</v>
      </c>
      <c r="AA3">
        <f>_xlfn.STDEV.S(S3:S11)</f>
        <v>1.5701203067847307</v>
      </c>
      <c r="AB3">
        <f>MIN(P3:R3)</f>
        <v>18</v>
      </c>
      <c r="AC3">
        <f>S3-AB3</f>
        <v>9.5</v>
      </c>
      <c r="AD3">
        <f>AVERAGE(AC3:AC11)</f>
        <v>12.722222222222221</v>
      </c>
      <c r="AE3">
        <f>_xlfn.STDEV.S(AC3:AC11)</f>
        <v>1.8503002759312106</v>
      </c>
    </row>
    <row r="4" spans="1:31" x14ac:dyDescent="0.3">
      <c r="A4">
        <v>80</v>
      </c>
      <c r="B4">
        <v>20</v>
      </c>
      <c r="C4">
        <v>39</v>
      </c>
      <c r="D4">
        <v>61</v>
      </c>
      <c r="F4">
        <v>78</v>
      </c>
      <c r="G4">
        <v>22</v>
      </c>
      <c r="H4">
        <v>11</v>
      </c>
      <c r="I4">
        <v>89</v>
      </c>
      <c r="K4">
        <v>65</v>
      </c>
      <c r="L4">
        <v>35</v>
      </c>
      <c r="M4">
        <v>43</v>
      </c>
      <c r="N4">
        <v>57</v>
      </c>
      <c r="P4">
        <f t="shared" ref="P4:P5" si="0">AVERAGE(B4:C4)</f>
        <v>29.5</v>
      </c>
      <c r="Q4">
        <f t="shared" ref="Q4:Q5" si="1">AVERAGE(G4:H4)</f>
        <v>16.5</v>
      </c>
      <c r="R4">
        <f t="shared" ref="R4:R5" si="2">AVERAGE(L4:M4)</f>
        <v>39</v>
      </c>
      <c r="S4">
        <f t="shared" ref="S4:S5" si="3">AVERAGE(P4:R4)</f>
        <v>28.333333333333332</v>
      </c>
      <c r="AB4">
        <f t="shared" ref="AB4:AB5" si="4">MIN(P4:R4)</f>
        <v>16.5</v>
      </c>
      <c r="AC4">
        <f t="shared" ref="AC4:AC5" si="5">S4-AB4</f>
        <v>11.833333333333332</v>
      </c>
    </row>
    <row r="5" spans="1:31" x14ac:dyDescent="0.3">
      <c r="A5">
        <v>86</v>
      </c>
      <c r="B5">
        <v>14</v>
      </c>
      <c r="C5">
        <v>40</v>
      </c>
      <c r="D5">
        <v>60</v>
      </c>
      <c r="F5">
        <v>88</v>
      </c>
      <c r="G5">
        <v>12</v>
      </c>
      <c r="H5">
        <v>10</v>
      </c>
      <c r="I5">
        <v>90</v>
      </c>
      <c r="K5">
        <v>76</v>
      </c>
      <c r="L5">
        <v>24</v>
      </c>
      <c r="M5">
        <v>48</v>
      </c>
      <c r="N5">
        <v>52</v>
      </c>
      <c r="P5">
        <f t="shared" si="0"/>
        <v>27</v>
      </c>
      <c r="Q5">
        <f t="shared" si="1"/>
        <v>11</v>
      </c>
      <c r="R5">
        <f t="shared" si="2"/>
        <v>36</v>
      </c>
      <c r="S5">
        <f t="shared" si="3"/>
        <v>24.666666666666668</v>
      </c>
      <c r="AB5">
        <f t="shared" si="4"/>
        <v>11</v>
      </c>
      <c r="AC5">
        <f t="shared" si="5"/>
        <v>13.666666666666668</v>
      </c>
    </row>
    <row r="6" spans="1:31" x14ac:dyDescent="0.3">
      <c r="A6">
        <v>79</v>
      </c>
      <c r="B6">
        <v>21</v>
      </c>
      <c r="C6">
        <v>29</v>
      </c>
      <c r="D6">
        <v>71</v>
      </c>
      <c r="F6">
        <v>84</v>
      </c>
      <c r="G6">
        <v>16</v>
      </c>
      <c r="H6">
        <v>10</v>
      </c>
      <c r="I6">
        <v>90</v>
      </c>
      <c r="K6">
        <v>77</v>
      </c>
      <c r="L6">
        <v>23</v>
      </c>
      <c r="M6">
        <v>49</v>
      </c>
      <c r="N6">
        <v>51</v>
      </c>
      <c r="P6">
        <f t="shared" ref="P6:P11" si="6">AVERAGE(B6:C6)</f>
        <v>25</v>
      </c>
      <c r="Q6">
        <f t="shared" ref="Q6:Q11" si="7">AVERAGE(G6:H6)</f>
        <v>13</v>
      </c>
      <c r="R6">
        <f t="shared" ref="R6:R11" si="8">AVERAGE(L6:M6)</f>
        <v>36</v>
      </c>
      <c r="S6">
        <f t="shared" ref="S6:S11" si="9">AVERAGE(P6:R6)</f>
        <v>24.666666666666668</v>
      </c>
      <c r="AB6">
        <f t="shared" ref="AB6:AB11" si="10">MIN(P6:R6)</f>
        <v>13</v>
      </c>
      <c r="AC6">
        <f t="shared" ref="AC6:AC11" si="11">S6-AB6</f>
        <v>11.666666666666668</v>
      </c>
    </row>
    <row r="7" spans="1:31" x14ac:dyDescent="0.3">
      <c r="A7">
        <v>67</v>
      </c>
      <c r="B7">
        <v>33</v>
      </c>
      <c r="C7">
        <v>31</v>
      </c>
      <c r="D7">
        <v>69</v>
      </c>
      <c r="F7">
        <v>78</v>
      </c>
      <c r="G7">
        <v>22</v>
      </c>
      <c r="H7">
        <v>6</v>
      </c>
      <c r="I7">
        <v>94</v>
      </c>
      <c r="K7">
        <v>65</v>
      </c>
      <c r="L7">
        <v>35</v>
      </c>
      <c r="M7">
        <v>45</v>
      </c>
      <c r="N7">
        <v>55</v>
      </c>
      <c r="P7">
        <f t="shared" si="6"/>
        <v>32</v>
      </c>
      <c r="Q7">
        <f t="shared" si="7"/>
        <v>14</v>
      </c>
      <c r="R7">
        <f t="shared" si="8"/>
        <v>40</v>
      </c>
      <c r="S7">
        <f t="shared" si="9"/>
        <v>28.666666666666668</v>
      </c>
      <c r="AB7">
        <f t="shared" si="10"/>
        <v>14</v>
      </c>
      <c r="AC7">
        <f t="shared" si="11"/>
        <v>14.666666666666668</v>
      </c>
    </row>
    <row r="8" spans="1:31" x14ac:dyDescent="0.3">
      <c r="A8">
        <v>80</v>
      </c>
      <c r="B8">
        <v>20</v>
      </c>
      <c r="C8">
        <v>42</v>
      </c>
      <c r="D8">
        <v>58</v>
      </c>
      <c r="F8">
        <v>87</v>
      </c>
      <c r="G8">
        <v>13</v>
      </c>
      <c r="H8">
        <v>9</v>
      </c>
      <c r="I8">
        <v>91</v>
      </c>
      <c r="K8">
        <v>79</v>
      </c>
      <c r="L8">
        <v>21</v>
      </c>
      <c r="M8">
        <v>53</v>
      </c>
      <c r="N8">
        <v>47</v>
      </c>
      <c r="P8">
        <f t="shared" si="6"/>
        <v>31</v>
      </c>
      <c r="Q8">
        <f t="shared" si="7"/>
        <v>11</v>
      </c>
      <c r="R8">
        <f t="shared" si="8"/>
        <v>37</v>
      </c>
      <c r="S8">
        <f t="shared" si="9"/>
        <v>26.333333333333332</v>
      </c>
      <c r="AB8">
        <f t="shared" si="10"/>
        <v>11</v>
      </c>
      <c r="AC8">
        <f t="shared" si="11"/>
        <v>15.333333333333332</v>
      </c>
    </row>
    <row r="9" spans="1:31" x14ac:dyDescent="0.3">
      <c r="A9">
        <v>82</v>
      </c>
      <c r="B9">
        <v>18</v>
      </c>
      <c r="C9">
        <v>38</v>
      </c>
      <c r="D9">
        <v>62</v>
      </c>
      <c r="F9">
        <v>81</v>
      </c>
      <c r="G9">
        <v>19</v>
      </c>
      <c r="H9">
        <v>7</v>
      </c>
      <c r="I9">
        <v>93</v>
      </c>
      <c r="K9">
        <v>73</v>
      </c>
      <c r="L9">
        <v>27</v>
      </c>
      <c r="M9">
        <v>44</v>
      </c>
      <c r="N9">
        <v>56</v>
      </c>
      <c r="P9">
        <f t="shared" si="6"/>
        <v>28</v>
      </c>
      <c r="Q9">
        <f t="shared" si="7"/>
        <v>13</v>
      </c>
      <c r="R9">
        <f t="shared" si="8"/>
        <v>35.5</v>
      </c>
      <c r="S9">
        <f t="shared" si="9"/>
        <v>25.5</v>
      </c>
      <c r="AB9">
        <f t="shared" si="10"/>
        <v>13</v>
      </c>
      <c r="AC9">
        <f t="shared" si="11"/>
        <v>12.5</v>
      </c>
    </row>
    <row r="10" spans="1:31" x14ac:dyDescent="0.3">
      <c r="A10">
        <v>76</v>
      </c>
      <c r="B10">
        <v>24</v>
      </c>
      <c r="C10">
        <v>32</v>
      </c>
      <c r="D10">
        <v>68</v>
      </c>
      <c r="F10">
        <v>84</v>
      </c>
      <c r="G10">
        <v>16</v>
      </c>
      <c r="H10">
        <v>10</v>
      </c>
      <c r="I10">
        <v>90</v>
      </c>
      <c r="K10">
        <v>67</v>
      </c>
      <c r="L10">
        <v>33</v>
      </c>
      <c r="M10">
        <v>47</v>
      </c>
      <c r="N10">
        <v>53</v>
      </c>
      <c r="P10">
        <f t="shared" si="6"/>
        <v>28</v>
      </c>
      <c r="Q10">
        <f t="shared" si="7"/>
        <v>13</v>
      </c>
      <c r="R10">
        <f t="shared" si="8"/>
        <v>40</v>
      </c>
      <c r="S10">
        <f t="shared" si="9"/>
        <v>27</v>
      </c>
      <c r="AB10">
        <f t="shared" si="10"/>
        <v>13</v>
      </c>
      <c r="AC10">
        <f t="shared" si="11"/>
        <v>14</v>
      </c>
    </row>
    <row r="11" spans="1:31" x14ac:dyDescent="0.3">
      <c r="A11">
        <v>85</v>
      </c>
      <c r="B11">
        <v>15</v>
      </c>
      <c r="C11">
        <v>34</v>
      </c>
      <c r="D11">
        <v>66</v>
      </c>
      <c r="F11">
        <v>86</v>
      </c>
      <c r="G11">
        <v>14</v>
      </c>
      <c r="H11">
        <v>13</v>
      </c>
      <c r="I11">
        <v>87</v>
      </c>
      <c r="K11">
        <v>74</v>
      </c>
      <c r="L11">
        <v>26</v>
      </c>
      <c r="M11">
        <v>47</v>
      </c>
      <c r="N11">
        <v>53</v>
      </c>
      <c r="P11">
        <f t="shared" si="6"/>
        <v>24.5</v>
      </c>
      <c r="Q11">
        <f t="shared" si="7"/>
        <v>13.5</v>
      </c>
      <c r="R11">
        <f t="shared" si="8"/>
        <v>36.5</v>
      </c>
      <c r="S11">
        <f t="shared" si="9"/>
        <v>24.833333333333332</v>
      </c>
      <c r="AB11">
        <f t="shared" si="10"/>
        <v>13.5</v>
      </c>
      <c r="AC11">
        <f t="shared" si="11"/>
        <v>11.333333333333332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4</vt:i4>
      </vt:variant>
    </vt:vector>
  </HeadingPairs>
  <TitlesOfParts>
    <vt:vector size="4" baseType="lpstr">
      <vt:lpstr>Foglio1</vt:lpstr>
      <vt:lpstr>STD_BAL_ADV_NOCLSDIV</vt:lpstr>
      <vt:lpstr>STD_BAL_ADV_CLSDIV</vt:lpstr>
      <vt:lpstr>STD_BAL_NOAUG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enzo petrocco</dc:creator>
  <cp:lastModifiedBy>Enzo Ubaldo Petrocco</cp:lastModifiedBy>
  <dcterms:created xsi:type="dcterms:W3CDTF">2015-06-05T18:19:34Z</dcterms:created>
  <dcterms:modified xsi:type="dcterms:W3CDTF">2026-03-24T21:40:05Z</dcterms:modified>
</cp:coreProperties>
</file>