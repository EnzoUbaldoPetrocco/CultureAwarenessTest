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C\0.05\"/>
    </mc:Choice>
  </mc:AlternateContent>
  <xr:revisionPtr revIDLastSave="0" documentId="13_ncr:1_{6829970A-A7FD-4EFC-8217-FA5EA366E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STD_BAL_ADV_NOCLSDIV" sheetId="7" r:id="rId2"/>
    <sheet name="STD_BAL_ADV_CLSDIV" sheetId="6" r:id="rId3"/>
    <sheet name="STD_BAL_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6" l="1"/>
  <c r="R4" i="6"/>
  <c r="S4" i="6"/>
  <c r="T4" i="6"/>
  <c r="U4" i="6"/>
  <c r="V4" i="6"/>
  <c r="Q5" i="6"/>
  <c r="R5" i="6"/>
  <c r="S5" i="6"/>
  <c r="T5" i="6"/>
  <c r="U5" i="6"/>
  <c r="V5" i="6"/>
  <c r="Q6" i="6"/>
  <c r="U6" i="6" s="1"/>
  <c r="R6" i="6"/>
  <c r="S6" i="6"/>
  <c r="T6" i="6"/>
  <c r="Q7" i="6"/>
  <c r="R7" i="6"/>
  <c r="S7" i="6"/>
  <c r="T7" i="6"/>
  <c r="U7" i="6"/>
  <c r="V7" i="6"/>
  <c r="Q8" i="6"/>
  <c r="R8" i="6"/>
  <c r="S8" i="6"/>
  <c r="T8" i="6"/>
  <c r="U8" i="6"/>
  <c r="V8" i="6"/>
  <c r="Q4" i="7"/>
  <c r="R4" i="7"/>
  <c r="S4" i="7"/>
  <c r="T4" i="7"/>
  <c r="U4" i="7"/>
  <c r="V4" i="7"/>
  <c r="Q5" i="7"/>
  <c r="R5" i="7"/>
  <c r="S5" i="7"/>
  <c r="T5" i="7"/>
  <c r="U5" i="7"/>
  <c r="V5" i="7"/>
  <c r="Q6" i="7"/>
  <c r="U6" i="7" s="1"/>
  <c r="R6" i="7"/>
  <c r="S6" i="7"/>
  <c r="T6" i="7"/>
  <c r="V6" i="7" s="1"/>
  <c r="Q7" i="7"/>
  <c r="R7" i="7"/>
  <c r="S7" i="7"/>
  <c r="T7" i="7"/>
  <c r="U7" i="7"/>
  <c r="V7" i="7"/>
  <c r="Q8" i="7"/>
  <c r="R8" i="7"/>
  <c r="S8" i="7"/>
  <c r="T8" i="7"/>
  <c r="U8" i="7"/>
  <c r="V8" i="7"/>
  <c r="S3" i="7"/>
  <c r="AB3" i="7" s="1"/>
  <c r="R3" i="7"/>
  <c r="Z3" i="7" s="1"/>
  <c r="Q3" i="7"/>
  <c r="S3" i="6"/>
  <c r="R3" i="6"/>
  <c r="Z3" i="6" s="1"/>
  <c r="Q3" i="6"/>
  <c r="X3" i="6" s="1"/>
  <c r="AF3" i="2"/>
  <c r="AE3" i="2"/>
  <c r="AD3" i="2"/>
  <c r="AC3" i="2"/>
  <c r="AB3" i="2"/>
  <c r="AA3" i="2"/>
  <c r="Z3" i="2"/>
  <c r="Y3" i="2"/>
  <c r="X3" i="2"/>
  <c r="W3" i="2"/>
  <c r="Q6" i="2"/>
  <c r="R6" i="2"/>
  <c r="S6" i="2"/>
  <c r="T6" i="2"/>
  <c r="U6" i="2"/>
  <c r="V6" i="2"/>
  <c r="Q7" i="2"/>
  <c r="T7" i="2" s="1"/>
  <c r="R7" i="2"/>
  <c r="S7" i="2"/>
  <c r="Q8" i="2"/>
  <c r="R8" i="2"/>
  <c r="S8" i="2"/>
  <c r="T8" i="2"/>
  <c r="U8" i="2"/>
  <c r="V8" i="2"/>
  <c r="Q9" i="2"/>
  <c r="R9" i="2"/>
  <c r="S9" i="2"/>
  <c r="T9" i="2"/>
  <c r="U9" i="2"/>
  <c r="V9" i="2"/>
  <c r="Q10" i="2"/>
  <c r="R10" i="2"/>
  <c r="S10" i="2"/>
  <c r="T10" i="2"/>
  <c r="U10" i="2"/>
  <c r="V10" i="2"/>
  <c r="Q11" i="2"/>
  <c r="R11" i="2"/>
  <c r="S11" i="2"/>
  <c r="T11" i="2"/>
  <c r="U11" i="2"/>
  <c r="V11" i="2"/>
  <c r="Q12" i="2"/>
  <c r="U12" i="2" s="1"/>
  <c r="R12" i="2"/>
  <c r="S12" i="2"/>
  <c r="T12" i="2"/>
  <c r="V12" i="2" s="1"/>
  <c r="Q13" i="2"/>
  <c r="R13" i="2"/>
  <c r="S13" i="2"/>
  <c r="T13" i="2"/>
  <c r="U13" i="2"/>
  <c r="V13" i="2"/>
  <c r="Q14" i="2"/>
  <c r="R14" i="2"/>
  <c r="S14" i="2"/>
  <c r="T14" i="2"/>
  <c r="U14" i="2"/>
  <c r="V14" i="2"/>
  <c r="Q4" i="2"/>
  <c r="R4" i="2"/>
  <c r="S4" i="2"/>
  <c r="Q5" i="2"/>
  <c r="R5" i="2"/>
  <c r="S5" i="2"/>
  <c r="S3" i="2"/>
  <c r="R3" i="2"/>
  <c r="Q3" i="2"/>
  <c r="U3" i="2" s="1"/>
  <c r="V6" i="6" l="1"/>
  <c r="AB3" i="6"/>
  <c r="X3" i="7"/>
  <c r="W3" i="7"/>
  <c r="T3" i="7"/>
  <c r="U3" i="7"/>
  <c r="Y3" i="7"/>
  <c r="AA3" i="7"/>
  <c r="T3" i="6"/>
  <c r="U3" i="6"/>
  <c r="W3" i="6"/>
  <c r="Y3" i="6"/>
  <c r="AA3" i="6"/>
  <c r="U7" i="2"/>
  <c r="V7" i="2" s="1"/>
  <c r="U5" i="2"/>
  <c r="T5" i="2"/>
  <c r="U4" i="2"/>
  <c r="T4" i="2"/>
  <c r="V4" i="2" s="1"/>
  <c r="T3" i="2"/>
  <c r="V5" i="2"/>
  <c r="AD3" i="7" l="1"/>
  <c r="AC3" i="7"/>
  <c r="V3" i="7"/>
  <c r="AD3" i="6"/>
  <c r="AC3" i="6"/>
  <c r="V3" i="6"/>
  <c r="V3" i="2"/>
  <c r="AF3" i="7" l="1"/>
  <c r="AE3" i="7"/>
  <c r="AF3" i="6"/>
  <c r="AE3" i="6"/>
</calcChain>
</file>

<file path=xl/sharedStrings.xml><?xml version="1.0" encoding="utf-8"?>
<sst xmlns="http://schemas.openxmlformats.org/spreadsheetml/2006/main" count="81" uniqueCount="34">
  <si>
    <t>Dati originali</t>
  </si>
  <si>
    <t>ERR</t>
  </si>
  <si>
    <t>NOAUG</t>
  </si>
  <si>
    <t>CULTURE0</t>
  </si>
  <si>
    <t>ERR0</t>
  </si>
  <si>
    <t>STD0</t>
  </si>
  <si>
    <t>ERR1</t>
  </si>
  <si>
    <t>STD1</t>
  </si>
  <si>
    <t>ERR2</t>
  </si>
  <si>
    <t>STD2</t>
  </si>
  <si>
    <t>COPIO LE COSE QUI</t>
  </si>
  <si>
    <t>CIC_i</t>
  </si>
  <si>
    <t>ERR_i</t>
  </si>
  <si>
    <t>ERR_STD</t>
  </si>
  <si>
    <t>MIN_ERR_i</t>
  </si>
  <si>
    <t>CIC</t>
  </si>
  <si>
    <t>CIC_STD</t>
  </si>
  <si>
    <t>c0</t>
  </si>
  <si>
    <t>c1</t>
  </si>
  <si>
    <t>c2</t>
  </si>
  <si>
    <t>ERR_0_i</t>
  </si>
  <si>
    <t>ERR_1_i</t>
  </si>
  <si>
    <t>ERR_2_i</t>
  </si>
  <si>
    <t>LIST of Best ERR 10%</t>
  </si>
  <si>
    <t>LIST of BEST ERR 20%</t>
  </si>
  <si>
    <t>n=5 -&gt; 0.5 -&gt; 1</t>
  </si>
  <si>
    <t>n=5 -&gt; 1 -&gt; 1</t>
  </si>
  <si>
    <t>ADV</t>
  </si>
  <si>
    <t>ERR0_STD</t>
  </si>
  <si>
    <t>ERR1_STD</t>
  </si>
  <si>
    <t>ERR2_STD</t>
  </si>
  <si>
    <t>CLSDIV</t>
  </si>
  <si>
    <t>NOCLSDIV</t>
  </si>
  <si>
    <t>ep=0.0001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</si>
</sst>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C5" sqref="C5:L5"/>
    </sheetView>
  </sheetViews>
  <sheetFormatPr defaultRowHeight="14.4" x14ac:dyDescent="0.3"/>
  <sheetData>
    <row r="1" spans="1:23" x14ac:dyDescent="0.3"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</v>
      </c>
      <c r="J1" t="s">
        <v>13</v>
      </c>
      <c r="K1" t="s">
        <v>15</v>
      </c>
      <c r="L1" t="s">
        <v>16</v>
      </c>
    </row>
    <row r="2" spans="1:23" x14ac:dyDescent="0.3">
      <c r="A2" t="s">
        <v>2</v>
      </c>
      <c r="C2" s="1">
        <v>14.5</v>
      </c>
      <c r="D2" s="1">
        <v>2.9685855217594792</v>
      </c>
      <c r="E2" s="1">
        <v>18.666666666666668</v>
      </c>
      <c r="F2" s="1">
        <v>3.4369317712168801</v>
      </c>
      <c r="G2" s="1">
        <v>31.833333333333332</v>
      </c>
      <c r="H2" s="1">
        <v>2.8062430400804561</v>
      </c>
      <c r="I2" s="1">
        <v>21.666666666666664</v>
      </c>
      <c r="J2" s="1">
        <v>1.4695993407123662</v>
      </c>
      <c r="K2" s="1">
        <v>7.6111111111111125</v>
      </c>
      <c r="L2" s="1">
        <v>2.4874685927665441</v>
      </c>
      <c r="N2">
        <v>13.666666666666666</v>
      </c>
      <c r="O2">
        <v>2.0816659994661282</v>
      </c>
      <c r="P2">
        <v>17.166666666666668</v>
      </c>
      <c r="Q2">
        <v>1.5275252316519465</v>
      </c>
      <c r="R2">
        <v>33</v>
      </c>
      <c r="S2">
        <v>3.1224989991991992</v>
      </c>
      <c r="T2">
        <v>21.2777777777778</v>
      </c>
      <c r="U2">
        <v>1.9743728493240953</v>
      </c>
      <c r="V2">
        <v>7.6111111111111107</v>
      </c>
      <c r="W2">
        <v>1.5122952876462401</v>
      </c>
    </row>
    <row r="3" spans="1:23" x14ac:dyDescent="0.3">
      <c r="A3" t="s">
        <v>27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23" x14ac:dyDescent="0.3">
      <c r="B4" t="s">
        <v>31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23" x14ac:dyDescent="0.3">
      <c r="C5" s="1">
        <v>10.666666666666666</v>
      </c>
      <c r="D5" s="1">
        <v>2.1134489978863162</v>
      </c>
      <c r="E5" s="1">
        <v>16.083333333333332</v>
      </c>
      <c r="F5" s="1">
        <v>2.3961775115100825</v>
      </c>
      <c r="G5" s="1">
        <v>25.416666666666668</v>
      </c>
      <c r="H5" s="1">
        <v>3.0400109648925113</v>
      </c>
      <c r="I5" s="1">
        <v>17.388888888888889</v>
      </c>
      <c r="J5" s="1">
        <v>0.93491928746500508</v>
      </c>
      <c r="K5" s="1">
        <v>6.7222222222222223</v>
      </c>
      <c r="L5" s="1">
        <v>2.1747711671873962</v>
      </c>
    </row>
    <row r="6" spans="1:23" x14ac:dyDescent="0.3">
      <c r="B6" t="s">
        <v>32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23" x14ac:dyDescent="0.3">
      <c r="C7" s="1">
        <v>12</v>
      </c>
      <c r="D7" s="1">
        <v>2.9325756597230361</v>
      </c>
      <c r="E7" s="1">
        <v>18.666666666666668</v>
      </c>
      <c r="F7" s="1">
        <v>3.9958311609309392</v>
      </c>
      <c r="G7" s="1">
        <v>24.666666666666668</v>
      </c>
      <c r="H7" s="1">
        <v>4.0702170294305802</v>
      </c>
      <c r="I7" s="1">
        <v>18.444444444444446</v>
      </c>
      <c r="J7" s="1">
        <v>2.0727509006863944</v>
      </c>
      <c r="K7" s="1">
        <v>6.4444444444444455</v>
      </c>
      <c r="L7" s="1">
        <v>1.504314781873445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F8"/>
  <sheetViews>
    <sheetView topLeftCell="N1" workbookViewId="0">
      <selection activeCell="W3" sqref="W3:AF3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32" x14ac:dyDescent="0.3">
      <c r="A1" t="s">
        <v>33</v>
      </c>
    </row>
    <row r="2" spans="1:32" x14ac:dyDescent="0.3">
      <c r="A2" t="s">
        <v>17</v>
      </c>
      <c r="F2" t="s">
        <v>18</v>
      </c>
      <c r="K2" t="s">
        <v>19</v>
      </c>
      <c r="Q2" t="s">
        <v>20</v>
      </c>
      <c r="R2" t="s">
        <v>21</v>
      </c>
      <c r="S2" t="s">
        <v>22</v>
      </c>
      <c r="T2" t="s">
        <v>12</v>
      </c>
      <c r="U2" t="s">
        <v>14</v>
      </c>
      <c r="V2" t="s">
        <v>11</v>
      </c>
      <c r="W2" t="s">
        <v>4</v>
      </c>
      <c r="X2" t="s">
        <v>28</v>
      </c>
      <c r="Y2" t="s">
        <v>6</v>
      </c>
      <c r="Z2" t="s">
        <v>29</v>
      </c>
      <c r="AA2" t="s">
        <v>8</v>
      </c>
      <c r="AB2" t="s">
        <v>30</v>
      </c>
      <c r="AC2" t="s">
        <v>1</v>
      </c>
      <c r="AD2" t="s">
        <v>13</v>
      </c>
      <c r="AE2" t="s">
        <v>15</v>
      </c>
      <c r="AF2" t="s">
        <v>16</v>
      </c>
    </row>
    <row r="3" spans="1:32" x14ac:dyDescent="0.3">
      <c r="B3">
        <v>83</v>
      </c>
      <c r="C3">
        <v>17</v>
      </c>
      <c r="D3">
        <v>7</v>
      </c>
      <c r="E3">
        <v>93</v>
      </c>
      <c r="G3">
        <v>90</v>
      </c>
      <c r="H3">
        <v>10</v>
      </c>
      <c r="I3">
        <v>26</v>
      </c>
      <c r="J3">
        <v>74</v>
      </c>
      <c r="L3">
        <v>87</v>
      </c>
      <c r="M3">
        <v>13</v>
      </c>
      <c r="N3">
        <v>27</v>
      </c>
      <c r="O3">
        <v>73</v>
      </c>
      <c r="Q3">
        <f>AVERAGE(C3:D3)</f>
        <v>12</v>
      </c>
      <c r="R3">
        <f>AVERAGE(H3:I3)</f>
        <v>18</v>
      </c>
      <c r="S3">
        <f>AVERAGE(M3:N3)</f>
        <v>20</v>
      </c>
      <c r="T3">
        <f>AVERAGE(Q3:S3)</f>
        <v>16.666666666666668</v>
      </c>
      <c r="U3">
        <f>MIN(Q3:S3)</f>
        <v>12</v>
      </c>
      <c r="V3">
        <f>T3-U3</f>
        <v>4.6666666666666679</v>
      </c>
      <c r="W3">
        <f>AVERAGE(Q3:Q11)</f>
        <v>12</v>
      </c>
      <c r="X3">
        <f>_xlfn.STDEV.S(Q3:Q11)</f>
        <v>2.9325756597230361</v>
      </c>
      <c r="Y3">
        <f>AVERAGE(R3:R11)</f>
        <v>18.666666666666668</v>
      </c>
      <c r="Z3">
        <f>_xlfn.STDEV.S(R3:R11)</f>
        <v>3.9958311609309392</v>
      </c>
      <c r="AA3">
        <f>AVERAGE(S3:S11)</f>
        <v>24.666666666666668</v>
      </c>
      <c r="AB3">
        <f>_xlfn.STDEV.S(S3:S11)</f>
        <v>4.0702170294305802</v>
      </c>
      <c r="AC3">
        <f>AVERAGE(T3:T11)</f>
        <v>18.444444444444446</v>
      </c>
      <c r="AD3">
        <f>_xlfn.STDEV.S(T3:T11)</f>
        <v>2.0727509006863944</v>
      </c>
      <c r="AE3">
        <f>AVERAGE(V3:V11)</f>
        <v>6.4444444444444455</v>
      </c>
      <c r="AF3">
        <f>_xlfn.STDEV.S(V3:V11)</f>
        <v>1.504314781873445</v>
      </c>
    </row>
    <row r="4" spans="1:32" x14ac:dyDescent="0.3">
      <c r="B4">
        <v>91</v>
      </c>
      <c r="C4">
        <v>9</v>
      </c>
      <c r="D4">
        <v>10</v>
      </c>
      <c r="E4">
        <v>90</v>
      </c>
      <c r="G4">
        <v>95</v>
      </c>
      <c r="H4">
        <v>5</v>
      </c>
      <c r="I4">
        <v>43</v>
      </c>
      <c r="J4">
        <v>57</v>
      </c>
      <c r="L4">
        <v>78</v>
      </c>
      <c r="M4">
        <v>22</v>
      </c>
      <c r="N4">
        <v>16</v>
      </c>
      <c r="O4">
        <v>84</v>
      </c>
      <c r="Q4">
        <f t="shared" ref="Q4:Q8" si="0">AVERAGE(C4:D4)</f>
        <v>9.5</v>
      </c>
      <c r="R4">
        <f t="shared" ref="R4:R8" si="1">AVERAGE(H4:I4)</f>
        <v>24</v>
      </c>
      <c r="S4">
        <f t="shared" ref="S4:S8" si="2">AVERAGE(M4:N4)</f>
        <v>19</v>
      </c>
      <c r="T4">
        <f t="shared" ref="T4:T8" si="3">AVERAGE(Q4:S4)</f>
        <v>17.5</v>
      </c>
      <c r="U4">
        <f t="shared" ref="U4:U8" si="4">MIN(Q4:S4)</f>
        <v>9.5</v>
      </c>
      <c r="V4">
        <f t="shared" ref="V4:V8" si="5">T4-U4</f>
        <v>8</v>
      </c>
    </row>
    <row r="5" spans="1:32" x14ac:dyDescent="0.3">
      <c r="B5">
        <v>85</v>
      </c>
      <c r="C5">
        <v>15</v>
      </c>
      <c r="D5">
        <v>9</v>
      </c>
      <c r="E5">
        <v>91</v>
      </c>
      <c r="G5">
        <v>93</v>
      </c>
      <c r="H5">
        <v>7</v>
      </c>
      <c r="I5">
        <v>23</v>
      </c>
      <c r="J5">
        <v>77</v>
      </c>
      <c r="L5">
        <v>75</v>
      </c>
      <c r="M5">
        <v>25</v>
      </c>
      <c r="N5">
        <v>32</v>
      </c>
      <c r="O5">
        <v>68</v>
      </c>
      <c r="Q5">
        <f t="shared" si="0"/>
        <v>12</v>
      </c>
      <c r="R5">
        <f t="shared" si="1"/>
        <v>15</v>
      </c>
      <c r="S5">
        <f t="shared" si="2"/>
        <v>28.5</v>
      </c>
      <c r="T5">
        <f t="shared" si="3"/>
        <v>18.5</v>
      </c>
      <c r="U5">
        <f t="shared" si="4"/>
        <v>12</v>
      </c>
      <c r="V5">
        <f t="shared" si="5"/>
        <v>6.5</v>
      </c>
    </row>
    <row r="6" spans="1:32" x14ac:dyDescent="0.3">
      <c r="B6">
        <v>87</v>
      </c>
      <c r="C6">
        <v>13</v>
      </c>
      <c r="D6">
        <v>10</v>
      </c>
      <c r="E6">
        <v>90</v>
      </c>
      <c r="G6">
        <v>94</v>
      </c>
      <c r="H6">
        <v>6</v>
      </c>
      <c r="I6">
        <v>23</v>
      </c>
      <c r="J6">
        <v>77</v>
      </c>
      <c r="L6">
        <v>60</v>
      </c>
      <c r="M6">
        <v>40</v>
      </c>
      <c r="N6">
        <v>14</v>
      </c>
      <c r="O6">
        <v>86</v>
      </c>
      <c r="Q6">
        <f t="shared" si="0"/>
        <v>11.5</v>
      </c>
      <c r="R6">
        <f t="shared" si="1"/>
        <v>14.5</v>
      </c>
      <c r="S6">
        <f t="shared" si="2"/>
        <v>27</v>
      </c>
      <c r="T6">
        <f t="shared" si="3"/>
        <v>17.666666666666668</v>
      </c>
      <c r="U6">
        <f t="shared" si="4"/>
        <v>11.5</v>
      </c>
      <c r="V6">
        <f t="shared" si="5"/>
        <v>6.1666666666666679</v>
      </c>
    </row>
    <row r="7" spans="1:32" x14ac:dyDescent="0.3">
      <c r="B7">
        <v>90</v>
      </c>
      <c r="C7">
        <v>10</v>
      </c>
      <c r="D7">
        <v>9</v>
      </c>
      <c r="E7">
        <v>91</v>
      </c>
      <c r="G7">
        <v>96</v>
      </c>
      <c r="H7">
        <v>4</v>
      </c>
      <c r="I7">
        <v>31</v>
      </c>
      <c r="J7">
        <v>69</v>
      </c>
      <c r="L7">
        <v>75</v>
      </c>
      <c r="M7">
        <v>25</v>
      </c>
      <c r="N7">
        <v>28</v>
      </c>
      <c r="O7">
        <v>72</v>
      </c>
      <c r="Q7">
        <f t="shared" si="0"/>
        <v>9.5</v>
      </c>
      <c r="R7">
        <f t="shared" si="1"/>
        <v>17.5</v>
      </c>
      <c r="S7">
        <f t="shared" si="2"/>
        <v>26.5</v>
      </c>
      <c r="T7">
        <f t="shared" si="3"/>
        <v>17.833333333333332</v>
      </c>
      <c r="U7">
        <f t="shared" si="4"/>
        <v>9.5</v>
      </c>
      <c r="V7">
        <f t="shared" si="5"/>
        <v>8.3333333333333321</v>
      </c>
    </row>
    <row r="8" spans="1:32" x14ac:dyDescent="0.3">
      <c r="B8">
        <v>87</v>
      </c>
      <c r="C8">
        <v>13</v>
      </c>
      <c r="D8">
        <v>22</v>
      </c>
      <c r="E8">
        <v>78</v>
      </c>
      <c r="G8">
        <v>95</v>
      </c>
      <c r="H8">
        <v>5</v>
      </c>
      <c r="I8">
        <v>41</v>
      </c>
      <c r="J8">
        <v>59</v>
      </c>
      <c r="L8">
        <v>87</v>
      </c>
      <c r="M8">
        <v>13</v>
      </c>
      <c r="N8">
        <v>41</v>
      </c>
      <c r="O8">
        <v>59</v>
      </c>
      <c r="Q8">
        <f t="shared" si="0"/>
        <v>17.5</v>
      </c>
      <c r="R8">
        <f t="shared" si="1"/>
        <v>23</v>
      </c>
      <c r="S8">
        <f t="shared" si="2"/>
        <v>27</v>
      </c>
      <c r="T8">
        <f t="shared" si="3"/>
        <v>22.5</v>
      </c>
      <c r="U8">
        <f t="shared" si="4"/>
        <v>17.5</v>
      </c>
      <c r="V8">
        <f t="shared" si="5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N8"/>
  <sheetViews>
    <sheetView topLeftCell="J1" workbookViewId="0">
      <selection activeCell="W3" sqref="W3:AF3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0" x14ac:dyDescent="0.3">
      <c r="A1" t="s">
        <v>33</v>
      </c>
    </row>
    <row r="2" spans="1:40" x14ac:dyDescent="0.3">
      <c r="A2" t="s">
        <v>17</v>
      </c>
      <c r="F2" t="s">
        <v>18</v>
      </c>
      <c r="K2" t="s">
        <v>19</v>
      </c>
      <c r="Q2" t="s">
        <v>20</v>
      </c>
      <c r="R2" t="s">
        <v>21</v>
      </c>
      <c r="S2" t="s">
        <v>22</v>
      </c>
      <c r="T2" t="s">
        <v>12</v>
      </c>
      <c r="U2" t="s">
        <v>14</v>
      </c>
      <c r="V2" t="s">
        <v>11</v>
      </c>
      <c r="W2" t="s">
        <v>4</v>
      </c>
      <c r="X2" t="s">
        <v>28</v>
      </c>
      <c r="Y2" t="s">
        <v>6</v>
      </c>
      <c r="Z2" t="s">
        <v>29</v>
      </c>
      <c r="AA2" t="s">
        <v>8</v>
      </c>
      <c r="AB2" t="s">
        <v>30</v>
      </c>
      <c r="AC2" t="s">
        <v>1</v>
      </c>
      <c r="AD2" t="s">
        <v>13</v>
      </c>
      <c r="AE2" t="s">
        <v>15</v>
      </c>
      <c r="AF2" t="s">
        <v>16</v>
      </c>
      <c r="AH2" t="s">
        <v>23</v>
      </c>
      <c r="AI2" t="s">
        <v>1</v>
      </c>
      <c r="AJ2" t="s">
        <v>15</v>
      </c>
      <c r="AL2" t="s">
        <v>24</v>
      </c>
      <c r="AM2" t="s">
        <v>1</v>
      </c>
      <c r="AN2" t="s">
        <v>15</v>
      </c>
    </row>
    <row r="3" spans="1:40" x14ac:dyDescent="0.3">
      <c r="B3">
        <v>89</v>
      </c>
      <c r="C3">
        <v>11</v>
      </c>
      <c r="D3">
        <v>10</v>
      </c>
      <c r="E3">
        <v>90</v>
      </c>
      <c r="G3">
        <v>95</v>
      </c>
      <c r="H3">
        <v>5</v>
      </c>
      <c r="I3">
        <v>36</v>
      </c>
      <c r="J3">
        <v>64</v>
      </c>
      <c r="L3">
        <v>82</v>
      </c>
      <c r="M3">
        <v>18</v>
      </c>
      <c r="N3">
        <v>30</v>
      </c>
      <c r="O3">
        <v>70</v>
      </c>
      <c r="Q3">
        <f>AVERAGE(C3:D3)</f>
        <v>10.5</v>
      </c>
      <c r="R3">
        <f>AVERAGE(H3:I3)</f>
        <v>20.5</v>
      </c>
      <c r="S3">
        <f>AVERAGE(M3:N3)</f>
        <v>24</v>
      </c>
      <c r="T3">
        <f>AVERAGE(Q3:S3)</f>
        <v>18.333333333333332</v>
      </c>
      <c r="U3">
        <f>MIN(Q3:S3)</f>
        <v>10.5</v>
      </c>
      <c r="V3">
        <f>T3-U3</f>
        <v>7.8333333333333321</v>
      </c>
      <c r="W3">
        <f>AVERAGE(Q3:Q11)</f>
        <v>10.666666666666666</v>
      </c>
      <c r="X3">
        <f>_xlfn.STDEV.S(Q3:Q11)</f>
        <v>2.1134489978863162</v>
      </c>
      <c r="Y3">
        <f>AVERAGE(R3:R11)</f>
        <v>16.083333333333332</v>
      </c>
      <c r="Z3">
        <f>_xlfn.STDEV.S(R3:R11)</f>
        <v>2.3961775115100825</v>
      </c>
      <c r="AA3">
        <f>AVERAGE(S3:S11)</f>
        <v>25.416666666666668</v>
      </c>
      <c r="AB3">
        <f>_xlfn.STDEV.S(S3:S11)</f>
        <v>3.0400109648925113</v>
      </c>
      <c r="AC3">
        <f>AVERAGE(T3:T11)</f>
        <v>17.388888888888889</v>
      </c>
      <c r="AD3">
        <f>_xlfn.STDEV.S(T3:T11)</f>
        <v>0.93491928746500508</v>
      </c>
      <c r="AE3">
        <f>AVERAGE(V3:V11)</f>
        <v>6.7222222222222223</v>
      </c>
      <c r="AF3">
        <f>_xlfn.STDEV.S(V3:V11)</f>
        <v>2.1747711671873962</v>
      </c>
      <c r="AH3" t="s">
        <v>25</v>
      </c>
      <c r="AL3" t="s">
        <v>26</v>
      </c>
    </row>
    <row r="4" spans="1:40" x14ac:dyDescent="0.3">
      <c r="B4">
        <v>90</v>
      </c>
      <c r="C4">
        <v>10</v>
      </c>
      <c r="D4">
        <v>13</v>
      </c>
      <c r="E4">
        <v>87</v>
      </c>
      <c r="G4">
        <v>93</v>
      </c>
      <c r="H4">
        <v>7</v>
      </c>
      <c r="I4">
        <v>21</v>
      </c>
      <c r="J4">
        <v>79</v>
      </c>
      <c r="L4">
        <v>77</v>
      </c>
      <c r="M4">
        <v>23</v>
      </c>
      <c r="N4">
        <v>23</v>
      </c>
      <c r="O4">
        <v>77</v>
      </c>
      <c r="Q4">
        <f t="shared" ref="Q4:Q8" si="0">AVERAGE(C4:D4)</f>
        <v>11.5</v>
      </c>
      <c r="R4">
        <f t="shared" ref="R4:R8" si="1">AVERAGE(H4:I4)</f>
        <v>14</v>
      </c>
      <c r="S4">
        <f t="shared" ref="S4:S8" si="2">AVERAGE(M4:N4)</f>
        <v>23</v>
      </c>
      <c r="T4">
        <f t="shared" ref="T4:T8" si="3">AVERAGE(Q4:S4)</f>
        <v>16.166666666666668</v>
      </c>
      <c r="U4">
        <f t="shared" ref="U4:U8" si="4">MIN(Q4:S4)</f>
        <v>11.5</v>
      </c>
      <c r="V4">
        <f t="shared" ref="V4:V8" si="5">T4-U4</f>
        <v>4.6666666666666679</v>
      </c>
    </row>
    <row r="5" spans="1:40" x14ac:dyDescent="0.3">
      <c r="B5">
        <v>93</v>
      </c>
      <c r="C5">
        <v>7</v>
      </c>
      <c r="D5">
        <v>7</v>
      </c>
      <c r="E5">
        <v>93</v>
      </c>
      <c r="G5">
        <v>90</v>
      </c>
      <c r="H5">
        <v>10</v>
      </c>
      <c r="I5">
        <v>18</v>
      </c>
      <c r="J5">
        <v>82</v>
      </c>
      <c r="L5">
        <v>70</v>
      </c>
      <c r="M5">
        <v>30</v>
      </c>
      <c r="N5">
        <v>30</v>
      </c>
      <c r="O5">
        <v>70</v>
      </c>
      <c r="Q5">
        <f t="shared" si="0"/>
        <v>7</v>
      </c>
      <c r="R5">
        <f t="shared" si="1"/>
        <v>14</v>
      </c>
      <c r="S5">
        <f t="shared" si="2"/>
        <v>30</v>
      </c>
      <c r="T5">
        <f t="shared" si="3"/>
        <v>17</v>
      </c>
      <c r="U5">
        <f t="shared" si="4"/>
        <v>7</v>
      </c>
      <c r="V5">
        <f t="shared" si="5"/>
        <v>10</v>
      </c>
    </row>
    <row r="6" spans="1:40" x14ac:dyDescent="0.3">
      <c r="B6">
        <v>83</v>
      </c>
      <c r="C6">
        <v>17</v>
      </c>
      <c r="D6">
        <v>10</v>
      </c>
      <c r="E6">
        <v>90</v>
      </c>
      <c r="G6">
        <v>88</v>
      </c>
      <c r="H6">
        <v>12</v>
      </c>
      <c r="I6">
        <v>19</v>
      </c>
      <c r="J6">
        <v>81</v>
      </c>
      <c r="L6">
        <v>73</v>
      </c>
      <c r="M6">
        <v>27</v>
      </c>
      <c r="N6">
        <v>21</v>
      </c>
      <c r="O6">
        <v>79</v>
      </c>
      <c r="Q6">
        <f t="shared" si="0"/>
        <v>13.5</v>
      </c>
      <c r="R6">
        <f t="shared" si="1"/>
        <v>15.5</v>
      </c>
      <c r="S6">
        <f t="shared" si="2"/>
        <v>24</v>
      </c>
      <c r="T6">
        <f t="shared" si="3"/>
        <v>17.666666666666668</v>
      </c>
      <c r="U6">
        <f t="shared" si="4"/>
        <v>13.5</v>
      </c>
      <c r="V6">
        <f t="shared" si="5"/>
        <v>4.1666666666666679</v>
      </c>
    </row>
    <row r="7" spans="1:40" x14ac:dyDescent="0.3">
      <c r="B7">
        <v>88</v>
      </c>
      <c r="C7">
        <v>12</v>
      </c>
      <c r="D7">
        <v>9</v>
      </c>
      <c r="E7">
        <v>91</v>
      </c>
      <c r="G7">
        <v>88</v>
      </c>
      <c r="H7">
        <v>12</v>
      </c>
      <c r="I7">
        <v>21</v>
      </c>
      <c r="J7">
        <v>79</v>
      </c>
      <c r="L7">
        <v>72</v>
      </c>
      <c r="M7">
        <v>28</v>
      </c>
      <c r="N7">
        <v>18</v>
      </c>
      <c r="O7">
        <v>82</v>
      </c>
      <c r="Q7">
        <f t="shared" si="0"/>
        <v>10.5</v>
      </c>
      <c r="R7">
        <f t="shared" si="1"/>
        <v>16.5</v>
      </c>
      <c r="S7">
        <f t="shared" si="2"/>
        <v>23</v>
      </c>
      <c r="T7">
        <f t="shared" si="3"/>
        <v>16.666666666666668</v>
      </c>
      <c r="U7">
        <f t="shared" si="4"/>
        <v>10.5</v>
      </c>
      <c r="V7">
        <f t="shared" si="5"/>
        <v>6.1666666666666679</v>
      </c>
    </row>
    <row r="8" spans="1:40" x14ac:dyDescent="0.3">
      <c r="B8">
        <v>89</v>
      </c>
      <c r="C8">
        <v>11</v>
      </c>
      <c r="D8">
        <v>11</v>
      </c>
      <c r="E8">
        <v>89</v>
      </c>
      <c r="G8">
        <v>92</v>
      </c>
      <c r="H8">
        <v>8</v>
      </c>
      <c r="I8">
        <v>24</v>
      </c>
      <c r="J8">
        <v>76</v>
      </c>
      <c r="L8">
        <v>75</v>
      </c>
      <c r="M8">
        <v>25</v>
      </c>
      <c r="N8">
        <v>32</v>
      </c>
      <c r="O8">
        <v>68</v>
      </c>
      <c r="Q8">
        <f t="shared" si="0"/>
        <v>11</v>
      </c>
      <c r="R8">
        <f t="shared" si="1"/>
        <v>16</v>
      </c>
      <c r="S8">
        <f t="shared" si="2"/>
        <v>28.5</v>
      </c>
      <c r="T8">
        <f t="shared" si="3"/>
        <v>18.5</v>
      </c>
      <c r="U8">
        <f t="shared" si="4"/>
        <v>11</v>
      </c>
      <c r="V8">
        <f t="shared" si="5"/>
        <v>7.5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14"/>
  <sheetViews>
    <sheetView topLeftCell="M1" workbookViewId="0">
      <selection activeCell="Q2" sqref="Q2:AF3"/>
    </sheetView>
  </sheetViews>
  <sheetFormatPr defaultRowHeight="14.4" x14ac:dyDescent="0.3"/>
  <cols>
    <col min="23" max="23" width="8.21875" customWidth="1"/>
  </cols>
  <sheetData>
    <row r="1" spans="1:32" x14ac:dyDescent="0.3">
      <c r="A1" t="s">
        <v>0</v>
      </c>
      <c r="Q1" t="s">
        <v>10</v>
      </c>
    </row>
    <row r="2" spans="1:32" x14ac:dyDescent="0.3">
      <c r="A2" t="s">
        <v>3</v>
      </c>
      <c r="Q2" t="s">
        <v>20</v>
      </c>
      <c r="R2" t="s">
        <v>21</v>
      </c>
      <c r="S2" t="s">
        <v>22</v>
      </c>
      <c r="T2" t="s">
        <v>12</v>
      </c>
      <c r="U2" t="s">
        <v>14</v>
      </c>
      <c r="V2" t="s">
        <v>11</v>
      </c>
      <c r="W2" t="s">
        <v>4</v>
      </c>
      <c r="X2" t="s">
        <v>28</v>
      </c>
      <c r="Y2" t="s">
        <v>6</v>
      </c>
      <c r="Z2" t="s">
        <v>29</v>
      </c>
      <c r="AA2" t="s">
        <v>8</v>
      </c>
      <c r="AB2" t="s">
        <v>30</v>
      </c>
      <c r="AC2" t="s">
        <v>1</v>
      </c>
      <c r="AD2" t="s">
        <v>13</v>
      </c>
      <c r="AE2" t="s">
        <v>15</v>
      </c>
      <c r="AF2" t="s">
        <v>16</v>
      </c>
    </row>
    <row r="3" spans="1:32" x14ac:dyDescent="0.3">
      <c r="B3">
        <v>88</v>
      </c>
      <c r="C3">
        <v>12</v>
      </c>
      <c r="D3">
        <v>20</v>
      </c>
      <c r="E3">
        <v>80</v>
      </c>
      <c r="G3">
        <v>95</v>
      </c>
      <c r="H3">
        <v>5</v>
      </c>
      <c r="I3">
        <v>30</v>
      </c>
      <c r="J3">
        <v>70</v>
      </c>
      <c r="L3">
        <v>80</v>
      </c>
      <c r="M3">
        <v>20</v>
      </c>
      <c r="N3">
        <v>48</v>
      </c>
      <c r="O3">
        <v>52</v>
      </c>
      <c r="Q3">
        <f>AVERAGE(C3:D3)</f>
        <v>16</v>
      </c>
      <c r="R3">
        <f>AVERAGE(H3:I3)</f>
        <v>17.5</v>
      </c>
      <c r="S3">
        <f>AVERAGE(M3:N3)</f>
        <v>34</v>
      </c>
      <c r="T3">
        <f>AVERAGE(Q3:S3)</f>
        <v>22.5</v>
      </c>
      <c r="U3">
        <f>MIN(Q3:S3)</f>
        <v>16</v>
      </c>
      <c r="V3">
        <f>T3-U3</f>
        <v>6.5</v>
      </c>
      <c r="W3">
        <f>AVERAGE(Q3:Q11)</f>
        <v>14.5</v>
      </c>
      <c r="X3">
        <f>_xlfn.STDEV.S(Q3:Q11)</f>
        <v>2.9685855217594792</v>
      </c>
      <c r="Y3">
        <f>AVERAGE(R3:R11)</f>
        <v>18.666666666666668</v>
      </c>
      <c r="Z3">
        <f>_xlfn.STDEV.S(R3:R11)</f>
        <v>3.4369317712168801</v>
      </c>
      <c r="AA3">
        <f>AVERAGE(S3:S11)</f>
        <v>31.833333333333332</v>
      </c>
      <c r="AB3">
        <f>_xlfn.STDEV.S(S3:S11)</f>
        <v>2.8062430400804561</v>
      </c>
      <c r="AC3">
        <f>AVERAGE(T3:T11)</f>
        <v>21.666666666666664</v>
      </c>
      <c r="AD3">
        <f>_xlfn.STDEV.S(T3:T11)</f>
        <v>1.4695993407123662</v>
      </c>
      <c r="AE3">
        <f>AVERAGE(V3:V11)</f>
        <v>7.6111111111111125</v>
      </c>
      <c r="AF3">
        <f>_xlfn.STDEV.S(V3:V11)</f>
        <v>2.4874685927665441</v>
      </c>
    </row>
    <row r="4" spans="1:32" x14ac:dyDescent="0.3">
      <c r="B4">
        <v>88</v>
      </c>
      <c r="C4">
        <v>12</v>
      </c>
      <c r="D4">
        <v>12</v>
      </c>
      <c r="E4">
        <v>88</v>
      </c>
      <c r="G4">
        <v>92</v>
      </c>
      <c r="H4">
        <v>8</v>
      </c>
      <c r="I4">
        <v>23</v>
      </c>
      <c r="J4">
        <v>77</v>
      </c>
      <c r="L4">
        <v>75</v>
      </c>
      <c r="M4">
        <v>25</v>
      </c>
      <c r="N4">
        <v>34</v>
      </c>
      <c r="O4">
        <v>66</v>
      </c>
      <c r="Q4">
        <f t="shared" ref="Q4:Q5" si="0">AVERAGE(C4:D4)</f>
        <v>12</v>
      </c>
      <c r="R4">
        <f t="shared" ref="R4:R5" si="1">AVERAGE(H4:I4)</f>
        <v>15.5</v>
      </c>
      <c r="S4">
        <f t="shared" ref="S4:S5" si="2">AVERAGE(M4:N4)</f>
        <v>29.5</v>
      </c>
      <c r="T4">
        <f t="shared" ref="T4:T5" si="3">AVERAGE(Q4:S4)</f>
        <v>19</v>
      </c>
      <c r="U4">
        <f t="shared" ref="U4:U5" si="4">MIN(Q4:S4)</f>
        <v>12</v>
      </c>
      <c r="V4">
        <f t="shared" ref="V4:V5" si="5">T4-U4</f>
        <v>7</v>
      </c>
    </row>
    <row r="5" spans="1:32" x14ac:dyDescent="0.3">
      <c r="B5">
        <v>87</v>
      </c>
      <c r="C5">
        <v>13</v>
      </c>
      <c r="D5">
        <v>13</v>
      </c>
      <c r="E5">
        <v>87</v>
      </c>
      <c r="G5">
        <v>95</v>
      </c>
      <c r="H5">
        <v>5</v>
      </c>
      <c r="I5">
        <v>32</v>
      </c>
      <c r="J5">
        <v>68</v>
      </c>
      <c r="L5">
        <v>80</v>
      </c>
      <c r="M5">
        <v>20</v>
      </c>
      <c r="N5">
        <v>51</v>
      </c>
      <c r="O5">
        <v>49</v>
      </c>
      <c r="Q5">
        <f t="shared" si="0"/>
        <v>13</v>
      </c>
      <c r="R5">
        <f t="shared" si="1"/>
        <v>18.5</v>
      </c>
      <c r="S5">
        <f t="shared" si="2"/>
        <v>35.5</v>
      </c>
      <c r="T5">
        <f t="shared" si="3"/>
        <v>22.333333333333332</v>
      </c>
      <c r="U5">
        <f t="shared" si="4"/>
        <v>13</v>
      </c>
      <c r="V5">
        <f t="shared" si="5"/>
        <v>9.3333333333333321</v>
      </c>
    </row>
    <row r="6" spans="1:32" x14ac:dyDescent="0.3">
      <c r="B6">
        <v>87</v>
      </c>
      <c r="C6">
        <v>13</v>
      </c>
      <c r="D6">
        <v>12</v>
      </c>
      <c r="E6">
        <v>88</v>
      </c>
      <c r="G6">
        <v>94</v>
      </c>
      <c r="H6">
        <v>6</v>
      </c>
      <c r="I6">
        <v>28</v>
      </c>
      <c r="J6">
        <v>72</v>
      </c>
      <c r="L6">
        <v>81</v>
      </c>
      <c r="M6">
        <v>19</v>
      </c>
      <c r="N6">
        <v>49</v>
      </c>
      <c r="O6">
        <v>51</v>
      </c>
      <c r="Q6">
        <f t="shared" ref="Q6:Q14" si="6">AVERAGE(C6:D6)</f>
        <v>12.5</v>
      </c>
      <c r="R6">
        <f t="shared" ref="R6:R14" si="7">AVERAGE(H6:I6)</f>
        <v>17</v>
      </c>
      <c r="S6">
        <f t="shared" ref="S6:S14" si="8">AVERAGE(M6:N6)</f>
        <v>34</v>
      </c>
      <c r="T6">
        <f t="shared" ref="T6:T14" si="9">AVERAGE(Q6:S6)</f>
        <v>21.166666666666668</v>
      </c>
      <c r="U6">
        <f t="shared" ref="U6:U14" si="10">MIN(Q6:S6)</f>
        <v>12.5</v>
      </c>
      <c r="V6">
        <f t="shared" ref="V6:V14" si="11">T6-U6</f>
        <v>8.6666666666666679</v>
      </c>
    </row>
    <row r="7" spans="1:32" x14ac:dyDescent="0.3">
      <c r="B7">
        <v>85</v>
      </c>
      <c r="C7">
        <v>15</v>
      </c>
      <c r="D7">
        <v>12</v>
      </c>
      <c r="E7">
        <v>88</v>
      </c>
      <c r="G7">
        <v>91</v>
      </c>
      <c r="H7">
        <v>9</v>
      </c>
      <c r="I7">
        <v>43</v>
      </c>
      <c r="J7">
        <v>57</v>
      </c>
      <c r="L7">
        <v>84</v>
      </c>
      <c r="M7">
        <v>16</v>
      </c>
      <c r="N7">
        <v>45</v>
      </c>
      <c r="O7">
        <v>55</v>
      </c>
      <c r="Q7">
        <f t="shared" si="6"/>
        <v>13.5</v>
      </c>
      <c r="R7">
        <f t="shared" si="7"/>
        <v>26</v>
      </c>
      <c r="S7">
        <f t="shared" si="8"/>
        <v>30.5</v>
      </c>
      <c r="T7">
        <f t="shared" si="9"/>
        <v>23.333333333333332</v>
      </c>
      <c r="U7">
        <f t="shared" si="10"/>
        <v>13.5</v>
      </c>
      <c r="V7">
        <f t="shared" si="11"/>
        <v>9.8333333333333321</v>
      </c>
    </row>
    <row r="8" spans="1:32" x14ac:dyDescent="0.3">
      <c r="B8">
        <v>82</v>
      </c>
      <c r="C8">
        <v>18</v>
      </c>
      <c r="D8">
        <v>11</v>
      </c>
      <c r="E8">
        <v>89</v>
      </c>
      <c r="G8">
        <v>91</v>
      </c>
      <c r="H8">
        <v>9</v>
      </c>
      <c r="I8">
        <v>24</v>
      </c>
      <c r="J8">
        <v>76</v>
      </c>
      <c r="L8">
        <v>77</v>
      </c>
      <c r="M8">
        <v>23</v>
      </c>
      <c r="N8">
        <v>33</v>
      </c>
      <c r="O8">
        <v>67</v>
      </c>
      <c r="Q8">
        <f t="shared" si="6"/>
        <v>14.5</v>
      </c>
      <c r="R8">
        <f t="shared" si="7"/>
        <v>16.5</v>
      </c>
      <c r="S8">
        <f t="shared" si="8"/>
        <v>28</v>
      </c>
      <c r="T8">
        <f t="shared" si="9"/>
        <v>19.666666666666668</v>
      </c>
      <c r="U8">
        <f t="shared" si="10"/>
        <v>14.5</v>
      </c>
      <c r="V8">
        <f t="shared" si="11"/>
        <v>5.1666666666666679</v>
      </c>
    </row>
    <row r="9" spans="1:32" x14ac:dyDescent="0.3">
      <c r="B9">
        <v>75</v>
      </c>
      <c r="C9">
        <v>25</v>
      </c>
      <c r="D9">
        <v>15</v>
      </c>
      <c r="E9">
        <v>85</v>
      </c>
      <c r="G9">
        <v>93</v>
      </c>
      <c r="H9">
        <v>7</v>
      </c>
      <c r="I9">
        <v>25</v>
      </c>
      <c r="J9">
        <v>75</v>
      </c>
      <c r="L9">
        <v>66</v>
      </c>
      <c r="M9">
        <v>34</v>
      </c>
      <c r="N9">
        <v>30</v>
      </c>
      <c r="O9">
        <v>70</v>
      </c>
      <c r="Q9">
        <f t="shared" si="6"/>
        <v>20</v>
      </c>
      <c r="R9">
        <f t="shared" si="7"/>
        <v>16</v>
      </c>
      <c r="S9">
        <f t="shared" si="8"/>
        <v>32</v>
      </c>
      <c r="T9">
        <f t="shared" si="9"/>
        <v>22.666666666666668</v>
      </c>
      <c r="U9">
        <f t="shared" si="10"/>
        <v>16</v>
      </c>
      <c r="V9">
        <f t="shared" si="11"/>
        <v>6.6666666666666679</v>
      </c>
    </row>
    <row r="10" spans="1:32" x14ac:dyDescent="0.3">
      <c r="B10">
        <v>82</v>
      </c>
      <c r="C10">
        <v>18</v>
      </c>
      <c r="D10">
        <v>18</v>
      </c>
      <c r="E10">
        <v>82</v>
      </c>
      <c r="G10">
        <v>94</v>
      </c>
      <c r="H10">
        <v>6</v>
      </c>
      <c r="I10">
        <v>31</v>
      </c>
      <c r="J10">
        <v>69</v>
      </c>
      <c r="L10">
        <v>81</v>
      </c>
      <c r="M10">
        <v>19</v>
      </c>
      <c r="N10">
        <v>38</v>
      </c>
      <c r="O10">
        <v>62</v>
      </c>
      <c r="Q10">
        <f t="shared" si="6"/>
        <v>18</v>
      </c>
      <c r="R10">
        <f t="shared" si="7"/>
        <v>18.5</v>
      </c>
      <c r="S10">
        <f t="shared" si="8"/>
        <v>28.5</v>
      </c>
      <c r="T10">
        <f t="shared" si="9"/>
        <v>21.666666666666668</v>
      </c>
      <c r="U10">
        <f t="shared" si="10"/>
        <v>18</v>
      </c>
      <c r="V10">
        <f t="shared" si="11"/>
        <v>3.6666666666666679</v>
      </c>
    </row>
    <row r="11" spans="1:32" x14ac:dyDescent="0.3">
      <c r="B11">
        <v>90</v>
      </c>
      <c r="C11">
        <v>10</v>
      </c>
      <c r="D11">
        <v>12</v>
      </c>
      <c r="E11">
        <v>88</v>
      </c>
      <c r="G11">
        <v>92</v>
      </c>
      <c r="H11">
        <v>8</v>
      </c>
      <c r="I11">
        <v>37</v>
      </c>
      <c r="J11">
        <v>63</v>
      </c>
      <c r="L11">
        <v>74</v>
      </c>
      <c r="M11">
        <v>26</v>
      </c>
      <c r="N11">
        <v>43</v>
      </c>
      <c r="O11">
        <v>57</v>
      </c>
      <c r="Q11">
        <f t="shared" si="6"/>
        <v>11</v>
      </c>
      <c r="R11">
        <f t="shared" si="7"/>
        <v>22.5</v>
      </c>
      <c r="S11">
        <f t="shared" si="8"/>
        <v>34.5</v>
      </c>
      <c r="T11">
        <f t="shared" si="9"/>
        <v>22.666666666666668</v>
      </c>
      <c r="U11">
        <f t="shared" si="10"/>
        <v>11</v>
      </c>
      <c r="V11">
        <f t="shared" si="11"/>
        <v>11.666666666666668</v>
      </c>
    </row>
    <row r="12" spans="1:32" x14ac:dyDescent="0.3">
      <c r="B12">
        <v>86</v>
      </c>
      <c r="C12">
        <v>14</v>
      </c>
      <c r="D12">
        <v>17</v>
      </c>
      <c r="E12">
        <v>83</v>
      </c>
      <c r="G12">
        <v>92</v>
      </c>
      <c r="H12">
        <v>8</v>
      </c>
      <c r="I12">
        <v>30</v>
      </c>
      <c r="J12">
        <v>70</v>
      </c>
      <c r="L12">
        <v>77</v>
      </c>
      <c r="M12">
        <v>23</v>
      </c>
      <c r="N12">
        <v>31</v>
      </c>
      <c r="O12">
        <v>69</v>
      </c>
      <c r="Q12">
        <f t="shared" si="6"/>
        <v>15.5</v>
      </c>
      <c r="R12">
        <f t="shared" si="7"/>
        <v>19</v>
      </c>
      <c r="S12">
        <f t="shared" si="8"/>
        <v>27</v>
      </c>
      <c r="T12">
        <f t="shared" si="9"/>
        <v>20.5</v>
      </c>
      <c r="U12">
        <f t="shared" si="10"/>
        <v>15.5</v>
      </c>
      <c r="V12">
        <f t="shared" si="11"/>
        <v>5</v>
      </c>
    </row>
    <row r="13" spans="1:32" x14ac:dyDescent="0.3">
      <c r="B13">
        <v>86</v>
      </c>
      <c r="C13">
        <v>14</v>
      </c>
      <c r="D13">
        <v>14</v>
      </c>
      <c r="E13">
        <v>86</v>
      </c>
      <c r="G13">
        <v>89</v>
      </c>
      <c r="H13">
        <v>11</v>
      </c>
      <c r="I13">
        <v>30</v>
      </c>
      <c r="J13">
        <v>70</v>
      </c>
      <c r="L13">
        <v>70</v>
      </c>
      <c r="M13">
        <v>30</v>
      </c>
      <c r="N13">
        <v>38</v>
      </c>
      <c r="O13">
        <v>62</v>
      </c>
      <c r="Q13">
        <f t="shared" si="6"/>
        <v>14</v>
      </c>
      <c r="R13">
        <f t="shared" si="7"/>
        <v>20.5</v>
      </c>
      <c r="S13">
        <f t="shared" si="8"/>
        <v>34</v>
      </c>
      <c r="T13">
        <f t="shared" si="9"/>
        <v>22.833333333333332</v>
      </c>
      <c r="U13">
        <f t="shared" si="10"/>
        <v>14</v>
      </c>
      <c r="V13">
        <f t="shared" si="11"/>
        <v>8.8333333333333321</v>
      </c>
    </row>
    <row r="14" spans="1:32" x14ac:dyDescent="0.3">
      <c r="B14">
        <v>87</v>
      </c>
      <c r="C14">
        <v>13</v>
      </c>
      <c r="D14">
        <v>13</v>
      </c>
      <c r="E14">
        <v>87</v>
      </c>
      <c r="G14">
        <v>91</v>
      </c>
      <c r="H14">
        <v>9</v>
      </c>
      <c r="I14">
        <v>30</v>
      </c>
      <c r="J14">
        <v>70</v>
      </c>
      <c r="L14">
        <v>69</v>
      </c>
      <c r="M14">
        <v>31</v>
      </c>
      <c r="N14">
        <v>35</v>
      </c>
      <c r="O14">
        <v>65</v>
      </c>
      <c r="Q14">
        <f t="shared" si="6"/>
        <v>13</v>
      </c>
      <c r="R14">
        <f t="shared" si="7"/>
        <v>19.5</v>
      </c>
      <c r="S14">
        <f t="shared" si="8"/>
        <v>33</v>
      </c>
      <c r="T14">
        <f t="shared" si="9"/>
        <v>21.833333333333332</v>
      </c>
      <c r="U14">
        <f t="shared" si="10"/>
        <v>13</v>
      </c>
      <c r="V14">
        <f t="shared" si="11"/>
        <v>8.8333333333333321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STD_BAL_ADV_NOCLSDIV</vt:lpstr>
      <vt:lpstr>STD_BAL_ADV_CLSDIV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2026-03-24T21:47:50Z</dcterms:modified>
</cp:coreProperties>
</file>