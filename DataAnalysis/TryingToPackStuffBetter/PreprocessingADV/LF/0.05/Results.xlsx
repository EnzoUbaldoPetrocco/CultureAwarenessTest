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F\0.05\"/>
    </mc:Choice>
  </mc:AlternateContent>
  <xr:revisionPtr revIDLastSave="0" documentId="13_ncr:1_{EF418B16-D835-4283-9E31-33C65B4C5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STD_BAL_ADV_NOCLSDIV" sheetId="7" r:id="rId2"/>
    <sheet name="STD_BAL_ADV_CLSDIV" sheetId="6" r:id="rId3"/>
    <sheet name="STD_BAL_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6" l="1"/>
  <c r="R4" i="6"/>
  <c r="S4" i="6"/>
  <c r="T4" i="6"/>
  <c r="U4" i="6"/>
  <c r="V4" i="6"/>
  <c r="Q5" i="6"/>
  <c r="R5" i="6"/>
  <c r="S5" i="6"/>
  <c r="T5" i="6"/>
  <c r="U5" i="6"/>
  <c r="V5" i="6"/>
  <c r="Q6" i="6"/>
  <c r="U6" i="6" s="1"/>
  <c r="R6" i="6"/>
  <c r="S6" i="6"/>
  <c r="T6" i="6"/>
  <c r="V6" i="6" s="1"/>
  <c r="Q7" i="6"/>
  <c r="R7" i="6"/>
  <c r="S7" i="6"/>
  <c r="T7" i="6"/>
  <c r="U7" i="6"/>
  <c r="V7" i="6"/>
  <c r="Q8" i="6"/>
  <c r="R8" i="6"/>
  <c r="S8" i="6"/>
  <c r="T8" i="6"/>
  <c r="U8" i="6"/>
  <c r="V8" i="6"/>
  <c r="Q4" i="7"/>
  <c r="R4" i="7"/>
  <c r="S4" i="7"/>
  <c r="T4" i="7"/>
  <c r="U4" i="7"/>
  <c r="V4" i="7"/>
  <c r="Q5" i="7"/>
  <c r="R5" i="7"/>
  <c r="S5" i="7"/>
  <c r="T5" i="7"/>
  <c r="U5" i="7"/>
  <c r="V5" i="7"/>
  <c r="Q6" i="7"/>
  <c r="U6" i="7" s="1"/>
  <c r="R6" i="7"/>
  <c r="S6" i="7"/>
  <c r="T6" i="7"/>
  <c r="V6" i="7" s="1"/>
  <c r="Q7" i="7"/>
  <c r="R7" i="7"/>
  <c r="S7" i="7"/>
  <c r="T7" i="7"/>
  <c r="U7" i="7"/>
  <c r="V7" i="7"/>
  <c r="Q8" i="7"/>
  <c r="R8" i="7"/>
  <c r="S8" i="7"/>
  <c r="T8" i="7"/>
  <c r="U8" i="7"/>
  <c r="V8" i="7"/>
  <c r="S3" i="7"/>
  <c r="AB3" i="7" s="1"/>
  <c r="R3" i="7"/>
  <c r="Z3" i="7" s="1"/>
  <c r="Q3" i="7"/>
  <c r="S3" i="6"/>
  <c r="AB3" i="6" s="1"/>
  <c r="R3" i="6"/>
  <c r="Z3" i="6" s="1"/>
  <c r="Q3" i="6"/>
  <c r="X3" i="6" s="1"/>
  <c r="AF3" i="2"/>
  <c r="AE3" i="2"/>
  <c r="AD3" i="2"/>
  <c r="AC3" i="2"/>
  <c r="AB3" i="2"/>
  <c r="AA3" i="2"/>
  <c r="Z3" i="2"/>
  <c r="Y3" i="2"/>
  <c r="X3" i="2"/>
  <c r="W3" i="2"/>
  <c r="Q6" i="2"/>
  <c r="R6" i="2"/>
  <c r="S6" i="2"/>
  <c r="T6" i="2"/>
  <c r="U6" i="2"/>
  <c r="V6" i="2"/>
  <c r="Q7" i="2"/>
  <c r="R7" i="2"/>
  <c r="S7" i="2"/>
  <c r="T7" i="2"/>
  <c r="U7" i="2"/>
  <c r="V7" i="2"/>
  <c r="Q8" i="2"/>
  <c r="U8" i="2" s="1"/>
  <c r="R8" i="2"/>
  <c r="S8" i="2"/>
  <c r="T8" i="2"/>
  <c r="V8" i="2" s="1"/>
  <c r="Q9" i="2"/>
  <c r="R9" i="2"/>
  <c r="S9" i="2"/>
  <c r="T9" i="2"/>
  <c r="U9" i="2"/>
  <c r="V9" i="2"/>
  <c r="Q10" i="2"/>
  <c r="R10" i="2"/>
  <c r="S10" i="2"/>
  <c r="T10" i="2"/>
  <c r="U10" i="2"/>
  <c r="V10" i="2"/>
  <c r="Q11" i="2"/>
  <c r="T11" i="2" s="1"/>
  <c r="R11" i="2"/>
  <c r="S11" i="2"/>
  <c r="V36" i="7"/>
  <c r="U36" i="7"/>
  <c r="T36" i="7"/>
  <c r="S36" i="7"/>
  <c r="R36" i="7"/>
  <c r="Q36" i="7"/>
  <c r="S35" i="7"/>
  <c r="R35" i="7"/>
  <c r="Q35" i="7"/>
  <c r="U35" i="7" s="1"/>
  <c r="U34" i="7"/>
  <c r="T34" i="7"/>
  <c r="V34" i="7" s="1"/>
  <c r="S34" i="7"/>
  <c r="R34" i="7"/>
  <c r="Q34" i="7"/>
  <c r="S33" i="7"/>
  <c r="R33" i="7"/>
  <c r="Q33" i="7"/>
  <c r="U33" i="7" s="1"/>
  <c r="S32" i="7"/>
  <c r="R32" i="7"/>
  <c r="Q32" i="7"/>
  <c r="T32" i="7" s="1"/>
  <c r="S31" i="7"/>
  <c r="R31" i="7"/>
  <c r="Q31" i="7"/>
  <c r="U31" i="7" s="1"/>
  <c r="Q4" i="2"/>
  <c r="R4" i="2"/>
  <c r="S4" i="2"/>
  <c r="Q5" i="2"/>
  <c r="R5" i="2"/>
  <c r="S5" i="2"/>
  <c r="T5" i="2"/>
  <c r="U5" i="2"/>
  <c r="V5" i="2"/>
  <c r="S3" i="2"/>
  <c r="R3" i="2"/>
  <c r="Q3" i="2"/>
  <c r="U3" i="2" s="1"/>
  <c r="W31" i="6"/>
  <c r="T32" i="6"/>
  <c r="U33" i="6"/>
  <c r="Q31" i="6"/>
  <c r="T31" i="6" s="1"/>
  <c r="X31" i="6" s="1"/>
  <c r="R31" i="6"/>
  <c r="U31" i="6" s="1"/>
  <c r="S31" i="6"/>
  <c r="Q32" i="6"/>
  <c r="U32" i="6" s="1"/>
  <c r="R32" i="6"/>
  <c r="S32" i="6"/>
  <c r="Q33" i="6"/>
  <c r="T33" i="6" s="1"/>
  <c r="R33" i="6"/>
  <c r="S33" i="6"/>
  <c r="Q34" i="6"/>
  <c r="T34" i="6" s="1"/>
  <c r="R34" i="6"/>
  <c r="S34" i="6"/>
  <c r="U34" i="6" s="1"/>
  <c r="Q35" i="6"/>
  <c r="U35" i="6" s="1"/>
  <c r="R35" i="6"/>
  <c r="S35" i="6"/>
  <c r="Q36" i="6"/>
  <c r="U36" i="6" s="1"/>
  <c r="R36" i="6"/>
  <c r="S36" i="6"/>
  <c r="X3" i="7" l="1"/>
  <c r="T3" i="7"/>
  <c r="U3" i="7"/>
  <c r="W3" i="7"/>
  <c r="Y3" i="7"/>
  <c r="AA3" i="7"/>
  <c r="T3" i="6"/>
  <c r="U3" i="6"/>
  <c r="W3" i="6"/>
  <c r="Y3" i="6"/>
  <c r="AA3" i="6"/>
  <c r="V11" i="2"/>
  <c r="U11" i="2"/>
  <c r="T4" i="2"/>
  <c r="T3" i="2"/>
  <c r="U32" i="7"/>
  <c r="V32" i="7" s="1"/>
  <c r="T31" i="7"/>
  <c r="T33" i="7"/>
  <c r="V33" i="7" s="1"/>
  <c r="T35" i="7"/>
  <c r="V35" i="7" s="1"/>
  <c r="U4" i="2"/>
  <c r="V4" i="2" s="1"/>
  <c r="V33" i="6"/>
  <c r="V34" i="6"/>
  <c r="V31" i="6"/>
  <c r="V32" i="6"/>
  <c r="T36" i="6"/>
  <c r="V36" i="6" s="1"/>
  <c r="T35" i="6"/>
  <c r="V35" i="6" s="1"/>
  <c r="AD3" i="7" l="1"/>
  <c r="AC3" i="7"/>
  <c r="V3" i="7"/>
  <c r="AD3" i="6"/>
  <c r="AC3" i="6"/>
  <c r="V3" i="6"/>
  <c r="V3" i="2"/>
  <c r="W31" i="7"/>
  <c r="V31" i="7"/>
  <c r="X31" i="7"/>
  <c r="Z31" i="6"/>
  <c r="Y31" i="6"/>
  <c r="AF3" i="7" l="1"/>
  <c r="AE3" i="7"/>
  <c r="AF3" i="6"/>
  <c r="AE3" i="6"/>
  <c r="Y31" i="7"/>
  <c r="Z31" i="7"/>
</calcChain>
</file>

<file path=xl/sharedStrings.xml><?xml version="1.0" encoding="utf-8"?>
<sst xmlns="http://schemas.openxmlformats.org/spreadsheetml/2006/main" count="73" uniqueCount="30">
  <si>
    <t>Dati originali</t>
  </si>
  <si>
    <t>ERR</t>
  </si>
  <si>
    <t>NOAUG</t>
  </si>
  <si>
    <t>ERR0</t>
  </si>
  <si>
    <t>STD0</t>
  </si>
  <si>
    <t>ERR1</t>
  </si>
  <si>
    <t>STD1</t>
  </si>
  <si>
    <t>ERR2</t>
  </si>
  <si>
    <t>STD2</t>
  </si>
  <si>
    <t>COPIO LE COSE QUI</t>
  </si>
  <si>
    <t>CIC_i</t>
  </si>
  <si>
    <t>ERR_i</t>
  </si>
  <si>
    <t>ERR_STD</t>
  </si>
  <si>
    <t>MIN_ERR_i</t>
  </si>
  <si>
    <t>CIC</t>
  </si>
  <si>
    <t>CIC_STD</t>
  </si>
  <si>
    <t>c0</t>
  </si>
  <si>
    <t>c1</t>
  </si>
  <si>
    <t>c2</t>
  </si>
  <si>
    <t>ERR_0_i</t>
  </si>
  <si>
    <t>ERR_1_i</t>
  </si>
  <si>
    <t>ERR_2_i</t>
  </si>
  <si>
    <t>ADV</t>
  </si>
  <si>
    <t>ERR0_STD</t>
  </si>
  <si>
    <t>ERR1_STD</t>
  </si>
  <si>
    <t>ERR2_STD</t>
  </si>
  <si>
    <t>CLSDIV</t>
  </si>
  <si>
    <t>NOCLSDIV</t>
  </si>
  <si>
    <t>ERRO0</t>
  </si>
  <si>
    <t>ep=0.0001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</si>
</sst>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C4" sqref="C4:L4"/>
    </sheetView>
  </sheetViews>
  <sheetFormatPr defaultRowHeight="14.4" x14ac:dyDescent="0.3"/>
  <sheetData>
    <row r="1" spans="1:12" x14ac:dyDescent="0.3"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  <c r="J1" t="s">
        <v>12</v>
      </c>
      <c r="K1" t="s">
        <v>14</v>
      </c>
      <c r="L1" t="s">
        <v>15</v>
      </c>
    </row>
    <row r="2" spans="1:12" x14ac:dyDescent="0.3">
      <c r="A2" t="s">
        <v>2</v>
      </c>
      <c r="C2" s="1">
        <v>24.111111111111111</v>
      </c>
      <c r="D2" s="1">
        <v>4.5878765361669318</v>
      </c>
      <c r="E2" s="1">
        <v>13.555555555555555</v>
      </c>
      <c r="F2" s="1">
        <v>3.1369217041197843</v>
      </c>
      <c r="G2" s="1">
        <v>34.388888888888886</v>
      </c>
      <c r="H2" s="1">
        <v>4.1741599287893951</v>
      </c>
      <c r="I2" s="1">
        <v>24.018518518518519</v>
      </c>
      <c r="J2" s="1">
        <v>3.0736835985829081</v>
      </c>
      <c r="K2" s="1">
        <v>10.462962962962962</v>
      </c>
      <c r="L2" s="1">
        <v>3.259364476416144</v>
      </c>
    </row>
    <row r="3" spans="1:12" x14ac:dyDescent="0.3">
      <c r="A3" t="s">
        <v>22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">
      <c r="B4" t="s">
        <v>26</v>
      </c>
      <c r="C4" s="1">
        <v>20.333333333333332</v>
      </c>
      <c r="D4" s="1">
        <v>1.807392228230128</v>
      </c>
      <c r="E4" s="1">
        <v>11.083333333333334</v>
      </c>
      <c r="F4" s="1">
        <v>1.9853631070075506</v>
      </c>
      <c r="G4" s="1">
        <v>27.583333333333332</v>
      </c>
      <c r="H4" s="1">
        <v>2.615657979680575</v>
      </c>
      <c r="I4" s="1">
        <v>19.666666666666668</v>
      </c>
      <c r="J4" s="1">
        <v>1.3249737942901196</v>
      </c>
      <c r="K4" s="1">
        <v>8.5833333333333339</v>
      </c>
      <c r="L4" s="1">
        <v>1.0474837574980422</v>
      </c>
    </row>
    <row r="5" spans="1:12" x14ac:dyDescent="0.3"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">
      <c r="B6" t="s">
        <v>27</v>
      </c>
      <c r="C6" s="1">
        <v>20.416666666666668</v>
      </c>
      <c r="D6" s="1">
        <v>3.8654452093732612</v>
      </c>
      <c r="E6" s="1">
        <v>11.5</v>
      </c>
      <c r="F6" s="1">
        <v>2.0248456731316584</v>
      </c>
      <c r="G6" s="1">
        <v>33.5</v>
      </c>
      <c r="H6" s="1">
        <v>3.5071355833500366</v>
      </c>
      <c r="I6" s="1">
        <v>21.805555555555557</v>
      </c>
      <c r="J6" s="1">
        <v>1.0822644299321198</v>
      </c>
      <c r="K6" s="1">
        <v>10.305555555555555</v>
      </c>
      <c r="L6" s="1">
        <v>2.9728711648779873</v>
      </c>
    </row>
    <row r="7" spans="1:12" x14ac:dyDescent="0.3">
      <c r="C7" s="1"/>
      <c r="D7" s="1"/>
      <c r="E7" s="1"/>
      <c r="F7" s="1"/>
      <c r="G7" s="1"/>
      <c r="H7" s="1"/>
      <c r="I7" s="1"/>
      <c r="J7" s="1"/>
      <c r="K7" s="1"/>
      <c r="L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82D8A-1A23-4CF3-9872-DA5B576CDAF9}">
  <dimension ref="A1:AF36"/>
  <sheetViews>
    <sheetView topLeftCell="L1" workbookViewId="0">
      <selection activeCell="W3" sqref="W3:AF3"/>
    </sheetView>
  </sheetViews>
  <sheetFormatPr defaultRowHeight="14.4" x14ac:dyDescent="0.3"/>
  <cols>
    <col min="28" max="28" width="11.21875" customWidth="1"/>
    <col min="32" max="32" width="20.88671875" customWidth="1"/>
  </cols>
  <sheetData>
    <row r="1" spans="1:32" x14ac:dyDescent="0.3">
      <c r="A1" t="s">
        <v>29</v>
      </c>
    </row>
    <row r="2" spans="1:32" x14ac:dyDescent="0.3">
      <c r="A2" t="s">
        <v>16</v>
      </c>
      <c r="F2" t="s">
        <v>17</v>
      </c>
      <c r="K2" t="s">
        <v>18</v>
      </c>
      <c r="Q2" t="s">
        <v>19</v>
      </c>
      <c r="R2" t="s">
        <v>20</v>
      </c>
      <c r="S2" t="s">
        <v>21</v>
      </c>
      <c r="T2" t="s">
        <v>11</v>
      </c>
      <c r="U2" t="s">
        <v>13</v>
      </c>
      <c r="V2" t="s">
        <v>10</v>
      </c>
      <c r="W2" t="s">
        <v>28</v>
      </c>
      <c r="X2" t="s">
        <v>23</v>
      </c>
      <c r="Y2" t="s">
        <v>5</v>
      </c>
      <c r="Z2" t="s">
        <v>24</v>
      </c>
      <c r="AA2" t="s">
        <v>7</v>
      </c>
      <c r="AB2" t="s">
        <v>25</v>
      </c>
      <c r="AC2" t="s">
        <v>1</v>
      </c>
      <c r="AD2" t="s">
        <v>12</v>
      </c>
      <c r="AE2" t="s">
        <v>14</v>
      </c>
      <c r="AF2" t="s">
        <v>15</v>
      </c>
    </row>
    <row r="3" spans="1:32" x14ac:dyDescent="0.3">
      <c r="B3">
        <v>66</v>
      </c>
      <c r="C3">
        <v>34</v>
      </c>
      <c r="D3">
        <v>12</v>
      </c>
      <c r="E3">
        <v>88</v>
      </c>
      <c r="G3">
        <v>93</v>
      </c>
      <c r="H3">
        <v>7</v>
      </c>
      <c r="I3">
        <v>13</v>
      </c>
      <c r="J3">
        <v>87</v>
      </c>
      <c r="L3">
        <v>71</v>
      </c>
      <c r="M3">
        <v>29</v>
      </c>
      <c r="N3">
        <v>34</v>
      </c>
      <c r="O3">
        <v>66</v>
      </c>
      <c r="Q3">
        <f>AVERAGE(C3:D3)</f>
        <v>23</v>
      </c>
      <c r="R3">
        <f>AVERAGE(H3:I3)</f>
        <v>10</v>
      </c>
      <c r="S3">
        <f>AVERAGE(M3:N3)</f>
        <v>31.5</v>
      </c>
      <c r="T3">
        <f>AVERAGE(Q3:S3)</f>
        <v>21.5</v>
      </c>
      <c r="U3">
        <f>MIN(Q3:S3)</f>
        <v>10</v>
      </c>
      <c r="V3">
        <f>T3-U3</f>
        <v>11.5</v>
      </c>
      <c r="W3">
        <f>AVERAGE(Q3:Q11)</f>
        <v>20.416666666666668</v>
      </c>
      <c r="X3">
        <f>_xlfn.STDEV.S(Q3:Q11)</f>
        <v>3.8654452093732612</v>
      </c>
      <c r="Y3">
        <f>AVERAGE(R3:R11)</f>
        <v>11.5</v>
      </c>
      <c r="Z3">
        <f>_xlfn.STDEV.S(R3:R11)</f>
        <v>2.0248456731316584</v>
      </c>
      <c r="AA3">
        <f>AVERAGE(S3:S11)</f>
        <v>33.5</v>
      </c>
      <c r="AB3">
        <f>_xlfn.STDEV.S(S3:S11)</f>
        <v>3.5071355833500366</v>
      </c>
      <c r="AC3">
        <f>AVERAGE(T3:T11)</f>
        <v>21.805555555555557</v>
      </c>
      <c r="AD3">
        <f>_xlfn.STDEV.S(T3:T11)</f>
        <v>1.0822644299321198</v>
      </c>
      <c r="AE3">
        <f>AVERAGE(V3:V11)</f>
        <v>10.305555555555555</v>
      </c>
      <c r="AF3">
        <f>_xlfn.STDEV.S(V3:V11)</f>
        <v>2.9728711648779873</v>
      </c>
    </row>
    <row r="4" spans="1:32" x14ac:dyDescent="0.3">
      <c r="B4">
        <v>80</v>
      </c>
      <c r="C4">
        <v>20</v>
      </c>
      <c r="D4">
        <v>13</v>
      </c>
      <c r="E4">
        <v>87</v>
      </c>
      <c r="G4">
        <v>87</v>
      </c>
      <c r="H4">
        <v>13</v>
      </c>
      <c r="I4">
        <v>17</v>
      </c>
      <c r="J4">
        <v>83</v>
      </c>
      <c r="L4">
        <v>82</v>
      </c>
      <c r="M4">
        <v>18</v>
      </c>
      <c r="N4">
        <v>41</v>
      </c>
      <c r="O4">
        <v>59</v>
      </c>
      <c r="Q4">
        <f t="shared" ref="Q4:Q8" si="0">AVERAGE(C4:D4)</f>
        <v>16.5</v>
      </c>
      <c r="R4">
        <f t="shared" ref="R4:R8" si="1">AVERAGE(H4:I4)</f>
        <v>15</v>
      </c>
      <c r="S4">
        <f t="shared" ref="S4:S8" si="2">AVERAGE(M4:N4)</f>
        <v>29.5</v>
      </c>
      <c r="T4">
        <f t="shared" ref="T4:T8" si="3">AVERAGE(Q4:S4)</f>
        <v>20.333333333333332</v>
      </c>
      <c r="U4">
        <f t="shared" ref="U4:U8" si="4">MIN(Q4:S4)</f>
        <v>15</v>
      </c>
      <c r="V4">
        <f t="shared" ref="V4:V8" si="5">T4-U4</f>
        <v>5.3333333333333321</v>
      </c>
    </row>
    <row r="5" spans="1:32" x14ac:dyDescent="0.3">
      <c r="B5">
        <v>66</v>
      </c>
      <c r="C5">
        <v>34</v>
      </c>
      <c r="D5">
        <v>19</v>
      </c>
      <c r="E5">
        <v>81</v>
      </c>
      <c r="G5">
        <v>90</v>
      </c>
      <c r="H5">
        <v>10</v>
      </c>
      <c r="I5">
        <v>9</v>
      </c>
      <c r="J5">
        <v>91</v>
      </c>
      <c r="L5">
        <v>68</v>
      </c>
      <c r="M5">
        <v>32</v>
      </c>
      <c r="N5">
        <v>37</v>
      </c>
      <c r="O5">
        <v>63</v>
      </c>
      <c r="Q5">
        <f t="shared" si="0"/>
        <v>26.5</v>
      </c>
      <c r="R5">
        <f t="shared" si="1"/>
        <v>9.5</v>
      </c>
      <c r="S5">
        <f t="shared" si="2"/>
        <v>34.5</v>
      </c>
      <c r="T5">
        <f t="shared" si="3"/>
        <v>23.5</v>
      </c>
      <c r="U5">
        <f t="shared" si="4"/>
        <v>9.5</v>
      </c>
      <c r="V5">
        <f t="shared" si="5"/>
        <v>14</v>
      </c>
    </row>
    <row r="6" spans="1:32" x14ac:dyDescent="0.3">
      <c r="B6">
        <v>78</v>
      </c>
      <c r="C6">
        <v>22</v>
      </c>
      <c r="D6">
        <v>18</v>
      </c>
      <c r="E6">
        <v>82</v>
      </c>
      <c r="G6">
        <v>89</v>
      </c>
      <c r="H6">
        <v>11</v>
      </c>
      <c r="I6">
        <v>14</v>
      </c>
      <c r="J6">
        <v>86</v>
      </c>
      <c r="L6">
        <v>73</v>
      </c>
      <c r="M6">
        <v>27</v>
      </c>
      <c r="N6">
        <v>35</v>
      </c>
      <c r="O6">
        <v>65</v>
      </c>
      <c r="Q6">
        <f t="shared" si="0"/>
        <v>20</v>
      </c>
      <c r="R6">
        <f t="shared" si="1"/>
        <v>12.5</v>
      </c>
      <c r="S6">
        <f t="shared" si="2"/>
        <v>31</v>
      </c>
      <c r="T6">
        <f t="shared" si="3"/>
        <v>21.166666666666668</v>
      </c>
      <c r="U6">
        <f t="shared" si="4"/>
        <v>12.5</v>
      </c>
      <c r="V6">
        <f t="shared" si="5"/>
        <v>8.6666666666666679</v>
      </c>
    </row>
    <row r="7" spans="1:32" x14ac:dyDescent="0.3">
      <c r="B7">
        <v>79</v>
      </c>
      <c r="C7">
        <v>21</v>
      </c>
      <c r="D7">
        <v>19</v>
      </c>
      <c r="E7">
        <v>81</v>
      </c>
      <c r="G7">
        <v>92</v>
      </c>
      <c r="H7">
        <v>8</v>
      </c>
      <c r="I7">
        <v>13</v>
      </c>
      <c r="J7">
        <v>87</v>
      </c>
      <c r="L7">
        <v>65</v>
      </c>
      <c r="M7">
        <v>35</v>
      </c>
      <c r="N7">
        <v>36</v>
      </c>
      <c r="O7">
        <v>64</v>
      </c>
      <c r="Q7">
        <f t="shared" si="0"/>
        <v>20</v>
      </c>
      <c r="R7">
        <f t="shared" si="1"/>
        <v>10.5</v>
      </c>
      <c r="S7">
        <f t="shared" si="2"/>
        <v>35.5</v>
      </c>
      <c r="T7">
        <f t="shared" si="3"/>
        <v>22</v>
      </c>
      <c r="U7">
        <f t="shared" si="4"/>
        <v>10.5</v>
      </c>
      <c r="V7">
        <f t="shared" si="5"/>
        <v>11.5</v>
      </c>
    </row>
    <row r="8" spans="1:32" x14ac:dyDescent="0.3">
      <c r="B8">
        <v>84</v>
      </c>
      <c r="C8">
        <v>16</v>
      </c>
      <c r="D8">
        <v>17</v>
      </c>
      <c r="E8">
        <v>83</v>
      </c>
      <c r="G8">
        <v>89</v>
      </c>
      <c r="H8">
        <v>11</v>
      </c>
      <c r="I8">
        <v>12</v>
      </c>
      <c r="J8">
        <v>88</v>
      </c>
      <c r="L8">
        <v>66</v>
      </c>
      <c r="M8">
        <v>34</v>
      </c>
      <c r="N8">
        <v>44</v>
      </c>
      <c r="O8">
        <v>56</v>
      </c>
      <c r="Q8">
        <f t="shared" si="0"/>
        <v>16.5</v>
      </c>
      <c r="R8">
        <f t="shared" si="1"/>
        <v>11.5</v>
      </c>
      <c r="S8">
        <f t="shared" si="2"/>
        <v>39</v>
      </c>
      <c r="T8">
        <f t="shared" si="3"/>
        <v>22.333333333333332</v>
      </c>
      <c r="U8">
        <f t="shared" si="4"/>
        <v>11.5</v>
      </c>
      <c r="V8">
        <f t="shared" si="5"/>
        <v>10.833333333333332</v>
      </c>
    </row>
    <row r="31" spans="17:26" x14ac:dyDescent="0.3">
      <c r="Q31" t="e">
        <f t="shared" ref="Q31:Q36" si="6">AVERAGE(C31,D31)</f>
        <v>#DIV/0!</v>
      </c>
      <c r="R31" t="e">
        <f t="shared" ref="R31:R36" si="7">AVERAGE(H31,I31)</f>
        <v>#DIV/0!</v>
      </c>
      <c r="S31" t="e">
        <f t="shared" ref="S31:S36" si="8">AVERAGE(M31,N31)</f>
        <v>#DIV/0!</v>
      </c>
      <c r="T31" t="e">
        <f t="shared" ref="T31:T36" si="9">AVERAGE(Q31:S31)</f>
        <v>#DIV/0!</v>
      </c>
      <c r="U31" t="e">
        <f t="shared" ref="U31:U36" si="10">MIN(Q31:S31)</f>
        <v>#DIV/0!</v>
      </c>
      <c r="V31" t="e">
        <f t="shared" ref="V31:V36" si="11">(1/3)*(T31-U31)</f>
        <v>#DIV/0!</v>
      </c>
      <c r="W31" t="e">
        <f>AVERAGE(T31:T36)</f>
        <v>#DIV/0!</v>
      </c>
      <c r="X31" t="e">
        <f>_xlfn.STDEV.S(T31:T36)</f>
        <v>#DIV/0!</v>
      </c>
      <c r="Y31" t="e">
        <f>AVERAGE(V31:V36)</f>
        <v>#DIV/0!</v>
      </c>
      <c r="Z31" t="e">
        <f>_xlfn.STDEV.S(V31:V36)</f>
        <v>#DIV/0!</v>
      </c>
    </row>
    <row r="32" spans="17:26" x14ac:dyDescent="0.3">
      <c r="Q32" t="e">
        <f t="shared" si="6"/>
        <v>#DIV/0!</v>
      </c>
      <c r="R32" t="e">
        <f t="shared" si="7"/>
        <v>#DIV/0!</v>
      </c>
      <c r="S32" t="e">
        <f t="shared" si="8"/>
        <v>#DIV/0!</v>
      </c>
      <c r="T32" t="e">
        <f t="shared" si="9"/>
        <v>#DIV/0!</v>
      </c>
      <c r="U32" t="e">
        <f t="shared" si="10"/>
        <v>#DIV/0!</v>
      </c>
      <c r="V32" t="e">
        <f t="shared" si="11"/>
        <v>#DIV/0!</v>
      </c>
    </row>
    <row r="33" spans="17:22" x14ac:dyDescent="0.3">
      <c r="Q33" t="e">
        <f t="shared" si="6"/>
        <v>#DIV/0!</v>
      </c>
      <c r="R33" t="e">
        <f t="shared" si="7"/>
        <v>#DIV/0!</v>
      </c>
      <c r="S33" t="e">
        <f t="shared" si="8"/>
        <v>#DIV/0!</v>
      </c>
      <c r="T33" t="e">
        <f t="shared" si="9"/>
        <v>#DIV/0!</v>
      </c>
      <c r="U33" t="e">
        <f t="shared" si="10"/>
        <v>#DIV/0!</v>
      </c>
      <c r="V33" t="e">
        <f t="shared" si="11"/>
        <v>#DIV/0!</v>
      </c>
    </row>
    <row r="34" spans="17:22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</row>
    <row r="35" spans="17:22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7:22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4124B-224B-4F9B-B528-181D112DB9C5}">
  <dimension ref="A1:AF36"/>
  <sheetViews>
    <sheetView topLeftCell="M1" workbookViewId="0">
      <selection activeCell="W3" sqref="W3:AF3"/>
    </sheetView>
  </sheetViews>
  <sheetFormatPr defaultRowHeight="14.4" x14ac:dyDescent="0.3"/>
  <cols>
    <col min="28" max="28" width="11.21875" customWidth="1"/>
    <col min="32" max="32" width="20.88671875" customWidth="1"/>
  </cols>
  <sheetData>
    <row r="1" spans="1:32" x14ac:dyDescent="0.3">
      <c r="A1" t="s">
        <v>29</v>
      </c>
    </row>
    <row r="2" spans="1:32" x14ac:dyDescent="0.3">
      <c r="A2" t="s">
        <v>16</v>
      </c>
      <c r="F2" t="s">
        <v>17</v>
      </c>
      <c r="K2" t="s">
        <v>18</v>
      </c>
      <c r="Q2" t="s">
        <v>19</v>
      </c>
      <c r="R2" t="s">
        <v>20</v>
      </c>
      <c r="S2" t="s">
        <v>21</v>
      </c>
      <c r="T2" t="s">
        <v>11</v>
      </c>
      <c r="U2" t="s">
        <v>13</v>
      </c>
      <c r="V2" t="s">
        <v>10</v>
      </c>
      <c r="W2" t="s">
        <v>28</v>
      </c>
      <c r="X2" t="s">
        <v>23</v>
      </c>
      <c r="Y2" t="s">
        <v>5</v>
      </c>
      <c r="Z2" t="s">
        <v>24</v>
      </c>
      <c r="AA2" t="s">
        <v>7</v>
      </c>
      <c r="AB2" t="s">
        <v>25</v>
      </c>
      <c r="AC2" t="s">
        <v>1</v>
      </c>
      <c r="AD2" t="s">
        <v>12</v>
      </c>
      <c r="AE2" t="s">
        <v>14</v>
      </c>
      <c r="AF2" t="s">
        <v>15</v>
      </c>
    </row>
    <row r="3" spans="1:32" x14ac:dyDescent="0.3">
      <c r="B3">
        <v>68</v>
      </c>
      <c r="C3">
        <v>32</v>
      </c>
      <c r="D3">
        <v>15</v>
      </c>
      <c r="E3">
        <v>85</v>
      </c>
      <c r="G3">
        <v>87</v>
      </c>
      <c r="H3">
        <v>13</v>
      </c>
      <c r="I3">
        <v>6</v>
      </c>
      <c r="J3">
        <v>94</v>
      </c>
      <c r="L3">
        <v>72</v>
      </c>
      <c r="M3">
        <v>28</v>
      </c>
      <c r="N3">
        <v>23</v>
      </c>
      <c r="O3">
        <v>77</v>
      </c>
      <c r="Q3">
        <f>AVERAGE(C3:D3)</f>
        <v>23.5</v>
      </c>
      <c r="R3">
        <f>AVERAGE(H3:I3)</f>
        <v>9.5</v>
      </c>
      <c r="S3">
        <f>AVERAGE(M3:N3)</f>
        <v>25.5</v>
      </c>
      <c r="T3">
        <f>AVERAGE(Q3:S3)</f>
        <v>19.5</v>
      </c>
      <c r="U3">
        <f>MIN(Q3:S3)</f>
        <v>9.5</v>
      </c>
      <c r="V3">
        <f>T3-U3</f>
        <v>10</v>
      </c>
      <c r="W3">
        <f>AVERAGE(Q3:Q11)</f>
        <v>20.333333333333332</v>
      </c>
      <c r="X3">
        <f>_xlfn.STDEV.S(Q3:Q11)</f>
        <v>1.807392228230128</v>
      </c>
      <c r="Y3">
        <f>AVERAGE(R3:R11)</f>
        <v>11.083333333333334</v>
      </c>
      <c r="Z3">
        <f>_xlfn.STDEV.S(R3:R11)</f>
        <v>1.9853631070075506</v>
      </c>
      <c r="AA3">
        <f>AVERAGE(S3:S11)</f>
        <v>27.583333333333332</v>
      </c>
      <c r="AB3">
        <f>_xlfn.STDEV.S(S3:S11)</f>
        <v>2.615657979680575</v>
      </c>
      <c r="AC3">
        <f>AVERAGE(T3:T11)</f>
        <v>19.666666666666668</v>
      </c>
      <c r="AD3">
        <f>_xlfn.STDEV.S(T3:T11)</f>
        <v>1.3249737942901196</v>
      </c>
      <c r="AE3">
        <f>AVERAGE(V3:V11)</f>
        <v>8.5833333333333339</v>
      </c>
      <c r="AF3">
        <f>_xlfn.STDEV.S(V3:V11)</f>
        <v>1.0474837574980422</v>
      </c>
    </row>
    <row r="4" spans="1:32" x14ac:dyDescent="0.3">
      <c r="B4">
        <v>76</v>
      </c>
      <c r="C4">
        <v>24</v>
      </c>
      <c r="D4">
        <v>14</v>
      </c>
      <c r="E4">
        <v>86</v>
      </c>
      <c r="G4">
        <v>98</v>
      </c>
      <c r="H4">
        <v>2</v>
      </c>
      <c r="I4">
        <v>16</v>
      </c>
      <c r="J4">
        <v>84</v>
      </c>
      <c r="L4">
        <v>76</v>
      </c>
      <c r="M4">
        <v>24</v>
      </c>
      <c r="N4">
        <v>25</v>
      </c>
      <c r="O4">
        <v>75</v>
      </c>
      <c r="Q4">
        <f t="shared" ref="Q4:Q8" si="0">AVERAGE(C4:D4)</f>
        <v>19</v>
      </c>
      <c r="R4">
        <f t="shared" ref="R4:R8" si="1">AVERAGE(H4:I4)</f>
        <v>9</v>
      </c>
      <c r="S4">
        <f t="shared" ref="S4:S8" si="2">AVERAGE(M4:N4)</f>
        <v>24.5</v>
      </c>
      <c r="T4">
        <f t="shared" ref="T4:T8" si="3">AVERAGE(Q4:S4)</f>
        <v>17.5</v>
      </c>
      <c r="U4">
        <f t="shared" ref="U4:U8" si="4">MIN(Q4:S4)</f>
        <v>9</v>
      </c>
      <c r="V4">
        <f t="shared" ref="V4:V8" si="5">T4-U4</f>
        <v>8.5</v>
      </c>
    </row>
    <row r="5" spans="1:32" x14ac:dyDescent="0.3">
      <c r="B5">
        <v>81</v>
      </c>
      <c r="C5">
        <v>19</v>
      </c>
      <c r="D5">
        <v>20</v>
      </c>
      <c r="E5">
        <v>80</v>
      </c>
      <c r="G5">
        <v>96</v>
      </c>
      <c r="H5">
        <v>4</v>
      </c>
      <c r="I5">
        <v>15</v>
      </c>
      <c r="J5">
        <v>85</v>
      </c>
      <c r="L5">
        <v>82</v>
      </c>
      <c r="M5">
        <v>18</v>
      </c>
      <c r="N5">
        <v>37</v>
      </c>
      <c r="O5">
        <v>63</v>
      </c>
      <c r="Q5">
        <f t="shared" si="0"/>
        <v>19.5</v>
      </c>
      <c r="R5">
        <f t="shared" si="1"/>
        <v>9.5</v>
      </c>
      <c r="S5">
        <f t="shared" si="2"/>
        <v>27.5</v>
      </c>
      <c r="T5">
        <f t="shared" si="3"/>
        <v>18.833333333333332</v>
      </c>
      <c r="U5">
        <f t="shared" si="4"/>
        <v>9.5</v>
      </c>
      <c r="V5">
        <f t="shared" si="5"/>
        <v>9.3333333333333321</v>
      </c>
    </row>
    <row r="6" spans="1:32" x14ac:dyDescent="0.3">
      <c r="B6">
        <v>69</v>
      </c>
      <c r="C6">
        <v>31</v>
      </c>
      <c r="D6">
        <v>11</v>
      </c>
      <c r="E6">
        <v>89</v>
      </c>
      <c r="G6">
        <v>89</v>
      </c>
      <c r="H6">
        <v>11</v>
      </c>
      <c r="I6">
        <v>16</v>
      </c>
      <c r="J6">
        <v>84</v>
      </c>
      <c r="L6">
        <v>66</v>
      </c>
      <c r="M6">
        <v>34</v>
      </c>
      <c r="N6">
        <v>21</v>
      </c>
      <c r="O6">
        <v>79</v>
      </c>
      <c r="Q6">
        <f t="shared" si="0"/>
        <v>21</v>
      </c>
      <c r="R6">
        <f t="shared" si="1"/>
        <v>13.5</v>
      </c>
      <c r="S6">
        <f t="shared" si="2"/>
        <v>27.5</v>
      </c>
      <c r="T6">
        <f t="shared" si="3"/>
        <v>20.666666666666668</v>
      </c>
      <c r="U6">
        <f t="shared" si="4"/>
        <v>13.5</v>
      </c>
      <c r="V6">
        <f t="shared" si="5"/>
        <v>7.1666666666666679</v>
      </c>
    </row>
    <row r="7" spans="1:32" x14ac:dyDescent="0.3">
      <c r="B7">
        <v>75</v>
      </c>
      <c r="C7">
        <v>25</v>
      </c>
      <c r="D7">
        <v>12</v>
      </c>
      <c r="E7">
        <v>88</v>
      </c>
      <c r="G7">
        <v>88</v>
      </c>
      <c r="H7">
        <v>12</v>
      </c>
      <c r="I7">
        <v>12</v>
      </c>
      <c r="J7">
        <v>88</v>
      </c>
      <c r="L7">
        <v>53</v>
      </c>
      <c r="M7">
        <v>47</v>
      </c>
      <c r="N7">
        <v>17</v>
      </c>
      <c r="O7">
        <v>83</v>
      </c>
      <c r="Q7">
        <f t="shared" si="0"/>
        <v>18.5</v>
      </c>
      <c r="R7">
        <f t="shared" si="1"/>
        <v>12</v>
      </c>
      <c r="S7">
        <f t="shared" si="2"/>
        <v>32</v>
      </c>
      <c r="T7">
        <f t="shared" si="3"/>
        <v>20.833333333333332</v>
      </c>
      <c r="U7">
        <f t="shared" si="4"/>
        <v>12</v>
      </c>
      <c r="V7">
        <f t="shared" si="5"/>
        <v>8.8333333333333321</v>
      </c>
    </row>
    <row r="8" spans="1:32" x14ac:dyDescent="0.3">
      <c r="B8">
        <v>74</v>
      </c>
      <c r="C8">
        <v>26</v>
      </c>
      <c r="D8">
        <v>15</v>
      </c>
      <c r="E8">
        <v>85</v>
      </c>
      <c r="G8">
        <v>89</v>
      </c>
      <c r="H8">
        <v>11</v>
      </c>
      <c r="I8">
        <v>15</v>
      </c>
      <c r="J8">
        <v>85</v>
      </c>
      <c r="L8">
        <v>85</v>
      </c>
      <c r="M8">
        <v>15</v>
      </c>
      <c r="N8">
        <v>42</v>
      </c>
      <c r="O8">
        <v>58</v>
      </c>
      <c r="Q8">
        <f t="shared" si="0"/>
        <v>20.5</v>
      </c>
      <c r="R8">
        <f t="shared" si="1"/>
        <v>13</v>
      </c>
      <c r="S8">
        <f t="shared" si="2"/>
        <v>28.5</v>
      </c>
      <c r="T8">
        <f t="shared" si="3"/>
        <v>20.666666666666668</v>
      </c>
      <c r="U8">
        <f t="shared" si="4"/>
        <v>13</v>
      </c>
      <c r="V8">
        <f t="shared" si="5"/>
        <v>7.6666666666666679</v>
      </c>
    </row>
    <row r="31" spans="17:26" x14ac:dyDescent="0.3">
      <c r="Q31" t="e">
        <f t="shared" ref="Q31:Q36" si="6">AVERAGE(C31,D31)</f>
        <v>#DIV/0!</v>
      </c>
      <c r="R31" t="e">
        <f t="shared" ref="R31:R36" si="7">AVERAGE(H31,I31)</f>
        <v>#DIV/0!</v>
      </c>
      <c r="S31" t="e">
        <f t="shared" ref="S31:S36" si="8">AVERAGE(M31,N31)</f>
        <v>#DIV/0!</v>
      </c>
      <c r="T31" t="e">
        <f t="shared" ref="T31:T36" si="9">AVERAGE(Q31:S31)</f>
        <v>#DIV/0!</v>
      </c>
      <c r="U31" t="e">
        <f t="shared" ref="U31:U36" si="10">MIN(Q31:S31)</f>
        <v>#DIV/0!</v>
      </c>
      <c r="V31" t="e">
        <f t="shared" ref="V31:V36" si="11">(1/3)*(T31-U31)</f>
        <v>#DIV/0!</v>
      </c>
      <c r="W31" t="e">
        <f>AVERAGE(T31:T36)</f>
        <v>#DIV/0!</v>
      </c>
      <c r="X31" t="e">
        <f>_xlfn.STDEV.S(T31:T36)</f>
        <v>#DIV/0!</v>
      </c>
      <c r="Y31" t="e">
        <f>AVERAGE(V31:V36)</f>
        <v>#DIV/0!</v>
      </c>
      <c r="Z31" t="e">
        <f>_xlfn.STDEV.S(V31:V36)</f>
        <v>#DIV/0!</v>
      </c>
    </row>
    <row r="32" spans="17:26" x14ac:dyDescent="0.3">
      <c r="Q32" t="e">
        <f t="shared" si="6"/>
        <v>#DIV/0!</v>
      </c>
      <c r="R32" t="e">
        <f t="shared" si="7"/>
        <v>#DIV/0!</v>
      </c>
      <c r="S32" t="e">
        <f t="shared" si="8"/>
        <v>#DIV/0!</v>
      </c>
      <c r="T32" t="e">
        <f t="shared" si="9"/>
        <v>#DIV/0!</v>
      </c>
      <c r="U32" t="e">
        <f t="shared" si="10"/>
        <v>#DIV/0!</v>
      </c>
      <c r="V32" t="e">
        <f t="shared" si="11"/>
        <v>#DIV/0!</v>
      </c>
    </row>
    <row r="33" spans="17:22" x14ac:dyDescent="0.3">
      <c r="Q33" t="e">
        <f t="shared" si="6"/>
        <v>#DIV/0!</v>
      </c>
      <c r="R33" t="e">
        <f t="shared" si="7"/>
        <v>#DIV/0!</v>
      </c>
      <c r="S33" t="e">
        <f t="shared" si="8"/>
        <v>#DIV/0!</v>
      </c>
      <c r="T33" t="e">
        <f t="shared" si="9"/>
        <v>#DIV/0!</v>
      </c>
      <c r="U33" t="e">
        <f t="shared" si="10"/>
        <v>#DIV/0!</v>
      </c>
      <c r="V33" t="e">
        <f t="shared" si="11"/>
        <v>#DIV/0!</v>
      </c>
    </row>
    <row r="34" spans="17:22" x14ac:dyDescent="0.3">
      <c r="Q34" t="e">
        <f t="shared" si="6"/>
        <v>#DIV/0!</v>
      </c>
      <c r="R34" t="e">
        <f t="shared" si="7"/>
        <v>#DIV/0!</v>
      </c>
      <c r="S34" t="e">
        <f t="shared" si="8"/>
        <v>#DIV/0!</v>
      </c>
      <c r="T34" t="e">
        <f t="shared" si="9"/>
        <v>#DIV/0!</v>
      </c>
      <c r="U34" t="e">
        <f t="shared" si="10"/>
        <v>#DIV/0!</v>
      </c>
      <c r="V34" t="e">
        <f t="shared" si="11"/>
        <v>#DIV/0!</v>
      </c>
    </row>
    <row r="35" spans="17:22" x14ac:dyDescent="0.3">
      <c r="Q35" t="e">
        <f t="shared" si="6"/>
        <v>#DIV/0!</v>
      </c>
      <c r="R35" t="e">
        <f t="shared" si="7"/>
        <v>#DIV/0!</v>
      </c>
      <c r="S35" t="e">
        <f t="shared" si="8"/>
        <v>#DIV/0!</v>
      </c>
      <c r="T35" t="e">
        <f t="shared" si="9"/>
        <v>#DIV/0!</v>
      </c>
      <c r="U35" t="e">
        <f t="shared" si="10"/>
        <v>#DIV/0!</v>
      </c>
      <c r="V35" t="e">
        <f t="shared" si="11"/>
        <v>#DIV/0!</v>
      </c>
    </row>
    <row r="36" spans="17:22" x14ac:dyDescent="0.3">
      <c r="Q36" t="e">
        <f t="shared" si="6"/>
        <v>#DIV/0!</v>
      </c>
      <c r="R36" t="e">
        <f t="shared" si="7"/>
        <v>#DIV/0!</v>
      </c>
      <c r="S36" t="e">
        <f t="shared" si="8"/>
        <v>#DIV/0!</v>
      </c>
      <c r="T36" t="e">
        <f t="shared" si="9"/>
        <v>#DIV/0!</v>
      </c>
      <c r="U36" t="e">
        <f t="shared" si="10"/>
        <v>#DIV/0!</v>
      </c>
      <c r="V36" t="e">
        <f t="shared" si="11"/>
        <v>#DIV/0!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BAE23-A740-4698-B840-F018E78CD098}">
  <dimension ref="A1:AF11"/>
  <sheetViews>
    <sheetView topLeftCell="M1" workbookViewId="0">
      <selection activeCell="Q2" sqref="Q2:AF3"/>
    </sheetView>
  </sheetViews>
  <sheetFormatPr defaultRowHeight="14.4" x14ac:dyDescent="0.3"/>
  <cols>
    <col min="23" max="23" width="13.109375" customWidth="1"/>
  </cols>
  <sheetData>
    <row r="1" spans="1:32" x14ac:dyDescent="0.3">
      <c r="A1" t="s">
        <v>0</v>
      </c>
      <c r="Q1" t="s">
        <v>9</v>
      </c>
    </row>
    <row r="2" spans="1:32" x14ac:dyDescent="0.3">
      <c r="A2" t="s">
        <v>16</v>
      </c>
      <c r="Q2" t="s">
        <v>19</v>
      </c>
      <c r="R2" t="s">
        <v>20</v>
      </c>
      <c r="S2" t="s">
        <v>21</v>
      </c>
      <c r="T2" t="s">
        <v>11</v>
      </c>
      <c r="U2" t="s">
        <v>13</v>
      </c>
      <c r="V2" t="s">
        <v>10</v>
      </c>
      <c r="W2" t="s">
        <v>28</v>
      </c>
      <c r="X2" t="s">
        <v>23</v>
      </c>
      <c r="Y2" t="s">
        <v>5</v>
      </c>
      <c r="Z2" t="s">
        <v>24</v>
      </c>
      <c r="AA2" t="s">
        <v>7</v>
      </c>
      <c r="AB2" t="s">
        <v>25</v>
      </c>
      <c r="AC2" t="s">
        <v>1</v>
      </c>
      <c r="AD2" t="s">
        <v>12</v>
      </c>
      <c r="AE2" t="s">
        <v>14</v>
      </c>
      <c r="AF2" t="s">
        <v>15</v>
      </c>
    </row>
    <row r="3" spans="1:32" x14ac:dyDescent="0.3">
      <c r="B3">
        <v>70</v>
      </c>
      <c r="C3">
        <v>30</v>
      </c>
      <c r="D3">
        <v>14</v>
      </c>
      <c r="E3">
        <v>86</v>
      </c>
      <c r="G3">
        <v>83</v>
      </c>
      <c r="H3">
        <v>17</v>
      </c>
      <c r="I3">
        <v>16</v>
      </c>
      <c r="J3">
        <v>84</v>
      </c>
      <c r="L3">
        <v>77</v>
      </c>
      <c r="M3">
        <v>23</v>
      </c>
      <c r="N3">
        <v>42</v>
      </c>
      <c r="O3">
        <v>58</v>
      </c>
      <c r="Q3">
        <f>AVERAGE(C3:D3)</f>
        <v>22</v>
      </c>
      <c r="R3">
        <f>AVERAGE(H3:I3)</f>
        <v>16.5</v>
      </c>
      <c r="S3">
        <f>AVERAGE(M3:N3)</f>
        <v>32.5</v>
      </c>
      <c r="T3">
        <f>AVERAGE(Q3:S3)</f>
        <v>23.666666666666668</v>
      </c>
      <c r="U3">
        <f>MIN(Q3:S3)</f>
        <v>16.5</v>
      </c>
      <c r="V3">
        <f>T3-U3</f>
        <v>7.1666666666666679</v>
      </c>
      <c r="W3">
        <f>AVERAGE(Q3:Q11)</f>
        <v>24.111111111111111</v>
      </c>
      <c r="X3">
        <f>_xlfn.STDEV.S(Q3:Q11)</f>
        <v>4.5878765361669318</v>
      </c>
      <c r="Y3">
        <f>AVERAGE(R3:R11)</f>
        <v>13.555555555555555</v>
      </c>
      <c r="Z3">
        <f>_xlfn.STDEV.S(R3:R11)</f>
        <v>3.1369217041197843</v>
      </c>
      <c r="AA3">
        <f>AVERAGE(S3:S11)</f>
        <v>34.388888888888886</v>
      </c>
      <c r="AB3">
        <f>_xlfn.STDEV.S(S3:S11)</f>
        <v>4.1741599287893951</v>
      </c>
      <c r="AC3">
        <f>AVERAGE(T3:T11)</f>
        <v>24.018518518518519</v>
      </c>
      <c r="AD3">
        <f>_xlfn.STDEV.S(T3:T11)</f>
        <v>3.0736835985829081</v>
      </c>
      <c r="AE3">
        <f>AVERAGE(V3:V11)</f>
        <v>10.462962962962962</v>
      </c>
      <c r="AF3">
        <f>_xlfn.STDEV.S(V3:V11)</f>
        <v>3.259364476416144</v>
      </c>
    </row>
    <row r="4" spans="1:32" x14ac:dyDescent="0.3">
      <c r="B4">
        <v>67</v>
      </c>
      <c r="C4">
        <v>33</v>
      </c>
      <c r="D4">
        <v>14</v>
      </c>
      <c r="E4">
        <v>86</v>
      </c>
      <c r="G4">
        <v>94</v>
      </c>
      <c r="H4">
        <v>6</v>
      </c>
      <c r="I4">
        <v>10</v>
      </c>
      <c r="J4">
        <v>90</v>
      </c>
      <c r="L4">
        <v>76</v>
      </c>
      <c r="M4">
        <v>24</v>
      </c>
      <c r="N4">
        <v>44</v>
      </c>
      <c r="O4">
        <v>56</v>
      </c>
      <c r="Q4">
        <f t="shared" ref="Q4:Q5" si="0">AVERAGE(C4:D4)</f>
        <v>23.5</v>
      </c>
      <c r="R4">
        <f t="shared" ref="R4:R5" si="1">AVERAGE(H4:I4)</f>
        <v>8</v>
      </c>
      <c r="S4">
        <f t="shared" ref="S4:S5" si="2">AVERAGE(M4:N4)</f>
        <v>34</v>
      </c>
      <c r="T4">
        <f t="shared" ref="T4:T5" si="3">AVERAGE(Q4:S4)</f>
        <v>21.833333333333332</v>
      </c>
      <c r="U4">
        <f t="shared" ref="U4:U5" si="4">MIN(Q4:S4)</f>
        <v>8</v>
      </c>
      <c r="V4">
        <f t="shared" ref="V4:V5" si="5">T4-U4</f>
        <v>13.833333333333332</v>
      </c>
    </row>
    <row r="5" spans="1:32" x14ac:dyDescent="0.3">
      <c r="B5">
        <v>71</v>
      </c>
      <c r="C5">
        <v>29</v>
      </c>
      <c r="D5">
        <v>14</v>
      </c>
      <c r="E5">
        <v>86</v>
      </c>
      <c r="G5">
        <v>91</v>
      </c>
      <c r="H5">
        <v>9</v>
      </c>
      <c r="I5">
        <v>12</v>
      </c>
      <c r="J5">
        <v>88</v>
      </c>
      <c r="L5">
        <v>70</v>
      </c>
      <c r="M5">
        <v>30</v>
      </c>
      <c r="N5">
        <v>40</v>
      </c>
      <c r="O5">
        <v>60</v>
      </c>
      <c r="Q5">
        <f t="shared" si="0"/>
        <v>21.5</v>
      </c>
      <c r="R5">
        <f t="shared" si="1"/>
        <v>10.5</v>
      </c>
      <c r="S5">
        <f t="shared" si="2"/>
        <v>35</v>
      </c>
      <c r="T5">
        <f t="shared" si="3"/>
        <v>22.333333333333332</v>
      </c>
      <c r="U5">
        <f t="shared" si="4"/>
        <v>10.5</v>
      </c>
      <c r="V5">
        <f t="shared" si="5"/>
        <v>11.833333333333332</v>
      </c>
    </row>
    <row r="6" spans="1:32" x14ac:dyDescent="0.3">
      <c r="B6">
        <v>70</v>
      </c>
      <c r="C6">
        <v>30</v>
      </c>
      <c r="D6">
        <v>15</v>
      </c>
      <c r="E6">
        <v>85</v>
      </c>
      <c r="G6">
        <v>85</v>
      </c>
      <c r="H6">
        <v>15</v>
      </c>
      <c r="I6">
        <v>14</v>
      </c>
      <c r="J6">
        <v>86</v>
      </c>
      <c r="L6">
        <v>74</v>
      </c>
      <c r="M6">
        <v>26</v>
      </c>
      <c r="N6">
        <v>45</v>
      </c>
      <c r="O6">
        <v>55</v>
      </c>
      <c r="Q6">
        <f t="shared" ref="Q6:Q11" si="6">AVERAGE(C6:D6)</f>
        <v>22.5</v>
      </c>
      <c r="R6">
        <f t="shared" ref="R6:R11" si="7">AVERAGE(H6:I6)</f>
        <v>14.5</v>
      </c>
      <c r="S6">
        <f t="shared" ref="S6:S11" si="8">AVERAGE(M6:N6)</f>
        <v>35.5</v>
      </c>
      <c r="T6">
        <f t="shared" ref="T6:T11" si="9">AVERAGE(Q6:S6)</f>
        <v>24.166666666666668</v>
      </c>
      <c r="U6">
        <f t="shared" ref="U6:U11" si="10">MIN(Q6:S6)</f>
        <v>14.5</v>
      </c>
      <c r="V6">
        <f t="shared" ref="V6:V11" si="11">T6-U6</f>
        <v>9.6666666666666679</v>
      </c>
    </row>
    <row r="7" spans="1:32" x14ac:dyDescent="0.3">
      <c r="B7">
        <v>71</v>
      </c>
      <c r="C7">
        <v>29</v>
      </c>
      <c r="D7">
        <v>24</v>
      </c>
      <c r="E7">
        <v>76</v>
      </c>
      <c r="G7">
        <v>82</v>
      </c>
      <c r="H7">
        <v>18</v>
      </c>
      <c r="I7">
        <v>19</v>
      </c>
      <c r="J7">
        <v>81</v>
      </c>
      <c r="L7">
        <v>68</v>
      </c>
      <c r="M7">
        <v>32</v>
      </c>
      <c r="N7">
        <v>48</v>
      </c>
      <c r="O7">
        <v>52</v>
      </c>
      <c r="Q7">
        <f t="shared" si="6"/>
        <v>26.5</v>
      </c>
      <c r="R7">
        <f t="shared" si="7"/>
        <v>18.5</v>
      </c>
      <c r="S7">
        <f t="shared" si="8"/>
        <v>40</v>
      </c>
      <c r="T7">
        <f t="shared" si="9"/>
        <v>28.333333333333332</v>
      </c>
      <c r="U7">
        <f t="shared" si="10"/>
        <v>18.5</v>
      </c>
      <c r="V7">
        <f t="shared" si="11"/>
        <v>9.8333333333333321</v>
      </c>
    </row>
    <row r="8" spans="1:32" x14ac:dyDescent="0.3">
      <c r="B8">
        <v>76</v>
      </c>
      <c r="C8">
        <v>24</v>
      </c>
      <c r="D8">
        <v>9</v>
      </c>
      <c r="E8">
        <v>91</v>
      </c>
      <c r="G8">
        <v>90</v>
      </c>
      <c r="H8">
        <v>10</v>
      </c>
      <c r="I8">
        <v>18</v>
      </c>
      <c r="J8">
        <v>82</v>
      </c>
      <c r="L8">
        <v>81</v>
      </c>
      <c r="M8">
        <v>19</v>
      </c>
      <c r="N8">
        <v>31</v>
      </c>
      <c r="O8">
        <v>69</v>
      </c>
      <c r="Q8">
        <f t="shared" si="6"/>
        <v>16.5</v>
      </c>
      <c r="R8">
        <f t="shared" si="7"/>
        <v>14</v>
      </c>
      <c r="S8">
        <f t="shared" si="8"/>
        <v>25</v>
      </c>
      <c r="T8">
        <f t="shared" si="9"/>
        <v>18.5</v>
      </c>
      <c r="U8">
        <f t="shared" si="10"/>
        <v>14</v>
      </c>
      <c r="V8">
        <f t="shared" si="11"/>
        <v>4.5</v>
      </c>
    </row>
    <row r="9" spans="1:32" x14ac:dyDescent="0.3">
      <c r="B9">
        <v>66</v>
      </c>
      <c r="C9">
        <v>34</v>
      </c>
      <c r="D9">
        <v>21</v>
      </c>
      <c r="E9">
        <v>79</v>
      </c>
      <c r="G9">
        <v>80</v>
      </c>
      <c r="H9">
        <v>20</v>
      </c>
      <c r="I9">
        <v>10</v>
      </c>
      <c r="J9">
        <v>90</v>
      </c>
      <c r="L9">
        <v>78</v>
      </c>
      <c r="M9">
        <v>22</v>
      </c>
      <c r="N9">
        <v>49</v>
      </c>
      <c r="O9">
        <v>51</v>
      </c>
      <c r="Q9">
        <f t="shared" si="6"/>
        <v>27.5</v>
      </c>
      <c r="R9">
        <f t="shared" si="7"/>
        <v>15</v>
      </c>
      <c r="S9">
        <f t="shared" si="8"/>
        <v>35.5</v>
      </c>
      <c r="T9">
        <f t="shared" si="9"/>
        <v>26</v>
      </c>
      <c r="U9">
        <f t="shared" si="10"/>
        <v>15</v>
      </c>
      <c r="V9">
        <f t="shared" si="11"/>
        <v>11</v>
      </c>
    </row>
    <row r="10" spans="1:32" x14ac:dyDescent="0.3">
      <c r="B10">
        <v>58</v>
      </c>
      <c r="C10">
        <v>42</v>
      </c>
      <c r="D10">
        <v>6</v>
      </c>
      <c r="E10">
        <v>94</v>
      </c>
      <c r="G10">
        <v>89</v>
      </c>
      <c r="H10">
        <v>11</v>
      </c>
      <c r="I10">
        <v>14</v>
      </c>
      <c r="J10">
        <v>86</v>
      </c>
      <c r="L10">
        <v>64</v>
      </c>
      <c r="M10">
        <v>36</v>
      </c>
      <c r="N10">
        <v>32</v>
      </c>
      <c r="O10">
        <v>68</v>
      </c>
      <c r="Q10">
        <f t="shared" si="6"/>
        <v>24</v>
      </c>
      <c r="R10">
        <f t="shared" si="7"/>
        <v>12.5</v>
      </c>
      <c r="S10">
        <f t="shared" si="8"/>
        <v>34</v>
      </c>
      <c r="T10">
        <f t="shared" si="9"/>
        <v>23.5</v>
      </c>
      <c r="U10">
        <f t="shared" si="10"/>
        <v>12.5</v>
      </c>
      <c r="V10">
        <f t="shared" si="11"/>
        <v>11</v>
      </c>
    </row>
    <row r="11" spans="1:32" x14ac:dyDescent="0.3">
      <c r="B11">
        <v>67</v>
      </c>
      <c r="C11">
        <v>33</v>
      </c>
      <c r="D11">
        <v>33</v>
      </c>
      <c r="E11">
        <v>67</v>
      </c>
      <c r="G11">
        <v>87</v>
      </c>
      <c r="H11">
        <v>13</v>
      </c>
      <c r="I11">
        <v>12</v>
      </c>
      <c r="J11">
        <v>88</v>
      </c>
      <c r="L11">
        <v>73</v>
      </c>
      <c r="M11">
        <v>27</v>
      </c>
      <c r="N11">
        <v>49</v>
      </c>
      <c r="O11">
        <v>51</v>
      </c>
      <c r="Q11">
        <f t="shared" si="6"/>
        <v>33</v>
      </c>
      <c r="R11">
        <f t="shared" si="7"/>
        <v>12.5</v>
      </c>
      <c r="S11">
        <f t="shared" si="8"/>
        <v>38</v>
      </c>
      <c r="T11">
        <f t="shared" si="9"/>
        <v>27.833333333333332</v>
      </c>
      <c r="U11">
        <f t="shared" si="10"/>
        <v>12.5</v>
      </c>
      <c r="V11">
        <f t="shared" si="11"/>
        <v>15.333333333333332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STD_BAL_ADV_NOCLSDIV</vt:lpstr>
      <vt:lpstr>STD_BAL_ADV_CLSDIV</vt:lpstr>
      <vt:lpstr>STD_BAL_NOAUG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2026-03-24T21:50:21Z</dcterms:modified>
</cp:coreProperties>
</file>