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I\0.05\"/>
    </mc:Choice>
  </mc:AlternateContent>
  <xr:revisionPtr revIDLastSave="0" documentId="13_ncr:1_{0A4CED8B-9059-4753-A854-F176D85B3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NOAUG" sheetId="2" r:id="rId2"/>
    <sheet name="ADV_CLSDIV" sheetId="6" r:id="rId3"/>
    <sheet name="ADV_NOCLSDIV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6" l="1"/>
  <c r="AB3" i="6" s="1"/>
  <c r="R3" i="6"/>
  <c r="Z3" i="6" s="1"/>
  <c r="Q3" i="6"/>
  <c r="X3" i="6" s="1"/>
  <c r="Q7" i="6"/>
  <c r="R7" i="6"/>
  <c r="S7" i="6"/>
  <c r="T7" i="6"/>
  <c r="U7" i="6"/>
  <c r="V7" i="6"/>
  <c r="Q8" i="6"/>
  <c r="R8" i="6"/>
  <c r="S8" i="6"/>
  <c r="T8" i="6"/>
  <c r="U8" i="6"/>
  <c r="V8" i="6"/>
  <c r="AF3" i="23"/>
  <c r="AE3" i="23"/>
  <c r="AD3" i="23"/>
  <c r="AC3" i="23"/>
  <c r="AB3" i="23"/>
  <c r="AA3" i="23"/>
  <c r="Z3" i="23"/>
  <c r="Y3" i="23"/>
  <c r="X3" i="23"/>
  <c r="W3" i="23"/>
  <c r="Q7" i="23"/>
  <c r="R7" i="23"/>
  <c r="S7" i="23"/>
  <c r="T7" i="23"/>
  <c r="U7" i="23"/>
  <c r="V7" i="23"/>
  <c r="Q8" i="23"/>
  <c r="R8" i="23"/>
  <c r="S8" i="23"/>
  <c r="T8" i="23"/>
  <c r="U8" i="23"/>
  <c r="V8" i="23"/>
  <c r="Q9" i="2"/>
  <c r="R9" i="2"/>
  <c r="S9" i="2"/>
  <c r="T9" i="2"/>
  <c r="U9" i="2"/>
  <c r="V9" i="2"/>
  <c r="Q10" i="2"/>
  <c r="R10" i="2"/>
  <c r="S10" i="2"/>
  <c r="T10" i="2"/>
  <c r="U10" i="2"/>
  <c r="V10" i="2"/>
  <c r="Q11" i="2"/>
  <c r="U11" i="2" s="1"/>
  <c r="R11" i="2"/>
  <c r="S11" i="2"/>
  <c r="T11" i="2"/>
  <c r="Q6" i="2"/>
  <c r="R6" i="2"/>
  <c r="S6" i="2"/>
  <c r="Q7" i="2"/>
  <c r="R7" i="2"/>
  <c r="S7" i="2"/>
  <c r="Q8" i="2"/>
  <c r="R8" i="2"/>
  <c r="S8" i="2"/>
  <c r="T8" i="2"/>
  <c r="U8" i="2"/>
  <c r="S6" i="23"/>
  <c r="R6" i="23"/>
  <c r="Q6" i="23"/>
  <c r="S5" i="23"/>
  <c r="R5" i="23"/>
  <c r="Q5" i="23"/>
  <c r="S4" i="23"/>
  <c r="R4" i="23"/>
  <c r="Q4" i="23"/>
  <c r="S3" i="23"/>
  <c r="R3" i="23"/>
  <c r="Q3" i="23"/>
  <c r="Q6" i="6"/>
  <c r="R6" i="6"/>
  <c r="S6" i="6"/>
  <c r="S5" i="6"/>
  <c r="R5" i="6"/>
  <c r="Q5" i="6"/>
  <c r="S4" i="6"/>
  <c r="R4" i="6"/>
  <c r="Q4" i="6"/>
  <c r="Q4" i="2"/>
  <c r="R4" i="2"/>
  <c r="S4" i="2"/>
  <c r="Q5" i="2"/>
  <c r="R5" i="2"/>
  <c r="S5" i="2"/>
  <c r="S3" i="2"/>
  <c r="R3" i="2"/>
  <c r="Q3" i="2"/>
  <c r="T3" i="6" l="1"/>
  <c r="U3" i="6"/>
  <c r="W3" i="6"/>
  <c r="Y3" i="6"/>
  <c r="AA3" i="6"/>
  <c r="U5" i="6"/>
  <c r="U3" i="23"/>
  <c r="V11" i="2"/>
  <c r="AB3" i="2"/>
  <c r="T3" i="2"/>
  <c r="Z3" i="2"/>
  <c r="U7" i="2"/>
  <c r="T6" i="2"/>
  <c r="Y3" i="2"/>
  <c r="AA3" i="2"/>
  <c r="W3" i="2"/>
  <c r="X3" i="2"/>
  <c r="V8" i="2"/>
  <c r="T7" i="2"/>
  <c r="V7" i="2" s="1"/>
  <c r="U6" i="2"/>
  <c r="V6" i="2" s="1"/>
  <c r="T4" i="2"/>
  <c r="U4" i="23"/>
  <c r="U5" i="23"/>
  <c r="T5" i="23"/>
  <c r="V5" i="23" s="1"/>
  <c r="T6" i="23"/>
  <c r="U6" i="23"/>
  <c r="T3" i="23"/>
  <c r="T4" i="23"/>
  <c r="T6" i="6"/>
  <c r="U6" i="6"/>
  <c r="V6" i="6" s="1"/>
  <c r="U4" i="6"/>
  <c r="T5" i="6"/>
  <c r="T4" i="6"/>
  <c r="T5" i="2"/>
  <c r="U4" i="2"/>
  <c r="U3" i="2"/>
  <c r="U5" i="2"/>
  <c r="AD3" i="6" l="1"/>
  <c r="AC3" i="6"/>
  <c r="V3" i="6"/>
  <c r="V5" i="6"/>
  <c r="V4" i="23"/>
  <c r="AD3" i="2"/>
  <c r="V3" i="2"/>
  <c r="V4" i="2"/>
  <c r="AC3" i="2"/>
  <c r="V5" i="2"/>
  <c r="V3" i="23"/>
  <c r="V6" i="23"/>
  <c r="V4" i="6"/>
  <c r="AF3" i="6" l="1"/>
  <c r="AE3" i="6"/>
  <c r="AF3" i="2"/>
  <c r="AE3" i="2"/>
</calcChain>
</file>

<file path=xl/sharedStrings.xml><?xml version="1.0" encoding="utf-8"?>
<sst xmlns="http://schemas.openxmlformats.org/spreadsheetml/2006/main" count="66" uniqueCount="26">
  <si>
    <t>Dati originali</t>
  </si>
  <si>
    <t>ERR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</si>
  <si>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</si>
  <si>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</si>
  <si>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</si>
  <si>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</si>
  <si>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</si>
  <si>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</si>
  <si>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</si>
  <si>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</si>
  <si>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</si>
  <si>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</si>
  <si>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</si>
  <si>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</si>
  <si>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</si>
  <si>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</si>
  <si>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</si>
  <si>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</si>
  <si>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c0</t>
  </si>
  <si>
    <t>eps=0.1</t>
  </si>
  <si>
    <t>ADV</t>
  </si>
  <si>
    <t>ERR0_STD</t>
  </si>
  <si>
    <t>ERR1_STD</t>
  </si>
  <si>
    <t>ERR2_STD</t>
  </si>
  <si>
    <t>CLSDIV</t>
  </si>
  <si>
    <t>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</si>
</sst>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workbookViewId="0">
      <selection activeCell="C6" sqref="C6:L6"/>
    </sheetView>
  </sheetViews>
  <sheetFormatPr defaultRowHeight="14.4" x14ac:dyDescent="0.3"/>
  <sheetData>
    <row r="1" spans="1:12" x14ac:dyDescent="0.3"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14</v>
      </c>
      <c r="K1" t="s">
        <v>16</v>
      </c>
      <c r="L1" t="s">
        <v>17</v>
      </c>
    </row>
    <row r="3" spans="1:12" x14ac:dyDescent="0.3">
      <c r="A3" t="s">
        <v>2</v>
      </c>
      <c r="C3" s="3">
        <v>16.722222222222221</v>
      </c>
      <c r="D3" s="3">
        <v>2.635231383473652</v>
      </c>
      <c r="E3" s="3">
        <v>22.166666666666668</v>
      </c>
      <c r="F3" s="3">
        <v>5.2380817099392409</v>
      </c>
      <c r="G3" s="3">
        <v>31.5</v>
      </c>
      <c r="H3" s="3">
        <v>3.2691742076555053</v>
      </c>
      <c r="I3" s="3">
        <v>23.462962962962958</v>
      </c>
      <c r="J3" s="3">
        <v>2.8096779394544562</v>
      </c>
      <c r="K3" s="3">
        <v>7.5740740740740744</v>
      </c>
      <c r="L3" s="3">
        <v>0.90948364131916359</v>
      </c>
    </row>
    <row r="4" spans="1:12" x14ac:dyDescent="0.3">
      <c r="A4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B5" t="s">
        <v>24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C6" s="3">
        <v>15.5</v>
      </c>
      <c r="D6" s="3">
        <v>2.4494897427831779</v>
      </c>
      <c r="E6" s="3">
        <v>20</v>
      </c>
      <c r="F6" s="3">
        <v>2.5495097567963922</v>
      </c>
      <c r="G6" s="3">
        <v>31.416666666666668</v>
      </c>
      <c r="H6" s="3">
        <v>3.9801591257971842</v>
      </c>
      <c r="I6" s="3">
        <v>22.305555555555554</v>
      </c>
      <c r="J6" s="3">
        <v>2.0423751605168672</v>
      </c>
      <c r="K6" s="3">
        <v>7.1388888888888884</v>
      </c>
      <c r="L6" s="3">
        <v>1.7493384993148686</v>
      </c>
    </row>
    <row r="7" spans="1:12" x14ac:dyDescent="0.3">
      <c r="B7" t="s">
        <v>25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C8" s="3">
        <v>14.416666666666666</v>
      </c>
      <c r="D8" s="3">
        <v>1.6253204812179816</v>
      </c>
      <c r="E8" s="3">
        <v>20.666666666666668</v>
      </c>
      <c r="F8" s="3">
        <v>4.1793141383086647</v>
      </c>
      <c r="G8" s="3">
        <v>28.916666666666668</v>
      </c>
      <c r="H8" s="3">
        <v>4.7161071517371829</v>
      </c>
      <c r="I8" s="3">
        <v>21.333333333333332</v>
      </c>
      <c r="J8" s="3">
        <v>2.4312776705080856</v>
      </c>
      <c r="K8" s="3">
        <v>7.3333333333333313</v>
      </c>
      <c r="L8" s="3">
        <v>3.0785999704050244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1"/>
  <sheetViews>
    <sheetView workbookViewId="0">
      <selection activeCell="B3" sqref="B3:B11"/>
    </sheetView>
  </sheetViews>
  <sheetFormatPr defaultRowHeight="14.4" x14ac:dyDescent="0.3"/>
  <cols>
    <col min="29" max="29" width="13.109375" customWidth="1"/>
  </cols>
  <sheetData>
    <row r="1" spans="1:32" x14ac:dyDescent="0.3">
      <c r="A1" t="s">
        <v>0</v>
      </c>
    </row>
    <row r="2" spans="1:32" x14ac:dyDescent="0.3">
      <c r="A2" t="s">
        <v>18</v>
      </c>
      <c r="Q2" t="s">
        <v>9</v>
      </c>
      <c r="R2" t="s">
        <v>10</v>
      </c>
      <c r="S2" t="s">
        <v>11</v>
      </c>
      <c r="T2" t="s">
        <v>13</v>
      </c>
      <c r="U2" t="s">
        <v>15</v>
      </c>
      <c r="V2" t="s">
        <v>12</v>
      </c>
      <c r="W2" t="s">
        <v>3</v>
      </c>
      <c r="X2" t="s">
        <v>21</v>
      </c>
      <c r="Y2" t="s">
        <v>5</v>
      </c>
      <c r="Z2" t="s">
        <v>22</v>
      </c>
      <c r="AA2" t="s">
        <v>7</v>
      </c>
      <c r="AB2" t="s">
        <v>23</v>
      </c>
      <c r="AC2" t="s">
        <v>1</v>
      </c>
      <c r="AD2" t="s">
        <v>14</v>
      </c>
      <c r="AE2" t="s">
        <v>16</v>
      </c>
      <c r="AF2" t="s">
        <v>17</v>
      </c>
    </row>
    <row r="3" spans="1:32" x14ac:dyDescent="0.3">
      <c r="B3" s="1">
        <v>87</v>
      </c>
      <c r="C3">
        <v>13</v>
      </c>
      <c r="D3">
        <v>15</v>
      </c>
      <c r="E3">
        <v>85</v>
      </c>
      <c r="G3">
        <v>63</v>
      </c>
      <c r="H3">
        <v>37</v>
      </c>
      <c r="I3">
        <v>6</v>
      </c>
      <c r="J3">
        <v>94</v>
      </c>
      <c r="L3">
        <v>71</v>
      </c>
      <c r="M3">
        <v>29</v>
      </c>
      <c r="N3">
        <v>23</v>
      </c>
      <c r="O3">
        <v>77</v>
      </c>
      <c r="Q3">
        <f>AVERAGE(C3:D3)</f>
        <v>14</v>
      </c>
      <c r="R3">
        <f>AVERAGE(H3:I3)</f>
        <v>21.5</v>
      </c>
      <c r="S3">
        <f>AVERAGE(M3:N3)</f>
        <v>26</v>
      </c>
      <c r="T3">
        <f>AVERAGE(Q3:S3)</f>
        <v>20.5</v>
      </c>
      <c r="U3">
        <f>MIN(Q3:S3)</f>
        <v>14</v>
      </c>
      <c r="V3">
        <f>T3-U3</f>
        <v>6.5</v>
      </c>
      <c r="W3">
        <f>AVERAGE(Q3:Q11)</f>
        <v>16.722222222222221</v>
      </c>
      <c r="X3">
        <f>_xlfn.STDEV.S(Q3:Q11)</f>
        <v>2.635231383473652</v>
      </c>
      <c r="Y3">
        <f>AVERAGE(R3:R11)</f>
        <v>22.166666666666668</v>
      </c>
      <c r="Z3">
        <f>_xlfn.STDEV.S(R3:R11)</f>
        <v>5.2380817099392409</v>
      </c>
      <c r="AA3">
        <f>AVERAGE(S3:S11)</f>
        <v>31.5</v>
      </c>
      <c r="AB3">
        <f>_xlfn.STDEV.S(S3:S11)</f>
        <v>3.2691742076555053</v>
      </c>
      <c r="AC3">
        <f>AVERAGE(T3:T11)</f>
        <v>23.462962962962958</v>
      </c>
      <c r="AD3">
        <f>_xlfn.STDEV.S(T3:T11)</f>
        <v>2.8096779394544562</v>
      </c>
      <c r="AE3">
        <f>AVERAGE(V3:V11)</f>
        <v>7.5740740740740744</v>
      </c>
      <c r="AF3">
        <f>_xlfn.STDEV.S(V3:V11)</f>
        <v>0.90948364131916359</v>
      </c>
    </row>
    <row r="4" spans="1:32" x14ac:dyDescent="0.3">
      <c r="B4" s="1">
        <v>81</v>
      </c>
      <c r="C4">
        <v>19</v>
      </c>
      <c r="D4">
        <v>16</v>
      </c>
      <c r="E4">
        <v>84</v>
      </c>
      <c r="G4">
        <v>51</v>
      </c>
      <c r="H4">
        <v>49</v>
      </c>
      <c r="I4">
        <v>5</v>
      </c>
      <c r="J4">
        <v>95</v>
      </c>
      <c r="L4">
        <v>61</v>
      </c>
      <c r="M4">
        <v>39</v>
      </c>
      <c r="N4">
        <v>25</v>
      </c>
      <c r="O4">
        <v>75</v>
      </c>
      <c r="Q4">
        <f t="shared" ref="Q4:Q5" si="0">AVERAGE(C4:D4)</f>
        <v>17.5</v>
      </c>
      <c r="R4">
        <f t="shared" ref="R4:R5" si="1">AVERAGE(H4:I4)</f>
        <v>27</v>
      </c>
      <c r="S4">
        <f t="shared" ref="S4:S5" si="2">AVERAGE(M4:N4)</f>
        <v>32</v>
      </c>
      <c r="T4">
        <f t="shared" ref="T4:T5" si="3">AVERAGE(Q4:S4)</f>
        <v>25.5</v>
      </c>
      <c r="U4">
        <f>MIN(Q4:S4)</f>
        <v>17.5</v>
      </c>
      <c r="V4">
        <f>T4-U4</f>
        <v>8</v>
      </c>
    </row>
    <row r="5" spans="1:32" x14ac:dyDescent="0.3">
      <c r="B5" s="1">
        <v>86</v>
      </c>
      <c r="C5">
        <v>14</v>
      </c>
      <c r="D5">
        <v>19</v>
      </c>
      <c r="E5">
        <v>81</v>
      </c>
      <c r="G5">
        <v>63</v>
      </c>
      <c r="H5">
        <v>37</v>
      </c>
      <c r="I5">
        <v>8</v>
      </c>
      <c r="J5">
        <v>92</v>
      </c>
      <c r="L5">
        <v>53</v>
      </c>
      <c r="M5">
        <v>47</v>
      </c>
      <c r="N5">
        <v>19</v>
      </c>
      <c r="O5">
        <v>81</v>
      </c>
      <c r="Q5">
        <f t="shared" si="0"/>
        <v>16.5</v>
      </c>
      <c r="R5">
        <f t="shared" si="1"/>
        <v>22.5</v>
      </c>
      <c r="S5">
        <f t="shared" si="2"/>
        <v>33</v>
      </c>
      <c r="T5">
        <f t="shared" si="3"/>
        <v>24</v>
      </c>
      <c r="U5">
        <f>MIN(Q5:S5)</f>
        <v>16.5</v>
      </c>
      <c r="V5">
        <f>T5-U5</f>
        <v>7.5</v>
      </c>
    </row>
    <row r="6" spans="1:32" x14ac:dyDescent="0.3">
      <c r="B6" s="2">
        <v>79</v>
      </c>
      <c r="C6">
        <v>21</v>
      </c>
      <c r="D6">
        <v>22</v>
      </c>
      <c r="E6">
        <v>78</v>
      </c>
      <c r="G6">
        <v>52</v>
      </c>
      <c r="H6">
        <v>48</v>
      </c>
      <c r="I6">
        <v>6</v>
      </c>
      <c r="J6">
        <v>94</v>
      </c>
      <c r="L6">
        <v>64</v>
      </c>
      <c r="M6">
        <v>36</v>
      </c>
      <c r="N6">
        <v>40</v>
      </c>
      <c r="O6">
        <v>60</v>
      </c>
      <c r="Q6">
        <f t="shared" ref="Q6:Q11" si="4">AVERAGE(C6:D6)</f>
        <v>21.5</v>
      </c>
      <c r="R6">
        <f t="shared" ref="R6:R11" si="5">AVERAGE(H6:I6)</f>
        <v>27</v>
      </c>
      <c r="S6">
        <f t="shared" ref="S6:S11" si="6">AVERAGE(M6:N6)</f>
        <v>38</v>
      </c>
      <c r="T6">
        <f t="shared" ref="T6:T11" si="7">AVERAGE(Q6:S6)</f>
        <v>28.833333333333332</v>
      </c>
      <c r="U6">
        <f t="shared" ref="U6:U11" si="8">MIN(Q6:S6)</f>
        <v>21.5</v>
      </c>
      <c r="V6">
        <f t="shared" ref="V6:V11" si="9">T6-U6</f>
        <v>7.3333333333333321</v>
      </c>
    </row>
    <row r="7" spans="1:32" x14ac:dyDescent="0.3">
      <c r="B7" s="2">
        <v>84</v>
      </c>
      <c r="C7">
        <v>16</v>
      </c>
      <c r="D7">
        <v>24</v>
      </c>
      <c r="E7">
        <v>76</v>
      </c>
      <c r="G7">
        <v>79</v>
      </c>
      <c r="H7">
        <v>21</v>
      </c>
      <c r="I7">
        <v>4</v>
      </c>
      <c r="J7">
        <v>96</v>
      </c>
      <c r="L7">
        <v>68</v>
      </c>
      <c r="M7">
        <v>32</v>
      </c>
      <c r="N7">
        <v>32</v>
      </c>
      <c r="O7">
        <v>68</v>
      </c>
      <c r="Q7">
        <f t="shared" si="4"/>
        <v>20</v>
      </c>
      <c r="R7">
        <f t="shared" si="5"/>
        <v>12.5</v>
      </c>
      <c r="S7">
        <f t="shared" si="6"/>
        <v>32</v>
      </c>
      <c r="T7">
        <f t="shared" si="7"/>
        <v>21.5</v>
      </c>
      <c r="U7">
        <f t="shared" si="8"/>
        <v>12.5</v>
      </c>
      <c r="V7">
        <f t="shared" si="9"/>
        <v>9</v>
      </c>
    </row>
    <row r="8" spans="1:32" x14ac:dyDescent="0.3">
      <c r="B8" s="2">
        <v>85</v>
      </c>
      <c r="C8">
        <v>15</v>
      </c>
      <c r="D8">
        <v>16</v>
      </c>
      <c r="E8">
        <v>84</v>
      </c>
      <c r="G8">
        <v>56</v>
      </c>
      <c r="H8">
        <v>44</v>
      </c>
      <c r="I8">
        <v>6</v>
      </c>
      <c r="J8">
        <v>94</v>
      </c>
      <c r="L8">
        <v>66</v>
      </c>
      <c r="M8">
        <v>34</v>
      </c>
      <c r="N8">
        <v>29</v>
      </c>
      <c r="O8">
        <v>71</v>
      </c>
      <c r="Q8">
        <f t="shared" si="4"/>
        <v>15.5</v>
      </c>
      <c r="R8">
        <f t="shared" si="5"/>
        <v>25</v>
      </c>
      <c r="S8">
        <f t="shared" si="6"/>
        <v>31.5</v>
      </c>
      <c r="T8">
        <f t="shared" si="7"/>
        <v>24</v>
      </c>
      <c r="U8">
        <f t="shared" si="8"/>
        <v>15.5</v>
      </c>
      <c r="V8">
        <f t="shared" si="9"/>
        <v>8.5</v>
      </c>
    </row>
    <row r="9" spans="1:32" x14ac:dyDescent="0.3">
      <c r="B9" s="2">
        <v>84</v>
      </c>
      <c r="C9">
        <v>16</v>
      </c>
      <c r="D9">
        <v>18</v>
      </c>
      <c r="E9">
        <v>82</v>
      </c>
      <c r="G9">
        <v>55</v>
      </c>
      <c r="H9">
        <v>45</v>
      </c>
      <c r="I9">
        <v>11</v>
      </c>
      <c r="J9">
        <v>89</v>
      </c>
      <c r="L9">
        <v>69</v>
      </c>
      <c r="M9">
        <v>31</v>
      </c>
      <c r="N9">
        <v>30</v>
      </c>
      <c r="O9">
        <v>70</v>
      </c>
      <c r="Q9">
        <f t="shared" si="4"/>
        <v>17</v>
      </c>
      <c r="R9">
        <f t="shared" si="5"/>
        <v>28</v>
      </c>
      <c r="S9">
        <f t="shared" si="6"/>
        <v>30.5</v>
      </c>
      <c r="T9">
        <f t="shared" si="7"/>
        <v>25.166666666666668</v>
      </c>
      <c r="U9">
        <f t="shared" si="8"/>
        <v>17</v>
      </c>
      <c r="V9">
        <f t="shared" si="9"/>
        <v>8.1666666666666679</v>
      </c>
    </row>
    <row r="10" spans="1:32" x14ac:dyDescent="0.3">
      <c r="B10" s="2">
        <v>88</v>
      </c>
      <c r="C10">
        <v>12</v>
      </c>
      <c r="D10">
        <v>16</v>
      </c>
      <c r="E10">
        <v>84</v>
      </c>
      <c r="G10">
        <v>70</v>
      </c>
      <c r="H10">
        <v>30</v>
      </c>
      <c r="I10">
        <v>8</v>
      </c>
      <c r="J10">
        <v>92</v>
      </c>
      <c r="L10">
        <v>63</v>
      </c>
      <c r="M10">
        <v>37</v>
      </c>
      <c r="N10">
        <v>20</v>
      </c>
      <c r="O10">
        <v>80</v>
      </c>
      <c r="Q10">
        <f t="shared" si="4"/>
        <v>14</v>
      </c>
      <c r="R10">
        <f t="shared" si="5"/>
        <v>19</v>
      </c>
      <c r="S10">
        <f t="shared" si="6"/>
        <v>28.5</v>
      </c>
      <c r="T10">
        <f t="shared" si="7"/>
        <v>20.5</v>
      </c>
      <c r="U10">
        <f t="shared" si="8"/>
        <v>14</v>
      </c>
      <c r="V10">
        <f t="shared" si="9"/>
        <v>6.5</v>
      </c>
    </row>
    <row r="11" spans="1:32" x14ac:dyDescent="0.3">
      <c r="B11" s="2">
        <v>87</v>
      </c>
      <c r="C11">
        <v>13</v>
      </c>
      <c r="D11">
        <v>16</v>
      </c>
      <c r="E11">
        <v>84</v>
      </c>
      <c r="G11">
        <v>70</v>
      </c>
      <c r="H11">
        <v>30</v>
      </c>
      <c r="I11">
        <v>4</v>
      </c>
      <c r="J11">
        <v>96</v>
      </c>
      <c r="L11">
        <v>59</v>
      </c>
      <c r="M11">
        <v>41</v>
      </c>
      <c r="N11">
        <v>23</v>
      </c>
      <c r="O11">
        <v>77</v>
      </c>
      <c r="Q11">
        <f t="shared" si="4"/>
        <v>14.5</v>
      </c>
      <c r="R11">
        <f t="shared" si="5"/>
        <v>17</v>
      </c>
      <c r="S11">
        <f t="shared" si="6"/>
        <v>32</v>
      </c>
      <c r="T11">
        <f t="shared" si="7"/>
        <v>21.166666666666668</v>
      </c>
      <c r="U11">
        <f t="shared" si="8"/>
        <v>14.5</v>
      </c>
      <c r="V11">
        <f t="shared" si="9"/>
        <v>6.6666666666666679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2:AF8"/>
  <sheetViews>
    <sheetView topLeftCell="O1" workbookViewId="0">
      <selection activeCell="W3" sqref="W3:AF3"/>
    </sheetView>
  </sheetViews>
  <sheetFormatPr defaultRowHeight="14.4" x14ac:dyDescent="0.3"/>
  <cols>
    <col min="28" max="28" width="12.21875" customWidth="1"/>
    <col min="32" max="32" width="8.33203125" customWidth="1"/>
  </cols>
  <sheetData>
    <row r="2" spans="1:32" x14ac:dyDescent="0.3">
      <c r="A2" t="s">
        <v>19</v>
      </c>
      <c r="Q2" t="s">
        <v>9</v>
      </c>
      <c r="R2" t="s">
        <v>10</v>
      </c>
      <c r="S2" t="s">
        <v>11</v>
      </c>
      <c r="T2" t="s">
        <v>13</v>
      </c>
      <c r="U2" t="s">
        <v>15</v>
      </c>
      <c r="V2" t="s">
        <v>12</v>
      </c>
      <c r="W2" t="s">
        <v>3</v>
      </c>
      <c r="X2" t="s">
        <v>21</v>
      </c>
      <c r="Y2" t="s">
        <v>5</v>
      </c>
      <c r="Z2" t="s">
        <v>22</v>
      </c>
      <c r="AA2" t="s">
        <v>7</v>
      </c>
      <c r="AB2" t="s">
        <v>23</v>
      </c>
      <c r="AC2" t="s">
        <v>1</v>
      </c>
      <c r="AD2" t="s">
        <v>14</v>
      </c>
      <c r="AE2" t="s">
        <v>16</v>
      </c>
      <c r="AF2" t="s">
        <v>17</v>
      </c>
    </row>
    <row r="3" spans="1:32" x14ac:dyDescent="0.3">
      <c r="B3">
        <v>92</v>
      </c>
      <c r="C3">
        <v>8</v>
      </c>
      <c r="D3">
        <v>22</v>
      </c>
      <c r="E3">
        <v>78</v>
      </c>
      <c r="G3">
        <v>67</v>
      </c>
      <c r="H3">
        <v>33</v>
      </c>
      <c r="I3">
        <v>9</v>
      </c>
      <c r="J3">
        <v>91</v>
      </c>
      <c r="L3">
        <v>69</v>
      </c>
      <c r="M3">
        <v>31</v>
      </c>
      <c r="N3">
        <v>26</v>
      </c>
      <c r="O3">
        <v>74</v>
      </c>
      <c r="Q3">
        <f>AVERAGE(C3:D3)</f>
        <v>15</v>
      </c>
      <c r="R3">
        <f>AVERAGE(H3:I3)</f>
        <v>21</v>
      </c>
      <c r="S3">
        <f>AVERAGE(M3:N3)</f>
        <v>28.5</v>
      </c>
      <c r="T3">
        <f>AVERAGE(Q3:S3)</f>
        <v>21.5</v>
      </c>
      <c r="U3">
        <f>MIN(Q3:S3)</f>
        <v>15</v>
      </c>
      <c r="V3">
        <f>T3-U3</f>
        <v>6.5</v>
      </c>
      <c r="W3">
        <f>AVERAGE(Q3:Q8)</f>
        <v>15.5</v>
      </c>
      <c r="X3">
        <f>_xlfn.STDEV.S(Q3:Q8)</f>
        <v>2.4494897427831779</v>
      </c>
      <c r="Y3">
        <f>AVERAGE(R3:R8)</f>
        <v>20</v>
      </c>
      <c r="Z3">
        <f>_xlfn.STDEV.S(R3:R8)</f>
        <v>2.5495097567963922</v>
      </c>
      <c r="AA3">
        <f>AVERAGE(S3:S8)</f>
        <v>31.416666666666668</v>
      </c>
      <c r="AB3">
        <f>_xlfn.STDEV.S(S3:S8)</f>
        <v>3.9801591257971842</v>
      </c>
      <c r="AC3">
        <f>AVERAGE(T3:T8)</f>
        <v>22.305555555555554</v>
      </c>
      <c r="AD3">
        <f>_xlfn.STDEV.S(T3:T8)</f>
        <v>2.0423751605168672</v>
      </c>
      <c r="AE3">
        <f>AVERAGE(V3:V8)</f>
        <v>7.1388888888888884</v>
      </c>
      <c r="AF3">
        <f>_xlfn.STDEV.S(V3:V8)</f>
        <v>1.7493384993148686</v>
      </c>
    </row>
    <row r="4" spans="1:32" x14ac:dyDescent="0.3">
      <c r="B4">
        <v>83</v>
      </c>
      <c r="C4">
        <v>17</v>
      </c>
      <c r="D4">
        <v>17</v>
      </c>
      <c r="E4">
        <v>83</v>
      </c>
      <c r="G4">
        <v>75</v>
      </c>
      <c r="H4">
        <v>25</v>
      </c>
      <c r="I4">
        <v>5</v>
      </c>
      <c r="J4">
        <v>95</v>
      </c>
      <c r="L4">
        <v>60</v>
      </c>
      <c r="M4">
        <v>40</v>
      </c>
      <c r="N4">
        <v>15</v>
      </c>
      <c r="O4">
        <v>85</v>
      </c>
      <c r="Q4">
        <f t="shared" ref="Q4:Q5" si="0">AVERAGE(C4:D4)</f>
        <v>17</v>
      </c>
      <c r="R4">
        <f t="shared" ref="R4:R5" si="1">AVERAGE(H4:I4)</f>
        <v>15</v>
      </c>
      <c r="S4">
        <f t="shared" ref="S4:S5" si="2">AVERAGE(M4:N4)</f>
        <v>27.5</v>
      </c>
      <c r="T4">
        <f t="shared" ref="T4:T5" si="3">AVERAGE(Q4:S4)</f>
        <v>19.833333333333332</v>
      </c>
      <c r="U4">
        <f>MIN(Q4:S4)</f>
        <v>15</v>
      </c>
      <c r="V4">
        <f>T4-U4</f>
        <v>4.8333333333333321</v>
      </c>
    </row>
    <row r="5" spans="1:32" x14ac:dyDescent="0.3">
      <c r="B5">
        <v>74</v>
      </c>
      <c r="C5">
        <v>26</v>
      </c>
      <c r="D5">
        <v>13</v>
      </c>
      <c r="E5">
        <v>87</v>
      </c>
      <c r="G5">
        <v>63</v>
      </c>
      <c r="H5">
        <v>37</v>
      </c>
      <c r="I5">
        <v>6</v>
      </c>
      <c r="J5">
        <v>94</v>
      </c>
      <c r="L5">
        <v>48</v>
      </c>
      <c r="M5">
        <v>52</v>
      </c>
      <c r="N5">
        <v>17</v>
      </c>
      <c r="O5">
        <v>83</v>
      </c>
      <c r="Q5">
        <f t="shared" si="0"/>
        <v>19.5</v>
      </c>
      <c r="R5">
        <f t="shared" si="1"/>
        <v>21.5</v>
      </c>
      <c r="S5">
        <f t="shared" si="2"/>
        <v>34.5</v>
      </c>
      <c r="T5">
        <f t="shared" si="3"/>
        <v>25.166666666666668</v>
      </c>
      <c r="U5">
        <f>MIN(Q5:S5)</f>
        <v>19.5</v>
      </c>
      <c r="V5">
        <f>T5-U5</f>
        <v>5.6666666666666679</v>
      </c>
    </row>
    <row r="6" spans="1:32" x14ac:dyDescent="0.3">
      <c r="B6">
        <v>89</v>
      </c>
      <c r="C6">
        <v>11</v>
      </c>
      <c r="D6">
        <v>19</v>
      </c>
      <c r="E6">
        <v>81</v>
      </c>
      <c r="G6">
        <v>68</v>
      </c>
      <c r="H6">
        <v>32</v>
      </c>
      <c r="I6">
        <v>9</v>
      </c>
      <c r="J6">
        <v>91</v>
      </c>
      <c r="L6">
        <v>60</v>
      </c>
      <c r="M6">
        <v>40</v>
      </c>
      <c r="N6">
        <v>35</v>
      </c>
      <c r="O6">
        <v>65</v>
      </c>
      <c r="Q6">
        <f t="shared" ref="Q6" si="4">AVERAGE(C6:D6)</f>
        <v>15</v>
      </c>
      <c r="R6">
        <f t="shared" ref="R6" si="5">AVERAGE(H6:I6)</f>
        <v>20.5</v>
      </c>
      <c r="S6">
        <f t="shared" ref="S6" si="6">AVERAGE(M6:N6)</f>
        <v>37.5</v>
      </c>
      <c r="T6">
        <f t="shared" ref="T6" si="7">AVERAGE(Q6:S6)</f>
        <v>24.333333333333332</v>
      </c>
      <c r="U6">
        <f>MIN(Q6:S6)</f>
        <v>15</v>
      </c>
      <c r="V6">
        <f>T6-U6</f>
        <v>9.3333333333333321</v>
      </c>
    </row>
    <row r="7" spans="1:32" x14ac:dyDescent="0.3">
      <c r="B7">
        <v>87</v>
      </c>
      <c r="C7">
        <v>13</v>
      </c>
      <c r="D7">
        <v>12</v>
      </c>
      <c r="E7">
        <v>88</v>
      </c>
      <c r="G7">
        <v>63</v>
      </c>
      <c r="H7">
        <v>37</v>
      </c>
      <c r="I7">
        <v>7</v>
      </c>
      <c r="J7">
        <v>93</v>
      </c>
      <c r="L7">
        <v>65</v>
      </c>
      <c r="M7">
        <v>35</v>
      </c>
      <c r="N7">
        <v>22</v>
      </c>
      <c r="O7">
        <v>78</v>
      </c>
      <c r="Q7">
        <f t="shared" ref="Q7:Q8" si="8">AVERAGE(C7:D7)</f>
        <v>12.5</v>
      </c>
      <c r="R7">
        <f t="shared" ref="R7:R8" si="9">AVERAGE(H7:I7)</f>
        <v>22</v>
      </c>
      <c r="S7">
        <f t="shared" ref="S7:S8" si="10">AVERAGE(M7:N7)</f>
        <v>28.5</v>
      </c>
      <c r="T7">
        <f t="shared" ref="T7:T8" si="11">AVERAGE(Q7:S7)</f>
        <v>21</v>
      </c>
      <c r="U7">
        <f t="shared" ref="U7:U8" si="12">MIN(Q7:S7)</f>
        <v>12.5</v>
      </c>
      <c r="V7">
        <f t="shared" ref="V7:V8" si="13">T7-U7</f>
        <v>8.5</v>
      </c>
    </row>
    <row r="8" spans="1:32" x14ac:dyDescent="0.3">
      <c r="B8">
        <v>79</v>
      </c>
      <c r="C8">
        <v>21</v>
      </c>
      <c r="D8">
        <v>7</v>
      </c>
      <c r="E8">
        <v>93</v>
      </c>
      <c r="G8">
        <v>62</v>
      </c>
      <c r="H8">
        <v>38</v>
      </c>
      <c r="I8">
        <v>2</v>
      </c>
      <c r="J8">
        <v>98</v>
      </c>
      <c r="L8">
        <v>49</v>
      </c>
      <c r="M8">
        <v>51</v>
      </c>
      <c r="N8">
        <v>13</v>
      </c>
      <c r="O8">
        <v>87</v>
      </c>
      <c r="Q8">
        <f t="shared" si="8"/>
        <v>14</v>
      </c>
      <c r="R8">
        <f t="shared" si="9"/>
        <v>20</v>
      </c>
      <c r="S8">
        <f t="shared" si="10"/>
        <v>32</v>
      </c>
      <c r="T8">
        <f t="shared" si="11"/>
        <v>22</v>
      </c>
      <c r="U8">
        <f t="shared" si="12"/>
        <v>14</v>
      </c>
      <c r="V8">
        <f t="shared" si="13"/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2EF1-0098-48B1-8405-A4F0E6569F16}">
  <dimension ref="A2:AF8"/>
  <sheetViews>
    <sheetView topLeftCell="J1" workbookViewId="0">
      <selection activeCell="Q2" sqref="Q2:AF3"/>
    </sheetView>
  </sheetViews>
  <sheetFormatPr defaultRowHeight="14.4" x14ac:dyDescent="0.3"/>
  <sheetData>
    <row r="2" spans="1:32" x14ac:dyDescent="0.3">
      <c r="A2" t="s">
        <v>19</v>
      </c>
      <c r="Q2" t="s">
        <v>9</v>
      </c>
      <c r="R2" t="s">
        <v>10</v>
      </c>
      <c r="S2" t="s">
        <v>11</v>
      </c>
      <c r="T2" t="s">
        <v>13</v>
      </c>
      <c r="U2" t="s">
        <v>15</v>
      </c>
      <c r="V2" t="s">
        <v>12</v>
      </c>
      <c r="W2" t="s">
        <v>3</v>
      </c>
      <c r="X2" t="s">
        <v>21</v>
      </c>
      <c r="Y2" t="s">
        <v>5</v>
      </c>
      <c r="Z2" t="s">
        <v>22</v>
      </c>
      <c r="AA2" t="s">
        <v>7</v>
      </c>
      <c r="AB2" t="s">
        <v>23</v>
      </c>
      <c r="AC2" t="s">
        <v>1</v>
      </c>
      <c r="AD2" t="s">
        <v>14</v>
      </c>
      <c r="AE2" t="s">
        <v>16</v>
      </c>
      <c r="AF2" t="s">
        <v>17</v>
      </c>
    </row>
    <row r="3" spans="1:32" x14ac:dyDescent="0.3">
      <c r="B3">
        <v>91</v>
      </c>
      <c r="C3">
        <v>9</v>
      </c>
      <c r="D3">
        <v>17</v>
      </c>
      <c r="E3">
        <v>83</v>
      </c>
      <c r="G3">
        <v>65</v>
      </c>
      <c r="H3">
        <v>35</v>
      </c>
      <c r="I3">
        <v>8</v>
      </c>
      <c r="J3">
        <v>92</v>
      </c>
      <c r="L3">
        <v>59</v>
      </c>
      <c r="M3">
        <v>41</v>
      </c>
      <c r="N3">
        <v>17</v>
      </c>
      <c r="O3">
        <v>83</v>
      </c>
      <c r="Q3">
        <f>AVERAGE(C3:D3)</f>
        <v>13</v>
      </c>
      <c r="R3">
        <f>AVERAGE(H3:I3)</f>
        <v>21.5</v>
      </c>
      <c r="S3">
        <f>AVERAGE(M3:N3)</f>
        <v>29</v>
      </c>
      <c r="T3">
        <f>AVERAGE(Q3:S3)</f>
        <v>21.166666666666668</v>
      </c>
      <c r="U3">
        <f>MIN(Q3:S3)</f>
        <v>13</v>
      </c>
      <c r="V3">
        <f>T3-U3</f>
        <v>8.1666666666666679</v>
      </c>
      <c r="W3">
        <f>AVERAGE(Q3:Q8)</f>
        <v>14.416666666666666</v>
      </c>
      <c r="X3">
        <f>_xlfn.STDEV.S(Q3:Q8)</f>
        <v>1.6253204812179816</v>
      </c>
      <c r="Y3">
        <f>AVERAGE(R3:R8)</f>
        <v>20.666666666666668</v>
      </c>
      <c r="Z3">
        <f>_xlfn.STDEV.S(R3:R8)</f>
        <v>4.1793141383086647</v>
      </c>
      <c r="AA3">
        <f>AVERAGE(S3:S8)</f>
        <v>28.916666666666668</v>
      </c>
      <c r="AB3">
        <f>_xlfn.STDEV.S(S3:S8)</f>
        <v>4.7161071517371829</v>
      </c>
      <c r="AC3">
        <f>AVERAGE(T3:T8)</f>
        <v>21.333333333333332</v>
      </c>
      <c r="AD3">
        <f>_xlfn.STDEV.S(T3:T8)</f>
        <v>2.4312776705080856</v>
      </c>
      <c r="AE3">
        <f>AVERAGE(V3:V8)</f>
        <v>7.3333333333333313</v>
      </c>
      <c r="AF3">
        <f>_xlfn.STDEV.S(V3:V8)</f>
        <v>3.0785999704050244</v>
      </c>
    </row>
    <row r="4" spans="1:32" x14ac:dyDescent="0.3">
      <c r="B4">
        <v>82</v>
      </c>
      <c r="C4">
        <v>18</v>
      </c>
      <c r="D4">
        <v>6</v>
      </c>
      <c r="E4">
        <v>94</v>
      </c>
      <c r="G4">
        <v>58</v>
      </c>
      <c r="H4">
        <v>42</v>
      </c>
      <c r="I4">
        <v>7</v>
      </c>
      <c r="J4">
        <v>93</v>
      </c>
      <c r="L4">
        <v>53</v>
      </c>
      <c r="M4">
        <v>47</v>
      </c>
      <c r="N4">
        <v>27</v>
      </c>
      <c r="O4">
        <v>73</v>
      </c>
      <c r="Q4">
        <f t="shared" ref="Q4:Q6" si="0">AVERAGE(C4:D4)</f>
        <v>12</v>
      </c>
      <c r="R4">
        <f t="shared" ref="R4:R6" si="1">AVERAGE(H4:I4)</f>
        <v>24.5</v>
      </c>
      <c r="S4">
        <f t="shared" ref="S4:S6" si="2">AVERAGE(M4:N4)</f>
        <v>37</v>
      </c>
      <c r="T4">
        <f t="shared" ref="T4:T6" si="3">AVERAGE(Q4:S4)</f>
        <v>24.5</v>
      </c>
      <c r="U4">
        <f>MIN(Q4:S4)</f>
        <v>12</v>
      </c>
      <c r="V4">
        <f>T4-U4</f>
        <v>12.5</v>
      </c>
    </row>
    <row r="5" spans="1:32" x14ac:dyDescent="0.3">
      <c r="B5">
        <v>78</v>
      </c>
      <c r="C5">
        <v>22</v>
      </c>
      <c r="D5">
        <v>7</v>
      </c>
      <c r="E5">
        <v>93</v>
      </c>
      <c r="G5">
        <v>60</v>
      </c>
      <c r="H5">
        <v>40</v>
      </c>
      <c r="I5">
        <v>6</v>
      </c>
      <c r="J5">
        <v>94</v>
      </c>
      <c r="L5">
        <v>49</v>
      </c>
      <c r="M5">
        <v>51</v>
      </c>
      <c r="N5">
        <v>11</v>
      </c>
      <c r="O5">
        <v>89</v>
      </c>
      <c r="Q5">
        <f t="shared" si="0"/>
        <v>14.5</v>
      </c>
      <c r="R5">
        <f t="shared" si="1"/>
        <v>23</v>
      </c>
      <c r="S5">
        <f t="shared" si="2"/>
        <v>31</v>
      </c>
      <c r="T5">
        <f t="shared" si="3"/>
        <v>22.833333333333332</v>
      </c>
      <c r="U5">
        <f>MIN(Q5:S5)</f>
        <v>14.5</v>
      </c>
      <c r="V5">
        <f>T5-U5</f>
        <v>8.3333333333333321</v>
      </c>
    </row>
    <row r="6" spans="1:32" x14ac:dyDescent="0.3">
      <c r="B6">
        <v>87</v>
      </c>
      <c r="C6">
        <v>13</v>
      </c>
      <c r="D6">
        <v>19</v>
      </c>
      <c r="E6">
        <v>81</v>
      </c>
      <c r="G6">
        <v>77</v>
      </c>
      <c r="H6">
        <v>23</v>
      </c>
      <c r="I6">
        <v>4</v>
      </c>
      <c r="J6">
        <v>96</v>
      </c>
      <c r="L6">
        <v>81</v>
      </c>
      <c r="M6">
        <v>19</v>
      </c>
      <c r="N6">
        <v>29</v>
      </c>
      <c r="O6">
        <v>71</v>
      </c>
      <c r="Q6">
        <f t="shared" si="0"/>
        <v>16</v>
      </c>
      <c r="R6">
        <f t="shared" si="1"/>
        <v>13.5</v>
      </c>
      <c r="S6">
        <f t="shared" si="2"/>
        <v>24</v>
      </c>
      <c r="T6">
        <f t="shared" si="3"/>
        <v>17.833333333333332</v>
      </c>
      <c r="U6">
        <f>MIN(Q6:S6)</f>
        <v>13.5</v>
      </c>
      <c r="V6">
        <f>T6-U6</f>
        <v>4.3333333333333321</v>
      </c>
    </row>
    <row r="7" spans="1:32" x14ac:dyDescent="0.3">
      <c r="B7">
        <v>77</v>
      </c>
      <c r="C7">
        <v>23</v>
      </c>
      <c r="D7">
        <v>9</v>
      </c>
      <c r="E7">
        <v>91</v>
      </c>
      <c r="G7">
        <v>57</v>
      </c>
      <c r="H7">
        <v>43</v>
      </c>
      <c r="I7">
        <v>4</v>
      </c>
      <c r="J7">
        <v>96</v>
      </c>
      <c r="L7">
        <v>72</v>
      </c>
      <c r="M7">
        <v>28</v>
      </c>
      <c r="N7">
        <v>27</v>
      </c>
      <c r="O7">
        <v>73</v>
      </c>
      <c r="Q7">
        <f t="shared" ref="Q7:Q8" si="4">AVERAGE(C7:D7)</f>
        <v>16</v>
      </c>
      <c r="R7">
        <f t="shared" ref="R7:R8" si="5">AVERAGE(H7:I7)</f>
        <v>23.5</v>
      </c>
      <c r="S7">
        <f t="shared" ref="S7:S8" si="6">AVERAGE(M7:N7)</f>
        <v>27.5</v>
      </c>
      <c r="T7">
        <f t="shared" ref="T7:T8" si="7">AVERAGE(Q7:S7)</f>
        <v>22.333333333333332</v>
      </c>
      <c r="U7">
        <f t="shared" ref="U7:U8" si="8">MIN(Q7:S7)</f>
        <v>16</v>
      </c>
      <c r="V7">
        <f t="shared" ref="V7:V8" si="9">T7-U7</f>
        <v>6.3333333333333321</v>
      </c>
    </row>
    <row r="8" spans="1:32" x14ac:dyDescent="0.3">
      <c r="B8">
        <v>91</v>
      </c>
      <c r="C8">
        <v>9</v>
      </c>
      <c r="D8">
        <v>21</v>
      </c>
      <c r="E8">
        <v>79</v>
      </c>
      <c r="G8">
        <v>71</v>
      </c>
      <c r="H8">
        <v>29</v>
      </c>
      <c r="I8">
        <v>7</v>
      </c>
      <c r="J8">
        <v>93</v>
      </c>
      <c r="L8">
        <v>71</v>
      </c>
      <c r="M8">
        <v>29</v>
      </c>
      <c r="N8">
        <v>21</v>
      </c>
      <c r="O8">
        <v>79</v>
      </c>
      <c r="Q8">
        <f t="shared" si="4"/>
        <v>15</v>
      </c>
      <c r="R8">
        <f t="shared" si="5"/>
        <v>18</v>
      </c>
      <c r="S8">
        <f t="shared" si="6"/>
        <v>25</v>
      </c>
      <c r="T8">
        <f t="shared" si="7"/>
        <v>19.333333333333332</v>
      </c>
      <c r="U8">
        <f t="shared" si="8"/>
        <v>15</v>
      </c>
      <c r="V8">
        <f t="shared" si="9"/>
        <v>4.3333333333333321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NOAUG</vt:lpstr>
      <vt:lpstr>ADV_CLSDIV</vt:lpstr>
      <vt:lpstr>ADV_NOCLSDIV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2026-03-24T21:36:12Z</dcterms:modified>
</cp:coreProperties>
</file>