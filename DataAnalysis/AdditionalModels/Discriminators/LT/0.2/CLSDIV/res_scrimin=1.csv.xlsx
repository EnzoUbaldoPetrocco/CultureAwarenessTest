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AdditionalModels\Discriminators\LT\0.2\CLSDIV\"/>
    </mc:Choice>
  </mc:AlternateContent>
  <xr:revisionPtr revIDLastSave="0" documentId="13_ncr:1_{A119E8A6-5019-4EAD-81F7-05607BF0633C}" xr6:coauthVersionLast="47" xr6:coauthVersionMax="47" xr10:uidLastSave="{00000000-0000-0000-0000-000000000000}"/>
  <bookViews>
    <workbookView xWindow="-108" yWindow="-108" windowWidth="23256" windowHeight="12456" xr2:uid="{0F214021-6FB1-40D5-9709-F0BEE25B15FC}"/>
  </bookViews>
  <sheets>
    <sheet name="res_scrimin=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AD3" i="1" s="1"/>
  <c r="Q3" i="1"/>
  <c r="R3" i="1"/>
  <c r="S3" i="1"/>
  <c r="W3" i="1"/>
  <c r="X3" i="1"/>
  <c r="Y3" i="1"/>
  <c r="Z3" i="1"/>
  <c r="AA3" i="1"/>
  <c r="AB3" i="1"/>
  <c r="AC3" i="1"/>
  <c r="P4" i="1"/>
  <c r="AD4" i="1" s="1"/>
  <c r="Q4" i="1"/>
  <c r="R4" i="1"/>
  <c r="X4" i="1" s="1"/>
  <c r="S4" i="1"/>
  <c r="Y4" i="1" s="1"/>
  <c r="W4" i="1"/>
  <c r="Z4" i="1"/>
  <c r="AA4" i="1"/>
  <c r="AB4" i="1"/>
  <c r="AC4" i="1"/>
  <c r="P5" i="1"/>
  <c r="AD5" i="1" s="1"/>
  <c r="Q5" i="1"/>
  <c r="R5" i="1"/>
  <c r="S5" i="1"/>
  <c r="W5" i="1"/>
  <c r="X5" i="1"/>
  <c r="Y5" i="1"/>
  <c r="Z5" i="1"/>
  <c r="AA5" i="1"/>
  <c r="AB5" i="1"/>
  <c r="AC5" i="1"/>
  <c r="P6" i="1"/>
  <c r="Q6" i="1"/>
  <c r="R6" i="1"/>
  <c r="S6" i="1"/>
  <c r="W6" i="1"/>
  <c r="X6" i="1"/>
  <c r="Y6" i="1"/>
  <c r="Z6" i="1"/>
  <c r="AA6" i="1"/>
  <c r="AB6" i="1"/>
  <c r="AC6" i="1"/>
  <c r="AD6" i="1"/>
  <c r="P7" i="1"/>
  <c r="AD7" i="1" s="1"/>
  <c r="Q7" i="1"/>
  <c r="R7" i="1"/>
  <c r="S7" i="1"/>
  <c r="W7" i="1"/>
  <c r="X7" i="1"/>
  <c r="Y7" i="1"/>
  <c r="Z7" i="1"/>
  <c r="AA7" i="1"/>
  <c r="AB7" i="1"/>
  <c r="AC7" i="1"/>
  <c r="P8" i="1"/>
  <c r="AD8" i="1" s="1"/>
  <c r="Q8" i="1"/>
  <c r="R8" i="1"/>
  <c r="X8" i="1" s="1"/>
  <c r="S8" i="1"/>
  <c r="Y8" i="1" s="1"/>
  <c r="W8" i="1"/>
  <c r="Z8" i="1"/>
  <c r="AA8" i="1"/>
  <c r="AB8" i="1"/>
  <c r="AC8" i="1"/>
  <c r="P9" i="1"/>
  <c r="AD9" i="1" s="1"/>
  <c r="Q9" i="1"/>
  <c r="R9" i="1"/>
  <c r="S9" i="1"/>
  <c r="W9" i="1"/>
  <c r="X9" i="1"/>
  <c r="Y9" i="1"/>
  <c r="Z9" i="1"/>
  <c r="AA9" i="1"/>
  <c r="AB9" i="1"/>
  <c r="AC9" i="1"/>
  <c r="P10" i="1"/>
  <c r="Q10" i="1"/>
  <c r="R10" i="1"/>
  <c r="S10" i="1"/>
  <c r="W10" i="1"/>
  <c r="X10" i="1"/>
  <c r="Y10" i="1"/>
  <c r="Z10" i="1"/>
  <c r="AA10" i="1"/>
  <c r="AB10" i="1"/>
  <c r="AC10" i="1"/>
  <c r="AD10" i="1"/>
  <c r="P11" i="1"/>
  <c r="AD11" i="1" s="1"/>
  <c r="Q11" i="1"/>
  <c r="R11" i="1"/>
  <c r="S11" i="1"/>
  <c r="W11" i="1"/>
  <c r="X11" i="1"/>
  <c r="Y11" i="1"/>
  <c r="Z11" i="1"/>
  <c r="AA11" i="1"/>
  <c r="AB11" i="1"/>
  <c r="AC11" i="1"/>
  <c r="P12" i="1"/>
  <c r="AD12" i="1" s="1"/>
  <c r="Q12" i="1"/>
  <c r="R12" i="1"/>
  <c r="X12" i="1" s="1"/>
  <c r="S12" i="1"/>
  <c r="Y12" i="1" s="1"/>
  <c r="W12" i="1"/>
  <c r="Z12" i="1"/>
  <c r="AA12" i="1"/>
  <c r="AB12" i="1"/>
  <c r="AC12" i="1"/>
  <c r="AC2" i="1"/>
  <c r="AB2" i="1"/>
  <c r="AA2" i="1"/>
  <c r="Z2" i="1"/>
  <c r="S2" i="1"/>
  <c r="Y2" i="1" s="1"/>
  <c r="R2" i="1"/>
  <c r="X2" i="1" s="1"/>
  <c r="Q2" i="1"/>
  <c r="W2" i="1" s="1"/>
  <c r="P2" i="1"/>
  <c r="AK2" i="1" l="1"/>
  <c r="AJ2" i="1"/>
  <c r="AI2" i="1"/>
  <c r="AH2" i="1"/>
  <c r="AF2" i="1"/>
  <c r="AG2" i="1"/>
  <c r="AD2" i="1"/>
  <c r="AL2" i="1" s="1"/>
</calcChain>
</file>

<file path=xl/sharedStrings.xml><?xml version="1.0" encoding="utf-8"?>
<sst xmlns="http://schemas.openxmlformats.org/spreadsheetml/2006/main" count="142" uniqueCount="37">
  <si>
    <t>Procedo per riga (prima riga, poi seconda riga, …)</t>
  </si>
  <si>
    <t>R0C0</t>
  </si>
  <si>
    <t>R0C1</t>
  </si>
  <si>
    <t>R0C2</t>
  </si>
  <si>
    <t>R1C0</t>
  </si>
  <si>
    <t>R1C1</t>
  </si>
  <si>
    <t>R1C2</t>
  </si>
  <si>
    <t>R2C0</t>
  </si>
  <si>
    <t>R2C1</t>
  </si>
  <si>
    <t>R2C2</t>
  </si>
  <si>
    <t>DiagSum</t>
  </si>
  <si>
    <t>Col0Sum</t>
  </si>
  <si>
    <t>Col1Sum</t>
  </si>
  <si>
    <t>Col2Sum</t>
  </si>
  <si>
    <t>Row0Sum</t>
  </si>
  <si>
    <t>Row1Sum</t>
  </si>
  <si>
    <t>Row2Sum</t>
  </si>
  <si>
    <t>Precision0</t>
  </si>
  <si>
    <t>Precision1</t>
  </si>
  <si>
    <t>Precision2</t>
  </si>
  <si>
    <t>Recall0</t>
  </si>
  <si>
    <t>Recall1</t>
  </si>
  <si>
    <t>Recall2</t>
  </si>
  <si>
    <t>Tot</t>
  </si>
  <si>
    <t>Accuracy</t>
  </si>
  <si>
    <t>Prec0</t>
  </si>
  <si>
    <t>Prec1</t>
  </si>
  <si>
    <t>Prec2</t>
  </si>
  <si>
    <t>Rec0</t>
  </si>
  <si>
    <t>Acc</t>
  </si>
  <si>
    <t>Rec1</t>
  </si>
  <si>
    <t>Rec2</t>
  </si>
  <si>
    <t>Matrix</t>
  </si>
  <si>
    <t>Class 0</t>
  </si>
  <si>
    <t>Class 1</t>
  </si>
  <si>
    <t>Class 2</t>
  </si>
  <si>
    <t>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</si>
</sst>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E7005-D29F-4A3A-8B33-A4338B8F6744}">
  <dimension ref="A1:AL44"/>
  <sheetViews>
    <sheetView tabSelected="1" zoomScale="60" zoomScaleNormal="60" workbookViewId="0">
      <selection activeCell="P2" sqref="P2:AD12"/>
    </sheetView>
  </sheetViews>
  <sheetFormatPr defaultRowHeight="14.4" x14ac:dyDescent="0.3"/>
  <cols>
    <col min="1" max="1" width="8.88671875" customWidth="1"/>
  </cols>
  <sheetData>
    <row r="1" spans="1:38" x14ac:dyDescent="0.3">
      <c r="A1" s="1"/>
      <c r="B1" s="1" t="s">
        <v>32</v>
      </c>
      <c r="C1" s="1" t="s">
        <v>33</v>
      </c>
      <c r="D1" s="1" t="s">
        <v>34</v>
      </c>
      <c r="E1" s="1" t="s">
        <v>35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30</v>
      </c>
      <c r="AK1" s="1" t="s">
        <v>31</v>
      </c>
      <c r="AL1" s="1" t="s">
        <v>29</v>
      </c>
    </row>
    <row r="2" spans="1:38" x14ac:dyDescent="0.3">
      <c r="A2" s="1" t="s">
        <v>33</v>
      </c>
      <c r="B2" s="1" t="s">
        <v>36</v>
      </c>
      <c r="C2" s="1">
        <v>149</v>
      </c>
      <c r="D2" s="1">
        <v>39</v>
      </c>
      <c r="E2" s="1">
        <v>12</v>
      </c>
      <c r="F2" s="1"/>
      <c r="G2" s="1">
        <v>149</v>
      </c>
      <c r="H2" s="1">
        <v>39</v>
      </c>
      <c r="I2" s="1">
        <v>12</v>
      </c>
      <c r="J2" s="1">
        <v>27</v>
      </c>
      <c r="K2" s="1">
        <v>161</v>
      </c>
      <c r="L2" s="1">
        <v>12</v>
      </c>
      <c r="M2" s="1">
        <v>1</v>
      </c>
      <c r="N2" s="1">
        <v>0</v>
      </c>
      <c r="O2" s="1">
        <v>199</v>
      </c>
      <c r="P2" s="1">
        <f>G2+K2+O2</f>
        <v>509</v>
      </c>
      <c r="Q2" s="1">
        <f>G2+J2+M2</f>
        <v>177</v>
      </c>
      <c r="R2" s="1">
        <f>H2+K2+N2</f>
        <v>200</v>
      </c>
      <c r="S2" s="1">
        <f>I2+L2+O2</f>
        <v>223</v>
      </c>
      <c r="T2" s="1">
        <v>200</v>
      </c>
      <c r="U2" s="1">
        <v>200</v>
      </c>
      <c r="V2" s="1">
        <v>200</v>
      </c>
      <c r="W2" s="1">
        <f>G2/Q2</f>
        <v>0.84180790960451979</v>
      </c>
      <c r="X2" s="1">
        <f>K2/R2</f>
        <v>0.80500000000000005</v>
      </c>
      <c r="Y2" s="1">
        <f>O2/S2</f>
        <v>0.8923766816143498</v>
      </c>
      <c r="Z2" s="1">
        <f>G2/T2</f>
        <v>0.745</v>
      </c>
      <c r="AA2" s="1">
        <f>K2/U2</f>
        <v>0.80500000000000005</v>
      </c>
      <c r="AB2" s="1">
        <f>O2/V2</f>
        <v>0.995</v>
      </c>
      <c r="AC2" s="1">
        <f>SUM(T2:V2)</f>
        <v>600</v>
      </c>
      <c r="AD2" s="1">
        <f>P2/AC2</f>
        <v>0.84833333333333338</v>
      </c>
      <c r="AF2">
        <f>AVERAGE(W2:W8)</f>
        <v>0.86782242780484986</v>
      </c>
      <c r="AG2">
        <f>AVERAGE(X2:X8)</f>
        <v>0.78420208039416106</v>
      </c>
      <c r="AH2">
        <f>AVERAGE(Y2:Y8)</f>
        <v>0.87700046596352088</v>
      </c>
      <c r="AI2">
        <f>AVERAGE(Z2:Z8)</f>
        <v>0.67928571428571427</v>
      </c>
      <c r="AJ2">
        <f>AVERAGE(AA2:AA8)</f>
        <v>0.85071428571428576</v>
      </c>
      <c r="AK2">
        <f>AVERAGE(AB2:AB8)</f>
        <v>0.99071428571428566</v>
      </c>
      <c r="AL2">
        <f>AVERAGE(AD2:AD8)</f>
        <v>0.84023809523809523</v>
      </c>
    </row>
    <row r="3" spans="1:38" x14ac:dyDescent="0.3">
      <c r="A3" s="1" t="s">
        <v>34</v>
      </c>
      <c r="B3" s="1" t="s">
        <v>36</v>
      </c>
      <c r="C3" s="1">
        <v>27</v>
      </c>
      <c r="D3" s="1">
        <v>161</v>
      </c>
      <c r="E3" s="1">
        <v>12</v>
      </c>
      <c r="F3" s="1"/>
      <c r="G3" s="1">
        <v>133</v>
      </c>
      <c r="H3" s="1">
        <v>50</v>
      </c>
      <c r="I3" s="1">
        <v>17</v>
      </c>
      <c r="J3" s="1">
        <v>19</v>
      </c>
      <c r="K3" s="1">
        <v>175</v>
      </c>
      <c r="L3" s="1">
        <v>6</v>
      </c>
      <c r="M3" s="1">
        <v>1</v>
      </c>
      <c r="N3" s="1">
        <v>1</v>
      </c>
      <c r="O3" s="1">
        <v>198</v>
      </c>
      <c r="P3" s="1">
        <f t="shared" ref="P3:P12" si="0">G3+K3+O3</f>
        <v>506</v>
      </c>
      <c r="Q3" s="1">
        <f t="shared" ref="Q3:Q12" si="1">G3+J3+M3</f>
        <v>153</v>
      </c>
      <c r="R3" s="1">
        <f t="shared" ref="R3:R12" si="2">H3+K3+N3</f>
        <v>226</v>
      </c>
      <c r="S3" s="1">
        <f t="shared" ref="S3:S12" si="3">I3+L3+O3</f>
        <v>221</v>
      </c>
      <c r="T3" s="1">
        <v>200</v>
      </c>
      <c r="U3" s="1">
        <v>200</v>
      </c>
      <c r="V3" s="1">
        <v>200</v>
      </c>
      <c r="W3" s="1">
        <f t="shared" ref="W3:W12" si="4">G3/Q3</f>
        <v>0.86928104575163401</v>
      </c>
      <c r="X3" s="1">
        <f t="shared" ref="X3:X12" si="5">K3/R3</f>
        <v>0.77433628318584069</v>
      </c>
      <c r="Y3" s="1">
        <f t="shared" ref="Y3:Y12" si="6">O3/S3</f>
        <v>0.89592760180995479</v>
      </c>
      <c r="Z3" s="1">
        <f t="shared" ref="Z3:Z12" si="7">G3/T3</f>
        <v>0.66500000000000004</v>
      </c>
      <c r="AA3" s="1">
        <f t="shared" ref="AA3:AA12" si="8">K3/U3</f>
        <v>0.875</v>
      </c>
      <c r="AB3" s="1">
        <f t="shared" ref="AB3:AB12" si="9">O3/V3</f>
        <v>0.99</v>
      </c>
      <c r="AC3" s="1">
        <f t="shared" ref="AC3:AC12" si="10">SUM(T3:V3)</f>
        <v>600</v>
      </c>
      <c r="AD3" s="1">
        <f t="shared" ref="AD3:AD12" si="11">P3/AC3</f>
        <v>0.84333333333333338</v>
      </c>
    </row>
    <row r="4" spans="1:38" x14ac:dyDescent="0.3">
      <c r="A4" s="1" t="s">
        <v>35</v>
      </c>
      <c r="B4" s="1" t="s">
        <v>36</v>
      </c>
      <c r="C4" s="1">
        <v>1</v>
      </c>
      <c r="D4" s="1">
        <v>0</v>
      </c>
      <c r="E4" s="1">
        <v>199</v>
      </c>
      <c r="F4" s="1"/>
      <c r="G4" s="1">
        <v>130</v>
      </c>
      <c r="H4" s="1">
        <v>48</v>
      </c>
      <c r="I4" s="1">
        <v>22</v>
      </c>
      <c r="J4" s="1">
        <v>22</v>
      </c>
      <c r="K4" s="1">
        <v>169</v>
      </c>
      <c r="L4" s="1">
        <v>9</v>
      </c>
      <c r="M4" s="1">
        <v>2</v>
      </c>
      <c r="N4" s="1">
        <v>0</v>
      </c>
      <c r="O4" s="1">
        <v>198</v>
      </c>
      <c r="P4" s="1">
        <f t="shared" si="0"/>
        <v>497</v>
      </c>
      <c r="Q4" s="1">
        <f t="shared" si="1"/>
        <v>154</v>
      </c>
      <c r="R4" s="1">
        <f t="shared" si="2"/>
        <v>217</v>
      </c>
      <c r="S4" s="1">
        <f t="shared" si="3"/>
        <v>229</v>
      </c>
      <c r="T4" s="1">
        <v>200</v>
      </c>
      <c r="U4" s="1">
        <v>200</v>
      </c>
      <c r="V4" s="1">
        <v>200</v>
      </c>
      <c r="W4" s="1">
        <f t="shared" si="4"/>
        <v>0.8441558441558441</v>
      </c>
      <c r="X4" s="1">
        <f t="shared" si="5"/>
        <v>0.77880184331797231</v>
      </c>
      <c r="Y4" s="1">
        <f t="shared" si="6"/>
        <v>0.86462882096069871</v>
      </c>
      <c r="Z4" s="1">
        <f t="shared" si="7"/>
        <v>0.65</v>
      </c>
      <c r="AA4" s="1">
        <f t="shared" si="8"/>
        <v>0.84499999999999997</v>
      </c>
      <c r="AB4" s="1">
        <f t="shared" si="9"/>
        <v>0.99</v>
      </c>
      <c r="AC4" s="1">
        <f t="shared" si="10"/>
        <v>600</v>
      </c>
      <c r="AD4" s="1">
        <f t="shared" si="11"/>
        <v>0.82833333333333337</v>
      </c>
    </row>
    <row r="5" spans="1:38" x14ac:dyDescent="0.3">
      <c r="A5" s="1"/>
      <c r="B5" s="1" t="s">
        <v>32</v>
      </c>
      <c r="C5" s="1" t="s">
        <v>33</v>
      </c>
      <c r="D5" s="1" t="s">
        <v>34</v>
      </c>
      <c r="E5" s="1" t="s">
        <v>35</v>
      </c>
      <c r="F5" s="1"/>
      <c r="G5" s="1">
        <v>138</v>
      </c>
      <c r="H5" s="1">
        <v>44</v>
      </c>
      <c r="I5" s="1">
        <v>18</v>
      </c>
      <c r="J5" s="1">
        <v>14</v>
      </c>
      <c r="K5" s="1">
        <v>171</v>
      </c>
      <c r="L5" s="1">
        <v>15</v>
      </c>
      <c r="M5" s="1">
        <v>4</v>
      </c>
      <c r="N5" s="1">
        <v>1</v>
      </c>
      <c r="O5" s="1">
        <v>195</v>
      </c>
      <c r="P5" s="1">
        <f t="shared" si="0"/>
        <v>504</v>
      </c>
      <c r="Q5" s="1">
        <f t="shared" si="1"/>
        <v>156</v>
      </c>
      <c r="R5" s="1">
        <f t="shared" si="2"/>
        <v>216</v>
      </c>
      <c r="S5" s="1">
        <f t="shared" si="3"/>
        <v>228</v>
      </c>
      <c r="T5" s="1">
        <v>200</v>
      </c>
      <c r="U5" s="1">
        <v>200</v>
      </c>
      <c r="V5" s="1">
        <v>200</v>
      </c>
      <c r="W5" s="1">
        <f t="shared" si="4"/>
        <v>0.88461538461538458</v>
      </c>
      <c r="X5" s="1">
        <f t="shared" si="5"/>
        <v>0.79166666666666663</v>
      </c>
      <c r="Y5" s="1">
        <f t="shared" si="6"/>
        <v>0.85526315789473684</v>
      </c>
      <c r="Z5" s="1">
        <f t="shared" si="7"/>
        <v>0.69</v>
      </c>
      <c r="AA5" s="1">
        <f t="shared" si="8"/>
        <v>0.85499999999999998</v>
      </c>
      <c r="AB5" s="1">
        <f t="shared" si="9"/>
        <v>0.97499999999999998</v>
      </c>
      <c r="AC5" s="1">
        <f t="shared" si="10"/>
        <v>600</v>
      </c>
      <c r="AD5" s="1">
        <f t="shared" si="11"/>
        <v>0.84</v>
      </c>
    </row>
    <row r="6" spans="1:38" x14ac:dyDescent="0.3">
      <c r="A6" s="1" t="s">
        <v>33</v>
      </c>
      <c r="B6" s="1" t="s">
        <v>36</v>
      </c>
      <c r="C6" s="1">
        <v>133</v>
      </c>
      <c r="D6" s="1">
        <v>50</v>
      </c>
      <c r="E6" s="1">
        <v>17</v>
      </c>
      <c r="F6" s="1"/>
      <c r="G6" s="1">
        <v>119</v>
      </c>
      <c r="H6" s="1">
        <v>57</v>
      </c>
      <c r="I6" s="1">
        <v>24</v>
      </c>
      <c r="J6" s="1">
        <v>11</v>
      </c>
      <c r="K6" s="1">
        <v>180</v>
      </c>
      <c r="L6" s="1">
        <v>9</v>
      </c>
      <c r="M6" s="1">
        <v>0</v>
      </c>
      <c r="N6" s="1">
        <v>1</v>
      </c>
      <c r="O6" s="1">
        <v>199</v>
      </c>
      <c r="P6" s="1">
        <f t="shared" si="0"/>
        <v>498</v>
      </c>
      <c r="Q6" s="1">
        <f t="shared" si="1"/>
        <v>130</v>
      </c>
      <c r="R6" s="1">
        <f t="shared" si="2"/>
        <v>238</v>
      </c>
      <c r="S6" s="1">
        <f t="shared" si="3"/>
        <v>232</v>
      </c>
      <c r="T6" s="1">
        <v>200</v>
      </c>
      <c r="U6" s="1">
        <v>200</v>
      </c>
      <c r="V6" s="1">
        <v>200</v>
      </c>
      <c r="W6" s="1">
        <f t="shared" si="4"/>
        <v>0.91538461538461535</v>
      </c>
      <c r="X6" s="1">
        <f t="shared" si="5"/>
        <v>0.75630252100840334</v>
      </c>
      <c r="Y6" s="1">
        <f t="shared" si="6"/>
        <v>0.85775862068965514</v>
      </c>
      <c r="Z6" s="1">
        <f t="shared" si="7"/>
        <v>0.59499999999999997</v>
      </c>
      <c r="AA6" s="1">
        <f t="shared" si="8"/>
        <v>0.9</v>
      </c>
      <c r="AB6" s="1">
        <f t="shared" si="9"/>
        <v>0.995</v>
      </c>
      <c r="AC6" s="1">
        <f t="shared" si="10"/>
        <v>600</v>
      </c>
      <c r="AD6" s="1">
        <f t="shared" si="11"/>
        <v>0.83</v>
      </c>
    </row>
    <row r="7" spans="1:38" x14ac:dyDescent="0.3">
      <c r="A7" s="1" t="s">
        <v>34</v>
      </c>
      <c r="B7" s="1" t="s">
        <v>36</v>
      </c>
      <c r="C7" s="1">
        <v>19</v>
      </c>
      <c r="D7" s="1">
        <v>175</v>
      </c>
      <c r="E7" s="1">
        <v>6</v>
      </c>
      <c r="F7" s="1"/>
      <c r="G7" s="1">
        <v>134</v>
      </c>
      <c r="H7" s="1">
        <v>49</v>
      </c>
      <c r="I7" s="1">
        <v>17</v>
      </c>
      <c r="J7" s="1">
        <v>29</v>
      </c>
      <c r="K7" s="1">
        <v>160</v>
      </c>
      <c r="L7" s="1">
        <v>11</v>
      </c>
      <c r="M7" s="1">
        <v>1</v>
      </c>
      <c r="N7" s="1">
        <v>0</v>
      </c>
      <c r="O7" s="1">
        <v>199</v>
      </c>
      <c r="P7" s="1">
        <f t="shared" si="0"/>
        <v>493</v>
      </c>
      <c r="Q7" s="1">
        <f t="shared" si="1"/>
        <v>164</v>
      </c>
      <c r="R7" s="1">
        <f t="shared" si="2"/>
        <v>209</v>
      </c>
      <c r="S7" s="1">
        <f t="shared" si="3"/>
        <v>227</v>
      </c>
      <c r="T7" s="1">
        <v>200</v>
      </c>
      <c r="U7" s="1">
        <v>200</v>
      </c>
      <c r="V7" s="1">
        <v>200</v>
      </c>
      <c r="W7" s="1">
        <f t="shared" si="4"/>
        <v>0.81707317073170727</v>
      </c>
      <c r="X7" s="1">
        <f t="shared" si="5"/>
        <v>0.76555023923444976</v>
      </c>
      <c r="Y7" s="1">
        <f t="shared" si="6"/>
        <v>0.87665198237885467</v>
      </c>
      <c r="Z7" s="1">
        <f t="shared" si="7"/>
        <v>0.67</v>
      </c>
      <c r="AA7" s="1">
        <f t="shared" si="8"/>
        <v>0.8</v>
      </c>
      <c r="AB7" s="1">
        <f t="shared" si="9"/>
        <v>0.995</v>
      </c>
      <c r="AC7" s="1">
        <f t="shared" si="10"/>
        <v>600</v>
      </c>
      <c r="AD7" s="1">
        <f t="shared" si="11"/>
        <v>0.82166666666666666</v>
      </c>
    </row>
    <row r="8" spans="1:38" x14ac:dyDescent="0.3">
      <c r="A8" s="1" t="s">
        <v>35</v>
      </c>
      <c r="B8" s="1" t="s">
        <v>36</v>
      </c>
      <c r="C8" s="1">
        <v>1</v>
      </c>
      <c r="D8" s="1">
        <v>1</v>
      </c>
      <c r="E8" s="1">
        <v>198</v>
      </c>
      <c r="F8" s="1"/>
      <c r="G8" s="1">
        <v>148</v>
      </c>
      <c r="H8" s="1">
        <v>38</v>
      </c>
      <c r="I8" s="1">
        <v>14</v>
      </c>
      <c r="J8" s="1">
        <v>16</v>
      </c>
      <c r="K8" s="1">
        <v>175</v>
      </c>
      <c r="L8" s="1">
        <v>9</v>
      </c>
      <c r="M8" s="1">
        <v>0</v>
      </c>
      <c r="N8" s="1">
        <v>1</v>
      </c>
      <c r="O8" s="1">
        <v>199</v>
      </c>
      <c r="P8" s="1">
        <f t="shared" si="0"/>
        <v>522</v>
      </c>
      <c r="Q8" s="1">
        <f t="shared" si="1"/>
        <v>164</v>
      </c>
      <c r="R8" s="1">
        <f t="shared" si="2"/>
        <v>214</v>
      </c>
      <c r="S8" s="1">
        <f t="shared" si="3"/>
        <v>222</v>
      </c>
      <c r="T8" s="1">
        <v>200</v>
      </c>
      <c r="U8" s="1">
        <v>200</v>
      </c>
      <c r="V8" s="1">
        <v>200</v>
      </c>
      <c r="W8" s="1">
        <f t="shared" si="4"/>
        <v>0.90243902439024393</v>
      </c>
      <c r="X8" s="1">
        <f t="shared" si="5"/>
        <v>0.81775700934579443</v>
      </c>
      <c r="Y8" s="1">
        <f t="shared" si="6"/>
        <v>0.89639639639639634</v>
      </c>
      <c r="Z8" s="1">
        <f t="shared" si="7"/>
        <v>0.74</v>
      </c>
      <c r="AA8" s="1">
        <f t="shared" si="8"/>
        <v>0.875</v>
      </c>
      <c r="AB8" s="1">
        <f t="shared" si="9"/>
        <v>0.995</v>
      </c>
      <c r="AC8" s="1">
        <f t="shared" si="10"/>
        <v>600</v>
      </c>
      <c r="AD8" s="1">
        <f t="shared" si="11"/>
        <v>0.87</v>
      </c>
    </row>
    <row r="9" spans="1:38" x14ac:dyDescent="0.3">
      <c r="A9" s="1"/>
      <c r="B9" s="1" t="s">
        <v>32</v>
      </c>
      <c r="C9" s="1" t="s">
        <v>33</v>
      </c>
      <c r="D9" s="1" t="s">
        <v>34</v>
      </c>
      <c r="E9" s="1" t="s">
        <v>35</v>
      </c>
      <c r="F9" s="1"/>
      <c r="G9" s="1">
        <v>154</v>
      </c>
      <c r="H9" s="1">
        <v>34</v>
      </c>
      <c r="I9" s="1">
        <v>12</v>
      </c>
      <c r="J9" s="1">
        <v>35</v>
      </c>
      <c r="K9" s="1">
        <v>155</v>
      </c>
      <c r="L9" s="1">
        <v>10</v>
      </c>
      <c r="M9" s="1">
        <v>1</v>
      </c>
      <c r="N9" s="1">
        <v>0</v>
      </c>
      <c r="O9" s="1">
        <v>199</v>
      </c>
      <c r="P9" s="1">
        <f t="shared" si="0"/>
        <v>508</v>
      </c>
      <c r="Q9" s="1">
        <f t="shared" si="1"/>
        <v>190</v>
      </c>
      <c r="R9" s="1">
        <f t="shared" si="2"/>
        <v>189</v>
      </c>
      <c r="S9" s="1">
        <f t="shared" si="3"/>
        <v>221</v>
      </c>
      <c r="T9" s="1">
        <v>200</v>
      </c>
      <c r="U9" s="1">
        <v>200</v>
      </c>
      <c r="V9" s="1">
        <v>200</v>
      </c>
      <c r="W9" s="1">
        <f t="shared" si="4"/>
        <v>0.81052631578947365</v>
      </c>
      <c r="X9" s="1">
        <f t="shared" si="5"/>
        <v>0.82010582010582012</v>
      </c>
      <c r="Y9" s="1">
        <f t="shared" si="6"/>
        <v>0.90045248868778283</v>
      </c>
      <c r="Z9" s="1">
        <f t="shared" si="7"/>
        <v>0.77</v>
      </c>
      <c r="AA9" s="1">
        <f t="shared" si="8"/>
        <v>0.77500000000000002</v>
      </c>
      <c r="AB9" s="1">
        <f t="shared" si="9"/>
        <v>0.995</v>
      </c>
      <c r="AC9" s="1">
        <f t="shared" si="10"/>
        <v>600</v>
      </c>
      <c r="AD9" s="1">
        <f t="shared" si="11"/>
        <v>0.84666666666666668</v>
      </c>
    </row>
    <row r="10" spans="1:38" x14ac:dyDescent="0.3">
      <c r="A10" s="1" t="s">
        <v>33</v>
      </c>
      <c r="B10" s="1" t="s">
        <v>36</v>
      </c>
      <c r="C10" s="1">
        <v>130</v>
      </c>
      <c r="D10" s="1">
        <v>48</v>
      </c>
      <c r="E10" s="1">
        <v>22</v>
      </c>
      <c r="F10" s="1"/>
      <c r="G10" s="1">
        <v>150</v>
      </c>
      <c r="H10" s="1">
        <v>29</v>
      </c>
      <c r="I10" s="1">
        <v>21</v>
      </c>
      <c r="J10" s="1">
        <v>27</v>
      </c>
      <c r="K10" s="1">
        <v>165</v>
      </c>
      <c r="L10" s="1">
        <v>8</v>
      </c>
      <c r="M10" s="1">
        <v>0</v>
      </c>
      <c r="N10" s="1">
        <v>0</v>
      </c>
      <c r="O10" s="1">
        <v>200</v>
      </c>
      <c r="P10" s="1">
        <f t="shared" si="0"/>
        <v>515</v>
      </c>
      <c r="Q10" s="1">
        <f t="shared" si="1"/>
        <v>177</v>
      </c>
      <c r="R10" s="1">
        <f t="shared" si="2"/>
        <v>194</v>
      </c>
      <c r="S10" s="1">
        <f t="shared" si="3"/>
        <v>229</v>
      </c>
      <c r="T10" s="1">
        <v>200</v>
      </c>
      <c r="U10" s="1">
        <v>200</v>
      </c>
      <c r="V10" s="1">
        <v>200</v>
      </c>
      <c r="W10" s="1">
        <f t="shared" si="4"/>
        <v>0.84745762711864403</v>
      </c>
      <c r="X10" s="1">
        <f t="shared" si="5"/>
        <v>0.85051546391752575</v>
      </c>
      <c r="Y10" s="1">
        <f t="shared" si="6"/>
        <v>0.8733624454148472</v>
      </c>
      <c r="Z10" s="1">
        <f t="shared" si="7"/>
        <v>0.75</v>
      </c>
      <c r="AA10" s="1">
        <f t="shared" si="8"/>
        <v>0.82499999999999996</v>
      </c>
      <c r="AB10" s="1">
        <f t="shared" si="9"/>
        <v>1</v>
      </c>
      <c r="AC10" s="1">
        <f t="shared" si="10"/>
        <v>600</v>
      </c>
      <c r="AD10" s="1">
        <f t="shared" si="11"/>
        <v>0.85833333333333328</v>
      </c>
    </row>
    <row r="11" spans="1:38" x14ac:dyDescent="0.3">
      <c r="A11" s="1" t="s">
        <v>34</v>
      </c>
      <c r="B11" s="1" t="s">
        <v>36</v>
      </c>
      <c r="C11" s="1">
        <v>22</v>
      </c>
      <c r="D11" s="1">
        <v>169</v>
      </c>
      <c r="E11" s="1">
        <v>9</v>
      </c>
      <c r="F11" s="1"/>
      <c r="G11" s="1">
        <v>137</v>
      </c>
      <c r="H11" s="1">
        <v>42</v>
      </c>
      <c r="I11">
        <v>21</v>
      </c>
      <c r="J11">
        <v>30</v>
      </c>
      <c r="K11">
        <v>154</v>
      </c>
      <c r="L11">
        <v>16</v>
      </c>
      <c r="M11">
        <v>2</v>
      </c>
      <c r="N11">
        <v>0</v>
      </c>
      <c r="O11">
        <v>198</v>
      </c>
      <c r="P11" s="1">
        <f t="shared" si="0"/>
        <v>489</v>
      </c>
      <c r="Q11" s="1">
        <f t="shared" si="1"/>
        <v>169</v>
      </c>
      <c r="R11" s="1">
        <f t="shared" si="2"/>
        <v>196</v>
      </c>
      <c r="S11" s="1">
        <f t="shared" si="3"/>
        <v>235</v>
      </c>
      <c r="T11" s="1">
        <v>200</v>
      </c>
      <c r="U11" s="1">
        <v>200</v>
      </c>
      <c r="V11" s="1">
        <v>200</v>
      </c>
      <c r="W11" s="1">
        <f t="shared" si="4"/>
        <v>0.81065088757396453</v>
      </c>
      <c r="X11" s="1">
        <f t="shared" si="5"/>
        <v>0.7857142857142857</v>
      </c>
      <c r="Y11" s="1">
        <f t="shared" si="6"/>
        <v>0.8425531914893617</v>
      </c>
      <c r="Z11" s="1">
        <f t="shared" si="7"/>
        <v>0.68500000000000005</v>
      </c>
      <c r="AA11" s="1">
        <f t="shared" si="8"/>
        <v>0.77</v>
      </c>
      <c r="AB11" s="1">
        <f t="shared" si="9"/>
        <v>0.99</v>
      </c>
      <c r="AC11" s="1">
        <f t="shared" si="10"/>
        <v>600</v>
      </c>
      <c r="AD11" s="1">
        <f t="shared" si="11"/>
        <v>0.81499999999999995</v>
      </c>
    </row>
    <row r="12" spans="1:38" x14ac:dyDescent="0.3">
      <c r="A12" s="1" t="s">
        <v>35</v>
      </c>
      <c r="B12" s="1" t="s">
        <v>36</v>
      </c>
      <c r="C12" s="1">
        <v>2</v>
      </c>
      <c r="D12" s="1">
        <v>0</v>
      </c>
      <c r="E12" s="1">
        <v>198</v>
      </c>
      <c r="F12" s="1"/>
      <c r="G12" s="1">
        <v>130</v>
      </c>
      <c r="H12" s="1">
        <v>42</v>
      </c>
      <c r="I12">
        <v>28</v>
      </c>
      <c r="J12">
        <v>26</v>
      </c>
      <c r="K12">
        <v>160</v>
      </c>
      <c r="L12">
        <v>14</v>
      </c>
      <c r="M12">
        <v>1</v>
      </c>
      <c r="N12">
        <v>3</v>
      </c>
      <c r="O12">
        <v>196</v>
      </c>
      <c r="P12" s="1">
        <f t="shared" si="0"/>
        <v>486</v>
      </c>
      <c r="Q12" s="1">
        <f t="shared" si="1"/>
        <v>157</v>
      </c>
      <c r="R12" s="1">
        <f t="shared" si="2"/>
        <v>205</v>
      </c>
      <c r="S12" s="1">
        <f t="shared" si="3"/>
        <v>238</v>
      </c>
      <c r="T12" s="1">
        <v>200</v>
      </c>
      <c r="U12" s="1">
        <v>200</v>
      </c>
      <c r="V12" s="1">
        <v>200</v>
      </c>
      <c r="W12" s="1">
        <f t="shared" si="4"/>
        <v>0.82802547770700641</v>
      </c>
      <c r="X12" s="1">
        <f t="shared" si="5"/>
        <v>0.78048780487804881</v>
      </c>
      <c r="Y12" s="1">
        <f t="shared" si="6"/>
        <v>0.82352941176470584</v>
      </c>
      <c r="Z12" s="1">
        <f t="shared" si="7"/>
        <v>0.65</v>
      </c>
      <c r="AA12" s="1">
        <f t="shared" si="8"/>
        <v>0.8</v>
      </c>
      <c r="AB12" s="1">
        <f t="shared" si="9"/>
        <v>0.98</v>
      </c>
      <c r="AC12" s="1">
        <f t="shared" si="10"/>
        <v>600</v>
      </c>
      <c r="AD12" s="1">
        <f t="shared" si="11"/>
        <v>0.81</v>
      </c>
    </row>
    <row r="13" spans="1:38" x14ac:dyDescent="0.3">
      <c r="A13" s="1"/>
      <c r="B13" s="1" t="s">
        <v>32</v>
      </c>
      <c r="C13" s="1" t="s">
        <v>33</v>
      </c>
      <c r="D13" s="1" t="s">
        <v>34</v>
      </c>
      <c r="E13" s="1" t="s">
        <v>35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8" x14ac:dyDescent="0.3">
      <c r="A14" s="1" t="s">
        <v>33</v>
      </c>
      <c r="B14" s="1" t="s">
        <v>36</v>
      </c>
      <c r="C14" s="1">
        <v>138</v>
      </c>
      <c r="D14" s="1">
        <v>44</v>
      </c>
      <c r="E14" s="1">
        <v>18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8" x14ac:dyDescent="0.3">
      <c r="A15" s="1" t="s">
        <v>34</v>
      </c>
      <c r="B15" s="1" t="s">
        <v>36</v>
      </c>
      <c r="C15" s="1">
        <v>14</v>
      </c>
      <c r="D15" s="1">
        <v>171</v>
      </c>
      <c r="E15" s="1">
        <v>15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8" x14ac:dyDescent="0.3">
      <c r="A16" s="1" t="s">
        <v>35</v>
      </c>
      <c r="B16" s="1" t="s">
        <v>36</v>
      </c>
      <c r="C16" s="1">
        <v>4</v>
      </c>
      <c r="D16" s="1">
        <v>1</v>
      </c>
      <c r="E16" s="1">
        <v>195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x14ac:dyDescent="0.3">
      <c r="A17" s="1"/>
      <c r="B17" s="1" t="s">
        <v>32</v>
      </c>
      <c r="C17" s="1" t="s">
        <v>33</v>
      </c>
      <c r="D17" s="1" t="s">
        <v>34</v>
      </c>
      <c r="E17" s="1" t="s">
        <v>35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x14ac:dyDescent="0.3">
      <c r="A18" s="1" t="s">
        <v>33</v>
      </c>
      <c r="B18" s="1" t="s">
        <v>36</v>
      </c>
      <c r="C18" s="1">
        <v>119</v>
      </c>
      <c r="D18" s="1">
        <v>57</v>
      </c>
      <c r="E18" s="1">
        <v>24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x14ac:dyDescent="0.3">
      <c r="A19" s="1" t="s">
        <v>34</v>
      </c>
      <c r="B19" s="1" t="s">
        <v>36</v>
      </c>
      <c r="C19" s="1">
        <v>11</v>
      </c>
      <c r="D19" s="1">
        <v>180</v>
      </c>
      <c r="E19" s="1">
        <v>9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x14ac:dyDescent="0.3">
      <c r="A20" s="1" t="s">
        <v>35</v>
      </c>
      <c r="B20" s="1" t="s">
        <v>36</v>
      </c>
      <c r="C20" s="1">
        <v>0</v>
      </c>
      <c r="D20" s="1">
        <v>1</v>
      </c>
      <c r="E20" s="1">
        <v>199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x14ac:dyDescent="0.3">
      <c r="A21" s="1"/>
      <c r="B21" s="1" t="s">
        <v>32</v>
      </c>
      <c r="C21" s="1" t="s">
        <v>33</v>
      </c>
      <c r="D21" s="1" t="s">
        <v>34</v>
      </c>
      <c r="E21" s="1" t="s">
        <v>35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x14ac:dyDescent="0.3">
      <c r="A22" s="1" t="s">
        <v>33</v>
      </c>
      <c r="B22" s="1" t="s">
        <v>36</v>
      </c>
      <c r="C22" s="1">
        <v>134</v>
      </c>
      <c r="D22" s="1">
        <v>49</v>
      </c>
      <c r="E22" s="1">
        <v>17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x14ac:dyDescent="0.3">
      <c r="A23" s="1" t="s">
        <v>34</v>
      </c>
      <c r="B23" s="1" t="s">
        <v>36</v>
      </c>
      <c r="C23" s="1">
        <v>29</v>
      </c>
      <c r="D23" s="1">
        <v>160</v>
      </c>
      <c r="E23" s="1">
        <v>11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x14ac:dyDescent="0.3">
      <c r="A24" s="1" t="s">
        <v>35</v>
      </c>
      <c r="B24" s="1" t="s">
        <v>36</v>
      </c>
      <c r="C24" s="1">
        <v>1</v>
      </c>
      <c r="D24" s="1">
        <v>0</v>
      </c>
      <c r="E24" s="1">
        <v>199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x14ac:dyDescent="0.3">
      <c r="A25" s="1"/>
      <c r="B25" s="1" t="s">
        <v>32</v>
      </c>
      <c r="C25" s="1" t="s">
        <v>33</v>
      </c>
      <c r="D25" s="1" t="s">
        <v>34</v>
      </c>
      <c r="E25" s="1" t="s">
        <v>35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x14ac:dyDescent="0.3">
      <c r="A26" s="1" t="s">
        <v>33</v>
      </c>
      <c r="B26" s="1" t="s">
        <v>36</v>
      </c>
      <c r="C26" s="1">
        <v>148</v>
      </c>
      <c r="D26" s="1">
        <v>38</v>
      </c>
      <c r="E26" s="1">
        <v>14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x14ac:dyDescent="0.3">
      <c r="A27" s="1" t="s">
        <v>34</v>
      </c>
      <c r="B27" s="1" t="s">
        <v>36</v>
      </c>
      <c r="C27" s="1">
        <v>16</v>
      </c>
      <c r="D27" s="1">
        <v>175</v>
      </c>
      <c r="E27" s="1">
        <v>9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x14ac:dyDescent="0.3">
      <c r="A28" s="1" t="s">
        <v>35</v>
      </c>
      <c r="B28" s="1" t="s">
        <v>36</v>
      </c>
      <c r="C28" s="1">
        <v>0</v>
      </c>
      <c r="D28" s="1">
        <v>1</v>
      </c>
      <c r="E28" s="1">
        <v>199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x14ac:dyDescent="0.3">
      <c r="A29" s="1"/>
      <c r="B29" s="1" t="s">
        <v>32</v>
      </c>
      <c r="C29" s="1" t="s">
        <v>33</v>
      </c>
      <c r="D29" s="1" t="s">
        <v>34</v>
      </c>
      <c r="E29" s="1" t="s">
        <v>35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x14ac:dyDescent="0.3">
      <c r="A30" s="1" t="s">
        <v>33</v>
      </c>
      <c r="B30" s="1" t="s">
        <v>36</v>
      </c>
      <c r="C30" s="1">
        <v>154</v>
      </c>
      <c r="D30" s="1">
        <v>34</v>
      </c>
      <c r="E30" s="1">
        <v>12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x14ac:dyDescent="0.3">
      <c r="A31" s="1" t="s">
        <v>34</v>
      </c>
      <c r="B31" s="1" t="s">
        <v>36</v>
      </c>
      <c r="C31" s="1">
        <v>35</v>
      </c>
      <c r="D31" s="1">
        <v>155</v>
      </c>
      <c r="E31" s="1">
        <v>10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x14ac:dyDescent="0.3">
      <c r="A32" s="1" t="s">
        <v>35</v>
      </c>
      <c r="B32" s="1" t="s">
        <v>36</v>
      </c>
      <c r="C32" s="1">
        <v>1</v>
      </c>
      <c r="D32" s="1">
        <v>0</v>
      </c>
      <c r="E32" s="1">
        <v>199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x14ac:dyDescent="0.3">
      <c r="A33" s="1"/>
      <c r="B33" s="1" t="s">
        <v>32</v>
      </c>
      <c r="C33" s="1" t="s">
        <v>33</v>
      </c>
      <c r="D33" s="1" t="s">
        <v>34</v>
      </c>
      <c r="E33" s="1" t="s">
        <v>35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x14ac:dyDescent="0.3">
      <c r="A34" s="1" t="s">
        <v>33</v>
      </c>
      <c r="B34" s="1" t="s">
        <v>36</v>
      </c>
      <c r="C34" s="1">
        <v>150</v>
      </c>
      <c r="D34" s="1">
        <v>29</v>
      </c>
      <c r="E34" s="1">
        <v>21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x14ac:dyDescent="0.3">
      <c r="A35" s="1" t="s">
        <v>34</v>
      </c>
      <c r="B35" s="1" t="s">
        <v>36</v>
      </c>
      <c r="C35" s="1">
        <v>27</v>
      </c>
      <c r="D35" s="1">
        <v>165</v>
      </c>
      <c r="E35" s="1">
        <v>8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x14ac:dyDescent="0.3">
      <c r="A36" s="1" t="s">
        <v>35</v>
      </c>
      <c r="B36" s="1" t="s">
        <v>36</v>
      </c>
      <c r="C36" s="1">
        <v>0</v>
      </c>
      <c r="D36" s="1">
        <v>0</v>
      </c>
      <c r="E36" s="1">
        <v>200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x14ac:dyDescent="0.3">
      <c r="A37" s="1"/>
      <c r="B37" s="1" t="s">
        <v>32</v>
      </c>
      <c r="C37" s="1" t="s">
        <v>33</v>
      </c>
      <c r="D37" s="1" t="s">
        <v>34</v>
      </c>
      <c r="E37" s="1" t="s">
        <v>35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x14ac:dyDescent="0.3">
      <c r="A38" t="s">
        <v>33</v>
      </c>
      <c r="B38" t="s">
        <v>36</v>
      </c>
      <c r="C38">
        <v>137</v>
      </c>
      <c r="D38">
        <v>42</v>
      </c>
      <c r="E38">
        <v>21</v>
      </c>
    </row>
    <row r="39" spans="1:30" x14ac:dyDescent="0.3">
      <c r="A39" t="s">
        <v>34</v>
      </c>
      <c r="B39" t="s">
        <v>36</v>
      </c>
      <c r="C39">
        <v>30</v>
      </c>
      <c r="D39">
        <v>154</v>
      </c>
      <c r="E39">
        <v>16</v>
      </c>
    </row>
    <row r="40" spans="1:30" x14ac:dyDescent="0.3">
      <c r="A40" t="s">
        <v>35</v>
      </c>
      <c r="B40" t="s">
        <v>36</v>
      </c>
      <c r="C40">
        <v>2</v>
      </c>
      <c r="D40">
        <v>0</v>
      </c>
      <c r="E40">
        <v>198</v>
      </c>
    </row>
    <row r="41" spans="1:30" x14ac:dyDescent="0.3">
      <c r="B41" t="s">
        <v>32</v>
      </c>
      <c r="C41" t="s">
        <v>33</v>
      </c>
      <c r="D41" t="s">
        <v>34</v>
      </c>
      <c r="E41" t="s">
        <v>35</v>
      </c>
    </row>
    <row r="42" spans="1:30" x14ac:dyDescent="0.3">
      <c r="A42" t="s">
        <v>33</v>
      </c>
      <c r="B42" t="s">
        <v>36</v>
      </c>
      <c r="C42">
        <v>130</v>
      </c>
      <c r="D42">
        <v>42</v>
      </c>
      <c r="E42">
        <v>28</v>
      </c>
    </row>
    <row r="43" spans="1:30" x14ac:dyDescent="0.3">
      <c r="A43" t="s">
        <v>34</v>
      </c>
      <c r="B43" t="s">
        <v>36</v>
      </c>
      <c r="C43">
        <v>26</v>
      </c>
      <c r="D43">
        <v>160</v>
      </c>
      <c r="E43">
        <v>14</v>
      </c>
    </row>
    <row r="44" spans="1:30" x14ac:dyDescent="0.3">
      <c r="A44" t="s">
        <v>35</v>
      </c>
      <c r="B44" t="s">
        <v>36</v>
      </c>
      <c r="C44">
        <v>1</v>
      </c>
      <c r="D44">
        <v>3</v>
      </c>
      <c r="E44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res_scrimin=0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Enzo Ubaldo Petrocco</cp:lastModifiedBy>
  <dcterms:created xsi:type="dcterms:W3CDTF">2026-01-28T20:01:03Z</dcterms:created>
  <dcterms:modified xsi:type="dcterms:W3CDTF">2026-03-05T21:03:51Z</dcterms:modified>
</cp:coreProperties>
</file>