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AdditionalModels\Discriminators\LF\0.2\CLSDIV\"/>
    </mc:Choice>
  </mc:AlternateContent>
  <xr:revisionPtr revIDLastSave="0" documentId="13_ncr:1_{B2530743-DEA9-4069-B45E-B12321AA0E98}" xr6:coauthVersionLast="47" xr6:coauthVersionMax="47" xr10:uidLastSave="{00000000-0000-0000-0000-000000000000}"/>
  <bookViews>
    <workbookView xWindow="-108" yWindow="-108" windowWidth="23256" windowHeight="12456" xr2:uid="{0F214021-6FB1-40D5-9709-F0BEE25B15FC}"/>
  </bookViews>
  <sheets>
    <sheet name="res_scrimin=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B2" i="1"/>
  <c r="AK2" i="1" s="1"/>
  <c r="AA2" i="1"/>
  <c r="AJ2" i="1" s="1"/>
  <c r="Z2" i="1"/>
  <c r="AI2" i="1" s="1"/>
  <c r="S2" i="1"/>
  <c r="Y2" i="1" s="1"/>
  <c r="AH2" i="1" s="1"/>
  <c r="R2" i="1"/>
  <c r="X2" i="1" s="1"/>
  <c r="AG2" i="1" s="1"/>
  <c r="Q2" i="1"/>
  <c r="W2" i="1" s="1"/>
  <c r="AF2" i="1" s="1"/>
  <c r="P2" i="1"/>
  <c r="AD2" i="1" s="1"/>
  <c r="AL2" i="1" s="1"/>
</calcChain>
</file>

<file path=xl/sharedStrings.xml><?xml version="1.0" encoding="utf-8"?>
<sst xmlns="http://schemas.openxmlformats.org/spreadsheetml/2006/main" count="142" uniqueCount="37">
  <si>
    <t>Procedo per riga (prima riga, poi seconda riga, …)</t>
  </si>
  <si>
    <t>R0C0</t>
  </si>
  <si>
    <t>R0C1</t>
  </si>
  <si>
    <t>R0C2</t>
  </si>
  <si>
    <t>R1C0</t>
  </si>
  <si>
    <t>R1C1</t>
  </si>
  <si>
    <t>R1C2</t>
  </si>
  <si>
    <t>R2C0</t>
  </si>
  <si>
    <t>R2C1</t>
  </si>
  <si>
    <t>R2C2</t>
  </si>
  <si>
    <t>DiagSum</t>
  </si>
  <si>
    <t>Col0Sum</t>
  </si>
  <si>
    <t>Col1Sum</t>
  </si>
  <si>
    <t>Col2Sum</t>
  </si>
  <si>
    <t>Row0Sum</t>
  </si>
  <si>
    <t>Row1Sum</t>
  </si>
  <si>
    <t>Row2Sum</t>
  </si>
  <si>
    <t>Precision0</t>
  </si>
  <si>
    <t>Precision1</t>
  </si>
  <si>
    <t>Precision2</t>
  </si>
  <si>
    <t>Recall0</t>
  </si>
  <si>
    <t>Recall1</t>
  </si>
  <si>
    <t>Recall2</t>
  </si>
  <si>
    <t>Tot</t>
  </si>
  <si>
    <t>Accuracy</t>
  </si>
  <si>
    <t>Prec0</t>
  </si>
  <si>
    <t>Prec1</t>
  </si>
  <si>
    <t>Prec2</t>
  </si>
  <si>
    <t>Rec0</t>
  </si>
  <si>
    <t>Rec1</t>
  </si>
  <si>
    <t>Rec2</t>
  </si>
  <si>
    <t>Acc</t>
  </si>
  <si>
    <t>Matrix</t>
  </si>
  <si>
    <t>Class 0</t>
  </si>
  <si>
    <t>Class 1</t>
  </si>
  <si>
    <t>Class 2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</si>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</sst>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7005-D29F-4A3A-8B33-A4338B8F6744}">
  <dimension ref="A1:AL52"/>
  <sheetViews>
    <sheetView tabSelected="1" zoomScale="44" workbookViewId="0">
      <selection activeCell="I2" sqref="I2:I12"/>
    </sheetView>
  </sheetViews>
  <sheetFormatPr defaultRowHeight="14.4" x14ac:dyDescent="0.3"/>
  <cols>
    <col min="1" max="2" width="8.88671875" customWidth="1"/>
  </cols>
  <sheetData>
    <row r="1" spans="1:38" x14ac:dyDescent="0.3">
      <c r="A1" s="1"/>
      <c r="B1" s="1" t="s">
        <v>32</v>
      </c>
      <c r="C1" s="1" t="s">
        <v>33</v>
      </c>
      <c r="D1" s="1" t="s">
        <v>34</v>
      </c>
      <c r="E1" s="1" t="s">
        <v>35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</row>
    <row r="2" spans="1:38" x14ac:dyDescent="0.3">
      <c r="A2" s="1" t="s">
        <v>33</v>
      </c>
      <c r="B2" s="1" t="s">
        <v>36</v>
      </c>
      <c r="C2" s="1">
        <v>125</v>
      </c>
      <c r="D2" s="1">
        <v>72</v>
      </c>
      <c r="E2" s="1">
        <v>3</v>
      </c>
      <c r="F2" s="1"/>
      <c r="G2" s="1">
        <v>125</v>
      </c>
      <c r="H2" s="1">
        <v>72</v>
      </c>
      <c r="I2" s="1">
        <v>3</v>
      </c>
      <c r="J2" s="1"/>
      <c r="K2" s="1"/>
      <c r="L2" s="1"/>
      <c r="M2" s="1"/>
      <c r="N2" s="1"/>
      <c r="O2" s="1"/>
      <c r="P2" s="1">
        <f>G2+K2+O2</f>
        <v>125</v>
      </c>
      <c r="Q2" s="1">
        <f>G2+J2+M2</f>
        <v>125</v>
      </c>
      <c r="R2" s="1">
        <f>H2+K2+N2</f>
        <v>72</v>
      </c>
      <c r="S2" s="1">
        <f>I2+L2+O2</f>
        <v>3</v>
      </c>
      <c r="T2" s="1">
        <v>200</v>
      </c>
      <c r="U2" s="1">
        <v>200</v>
      </c>
      <c r="V2" s="1">
        <v>200</v>
      </c>
      <c r="W2" s="1">
        <f>G2/Q2</f>
        <v>1</v>
      </c>
      <c r="X2" s="1">
        <f>K2/R2</f>
        <v>0</v>
      </c>
      <c r="Y2" s="1">
        <f>O2/S2</f>
        <v>0</v>
      </c>
      <c r="Z2" s="1">
        <f>G2/T2</f>
        <v>0.625</v>
      </c>
      <c r="AA2" s="1">
        <f>K2/U2</f>
        <v>0</v>
      </c>
      <c r="AB2" s="1">
        <f>O2/V2</f>
        <v>0</v>
      </c>
      <c r="AC2" s="1">
        <f>SUM(T2:V2)</f>
        <v>600</v>
      </c>
      <c r="AD2" s="1">
        <f>P2/AC2</f>
        <v>0.20833333333333334</v>
      </c>
      <c r="AF2">
        <f t="shared" ref="AF2:AK2" si="0">AVERAGE(W2:W10)</f>
        <v>1</v>
      </c>
      <c r="AG2">
        <f t="shared" si="0"/>
        <v>0</v>
      </c>
      <c r="AH2">
        <f t="shared" si="0"/>
        <v>0</v>
      </c>
      <c r="AI2">
        <f t="shared" si="0"/>
        <v>0.625</v>
      </c>
      <c r="AJ2">
        <f t="shared" si="0"/>
        <v>0</v>
      </c>
      <c r="AK2">
        <f t="shared" si="0"/>
        <v>0</v>
      </c>
      <c r="AL2">
        <f>AVERAGE(AD2:AD10)</f>
        <v>0.20833333333333334</v>
      </c>
    </row>
    <row r="3" spans="1:38" x14ac:dyDescent="0.3">
      <c r="A3" s="1" t="s">
        <v>34</v>
      </c>
      <c r="B3" s="1" t="s">
        <v>36</v>
      </c>
      <c r="C3" s="1">
        <v>13</v>
      </c>
      <c r="D3" s="1">
        <v>184</v>
      </c>
      <c r="E3" s="1">
        <v>3</v>
      </c>
      <c r="F3" s="1"/>
      <c r="G3" s="1">
        <v>140</v>
      </c>
      <c r="H3" s="1">
        <v>59</v>
      </c>
      <c r="I3" s="1">
        <v>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8" x14ac:dyDescent="0.3">
      <c r="A4" s="1" t="s">
        <v>35</v>
      </c>
      <c r="B4" s="1" t="s">
        <v>36</v>
      </c>
      <c r="C4" s="1">
        <v>5</v>
      </c>
      <c r="D4" s="1">
        <v>15</v>
      </c>
      <c r="E4" s="1">
        <v>180</v>
      </c>
      <c r="F4" s="1"/>
      <c r="G4" s="1">
        <v>119</v>
      </c>
      <c r="H4" s="1">
        <v>75</v>
      </c>
      <c r="I4" s="1">
        <v>6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8" x14ac:dyDescent="0.3">
      <c r="A5" s="1"/>
      <c r="B5" s="1"/>
      <c r="C5" s="1"/>
      <c r="D5" s="1"/>
      <c r="E5" s="1"/>
      <c r="F5" s="1"/>
      <c r="G5" s="1">
        <v>110</v>
      </c>
      <c r="H5" s="1">
        <v>83</v>
      </c>
      <c r="I5" s="1">
        <v>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8" x14ac:dyDescent="0.3">
      <c r="A6" s="1"/>
      <c r="B6" s="1" t="s">
        <v>32</v>
      </c>
      <c r="C6" s="1" t="s">
        <v>33</v>
      </c>
      <c r="D6" s="1" t="s">
        <v>34</v>
      </c>
      <c r="E6" s="1" t="s">
        <v>35</v>
      </c>
      <c r="F6" s="1"/>
      <c r="G6" s="1">
        <v>113</v>
      </c>
      <c r="H6" s="1">
        <v>82</v>
      </c>
      <c r="I6" s="1">
        <v>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8" x14ac:dyDescent="0.3">
      <c r="A7" s="1" t="s">
        <v>33</v>
      </c>
      <c r="B7" s="1" t="s">
        <v>36</v>
      </c>
      <c r="C7" s="1">
        <v>140</v>
      </c>
      <c r="D7" s="1">
        <v>59</v>
      </c>
      <c r="E7" s="1">
        <v>1</v>
      </c>
      <c r="F7" s="1"/>
      <c r="G7" s="1">
        <v>107</v>
      </c>
      <c r="H7" s="1">
        <v>83</v>
      </c>
      <c r="I7" s="1">
        <v>10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8" x14ac:dyDescent="0.3">
      <c r="A8" s="1" t="s">
        <v>34</v>
      </c>
      <c r="B8" s="1" t="s">
        <v>36</v>
      </c>
      <c r="C8" s="1">
        <v>4</v>
      </c>
      <c r="D8" s="1">
        <v>191</v>
      </c>
      <c r="E8" s="1">
        <v>5</v>
      </c>
      <c r="F8" s="1"/>
      <c r="G8" s="1">
        <v>85</v>
      </c>
      <c r="H8" s="1">
        <v>108</v>
      </c>
      <c r="I8" s="1">
        <v>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8" x14ac:dyDescent="0.3">
      <c r="A9" s="1" t="s">
        <v>35</v>
      </c>
      <c r="B9" s="1" t="s">
        <v>36</v>
      </c>
      <c r="C9" s="1">
        <v>6</v>
      </c>
      <c r="D9" s="1">
        <v>11</v>
      </c>
      <c r="E9" s="1">
        <v>183</v>
      </c>
      <c r="F9" s="1"/>
      <c r="G9" s="1">
        <v>117</v>
      </c>
      <c r="H9" s="1">
        <v>82</v>
      </c>
      <c r="I9" s="1">
        <v>1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8" x14ac:dyDescent="0.3">
      <c r="A10" s="1"/>
      <c r="B10" s="1"/>
      <c r="C10" s="1"/>
      <c r="D10" s="1"/>
      <c r="E10" s="1"/>
      <c r="F10" s="1"/>
      <c r="G10" s="1">
        <v>113</v>
      </c>
      <c r="H10" s="1">
        <v>83</v>
      </c>
      <c r="I10" s="1">
        <v>4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8" x14ac:dyDescent="0.3">
      <c r="A11" s="1"/>
      <c r="B11" s="1" t="s">
        <v>32</v>
      </c>
      <c r="C11" s="1" t="s">
        <v>33</v>
      </c>
      <c r="D11" s="1" t="s">
        <v>34</v>
      </c>
      <c r="E11" s="1" t="s">
        <v>35</v>
      </c>
      <c r="F11" s="1"/>
      <c r="G11" s="1">
        <v>101</v>
      </c>
      <c r="H11">
        <v>92</v>
      </c>
      <c r="I11">
        <v>7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8" x14ac:dyDescent="0.3">
      <c r="A12" s="1" t="s">
        <v>33</v>
      </c>
      <c r="B12" s="1" t="s">
        <v>36</v>
      </c>
      <c r="C12" s="1">
        <v>119</v>
      </c>
      <c r="D12" s="1">
        <v>75</v>
      </c>
      <c r="E12" s="1">
        <v>6</v>
      </c>
      <c r="F12" s="1"/>
      <c r="G12" s="1">
        <v>126</v>
      </c>
      <c r="H12">
        <v>72</v>
      </c>
      <c r="I12">
        <v>2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8" x14ac:dyDescent="0.3">
      <c r="A13" s="1" t="s">
        <v>34</v>
      </c>
      <c r="B13" s="1" t="s">
        <v>36</v>
      </c>
      <c r="C13" s="1">
        <v>4</v>
      </c>
      <c r="D13" s="1">
        <v>195</v>
      </c>
      <c r="E13" s="1">
        <v>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8" x14ac:dyDescent="0.3">
      <c r="A14" s="1" t="s">
        <v>35</v>
      </c>
      <c r="B14" s="1" t="s">
        <v>36</v>
      </c>
      <c r="C14" s="1">
        <v>4</v>
      </c>
      <c r="D14" s="1">
        <v>24</v>
      </c>
      <c r="E14" s="1">
        <v>172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8" x14ac:dyDescent="0.3">
      <c r="A15" s="1"/>
      <c r="B15" s="1" t="s">
        <v>32</v>
      </c>
      <c r="C15" s="1" t="s">
        <v>33</v>
      </c>
      <c r="D15" s="1" t="s">
        <v>34</v>
      </c>
      <c r="E15" s="1" t="s">
        <v>35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8" x14ac:dyDescent="0.3">
      <c r="A16" s="1" t="s">
        <v>33</v>
      </c>
      <c r="B16" s="1" t="s">
        <v>36</v>
      </c>
      <c r="C16" s="1">
        <v>110</v>
      </c>
      <c r="D16" s="1">
        <v>83</v>
      </c>
      <c r="E16" s="1">
        <v>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x14ac:dyDescent="0.3">
      <c r="A17" s="1" t="s">
        <v>34</v>
      </c>
      <c r="B17" s="1" t="s">
        <v>36</v>
      </c>
      <c r="C17" s="1">
        <v>6</v>
      </c>
      <c r="D17" s="1">
        <v>193</v>
      </c>
      <c r="E17" s="1">
        <v>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x14ac:dyDescent="0.3">
      <c r="A18" s="1" t="s">
        <v>35</v>
      </c>
      <c r="B18" s="1" t="s">
        <v>36</v>
      </c>
      <c r="C18" s="1">
        <v>3</v>
      </c>
      <c r="D18" s="1">
        <v>7</v>
      </c>
      <c r="E18" s="1">
        <v>190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x14ac:dyDescent="0.3">
      <c r="A20" s="1"/>
      <c r="B20" s="1" t="s">
        <v>32</v>
      </c>
      <c r="C20" s="1" t="s">
        <v>33</v>
      </c>
      <c r="D20" s="1" t="s">
        <v>34</v>
      </c>
      <c r="E20" s="1" t="s">
        <v>35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x14ac:dyDescent="0.3">
      <c r="A21" s="1" t="s">
        <v>33</v>
      </c>
      <c r="B21" s="1" t="s">
        <v>36</v>
      </c>
      <c r="C21" s="1">
        <v>113</v>
      </c>
      <c r="D21" s="1">
        <v>82</v>
      </c>
      <c r="E21" s="1">
        <v>5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x14ac:dyDescent="0.3">
      <c r="A22" s="1" t="s">
        <v>34</v>
      </c>
      <c r="B22" s="1" t="s">
        <v>36</v>
      </c>
      <c r="C22" s="1">
        <v>6</v>
      </c>
      <c r="D22" s="1">
        <v>193</v>
      </c>
      <c r="E22" s="1">
        <v>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x14ac:dyDescent="0.3">
      <c r="A23" s="1" t="s">
        <v>35</v>
      </c>
      <c r="B23" s="1" t="s">
        <v>36</v>
      </c>
      <c r="C23" s="1">
        <v>4</v>
      </c>
      <c r="D23" s="1">
        <v>15</v>
      </c>
      <c r="E23" s="1">
        <v>181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x14ac:dyDescent="0.3">
      <c r="A25" s="1"/>
      <c r="B25" s="1" t="s">
        <v>32</v>
      </c>
      <c r="C25" s="1" t="s">
        <v>33</v>
      </c>
      <c r="D25" s="1" t="s">
        <v>34</v>
      </c>
      <c r="E25" s="1" t="s">
        <v>35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3">
      <c r="A26" s="1" t="s">
        <v>33</v>
      </c>
      <c r="B26" s="1" t="s">
        <v>36</v>
      </c>
      <c r="C26" s="1">
        <v>107</v>
      </c>
      <c r="D26" s="1">
        <v>83</v>
      </c>
      <c r="E26" s="1">
        <v>10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3">
      <c r="A27" s="1" t="s">
        <v>34</v>
      </c>
      <c r="B27" s="1" t="s">
        <v>36</v>
      </c>
      <c r="C27" s="1">
        <v>7</v>
      </c>
      <c r="D27" s="1">
        <v>190</v>
      </c>
      <c r="E27" s="1">
        <v>3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3">
      <c r="A28" s="1" t="s">
        <v>35</v>
      </c>
      <c r="B28" s="1" t="s">
        <v>36</v>
      </c>
      <c r="C28" s="1">
        <v>3</v>
      </c>
      <c r="D28" s="1">
        <v>17</v>
      </c>
      <c r="E28" s="1">
        <v>180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x14ac:dyDescent="0.3">
      <c r="A29" s="1"/>
      <c r="B29" s="1" t="s">
        <v>32</v>
      </c>
      <c r="C29" s="1" t="s">
        <v>33</v>
      </c>
      <c r="D29" s="1" t="s">
        <v>34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x14ac:dyDescent="0.3">
      <c r="A30" s="1" t="s">
        <v>33</v>
      </c>
      <c r="B30" s="1" t="s">
        <v>36</v>
      </c>
      <c r="C30" s="1">
        <v>85</v>
      </c>
      <c r="D30" s="1">
        <v>108</v>
      </c>
      <c r="E30" s="1">
        <v>7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x14ac:dyDescent="0.3">
      <c r="A31" s="1" t="s">
        <v>34</v>
      </c>
      <c r="B31" s="1" t="s">
        <v>36</v>
      </c>
      <c r="C31" s="1">
        <v>6</v>
      </c>
      <c r="D31" s="1">
        <v>191</v>
      </c>
      <c r="E31" s="1">
        <v>3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x14ac:dyDescent="0.3">
      <c r="A32" s="1" t="s">
        <v>35</v>
      </c>
      <c r="B32" s="1" t="s">
        <v>36</v>
      </c>
      <c r="C32" s="1">
        <v>4</v>
      </c>
      <c r="D32" s="1">
        <v>16</v>
      </c>
      <c r="E32" s="1">
        <v>180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x14ac:dyDescent="0.3">
      <c r="A34" s="1"/>
      <c r="B34" s="1" t="s">
        <v>32</v>
      </c>
      <c r="C34" s="1" t="s">
        <v>33</v>
      </c>
      <c r="D34" s="1" t="s">
        <v>34</v>
      </c>
      <c r="E34" s="1" t="s">
        <v>35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x14ac:dyDescent="0.3">
      <c r="A35" s="1" t="s">
        <v>33</v>
      </c>
      <c r="B35" s="1" t="s">
        <v>36</v>
      </c>
      <c r="C35" s="1">
        <v>117</v>
      </c>
      <c r="D35" s="1">
        <v>82</v>
      </c>
      <c r="E35" s="1">
        <v>1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x14ac:dyDescent="0.3">
      <c r="A36" s="1" t="s">
        <v>34</v>
      </c>
      <c r="B36" s="1" t="s">
        <v>36</v>
      </c>
      <c r="C36" s="1">
        <v>4</v>
      </c>
      <c r="D36" s="1">
        <v>195</v>
      </c>
      <c r="E36" s="1">
        <v>1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x14ac:dyDescent="0.3">
      <c r="A37" s="1" t="s">
        <v>35</v>
      </c>
      <c r="B37" s="1" t="s">
        <v>36</v>
      </c>
      <c r="C37" s="1">
        <v>2</v>
      </c>
      <c r="D37" s="1">
        <v>15</v>
      </c>
      <c r="E37" s="1">
        <v>183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x14ac:dyDescent="0.3">
      <c r="A39" s="1"/>
      <c r="B39" s="1" t="s">
        <v>32</v>
      </c>
      <c r="C39" s="1" t="s">
        <v>33</v>
      </c>
      <c r="D39" s="1" t="s">
        <v>34</v>
      </c>
      <c r="E39" s="1" t="s">
        <v>35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x14ac:dyDescent="0.3">
      <c r="A40" s="1" t="s">
        <v>33</v>
      </c>
      <c r="B40" s="1" t="s">
        <v>36</v>
      </c>
      <c r="C40" s="1">
        <v>113</v>
      </c>
      <c r="D40" s="1">
        <v>83</v>
      </c>
      <c r="E40" s="1">
        <v>4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x14ac:dyDescent="0.3">
      <c r="A41" s="1" t="s">
        <v>34</v>
      </c>
      <c r="B41" s="1" t="s">
        <v>36</v>
      </c>
      <c r="C41" s="1">
        <v>9</v>
      </c>
      <c r="D41" s="1">
        <v>190</v>
      </c>
      <c r="E41" s="1">
        <v>1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x14ac:dyDescent="0.3">
      <c r="A42" s="1" t="s">
        <v>35</v>
      </c>
      <c r="B42" s="1" t="s">
        <v>36</v>
      </c>
      <c r="C42" s="1">
        <v>4</v>
      </c>
      <c r="D42" s="1">
        <v>20</v>
      </c>
      <c r="E42" s="1">
        <v>176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x14ac:dyDescent="0.3">
      <c r="A44" s="1"/>
      <c r="B44" s="1" t="s">
        <v>32</v>
      </c>
      <c r="C44" s="1" t="s">
        <v>33</v>
      </c>
      <c r="D44" s="1" t="s">
        <v>34</v>
      </c>
      <c r="E44" s="1" t="s">
        <v>35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x14ac:dyDescent="0.3">
      <c r="A45" t="s">
        <v>33</v>
      </c>
      <c r="B45" t="s">
        <v>36</v>
      </c>
      <c r="C45">
        <v>101</v>
      </c>
      <c r="D45">
        <v>92</v>
      </c>
      <c r="E45">
        <v>7</v>
      </c>
    </row>
    <row r="46" spans="1:30" x14ac:dyDescent="0.3">
      <c r="A46" t="s">
        <v>34</v>
      </c>
      <c r="B46" t="s">
        <v>36</v>
      </c>
      <c r="C46">
        <v>7</v>
      </c>
      <c r="D46">
        <v>192</v>
      </c>
      <c r="E46">
        <v>1</v>
      </c>
    </row>
    <row r="47" spans="1:30" x14ac:dyDescent="0.3">
      <c r="A47" t="s">
        <v>35</v>
      </c>
      <c r="B47" t="s">
        <v>36</v>
      </c>
      <c r="C47">
        <v>10</v>
      </c>
      <c r="D47">
        <v>18</v>
      </c>
      <c r="E47">
        <v>172</v>
      </c>
    </row>
    <row r="49" spans="1:5" x14ac:dyDescent="0.3">
      <c r="B49" t="s">
        <v>32</v>
      </c>
      <c r="C49" t="s">
        <v>33</v>
      </c>
      <c r="D49" t="s">
        <v>34</v>
      </c>
      <c r="E49" t="s">
        <v>35</v>
      </c>
    </row>
    <row r="50" spans="1:5" x14ac:dyDescent="0.3">
      <c r="A50" t="s">
        <v>33</v>
      </c>
      <c r="B50" t="s">
        <v>36</v>
      </c>
      <c r="C50">
        <v>126</v>
      </c>
      <c r="D50">
        <v>72</v>
      </c>
      <c r="E50">
        <v>2</v>
      </c>
    </row>
    <row r="51" spans="1:5" x14ac:dyDescent="0.3">
      <c r="A51" t="s">
        <v>34</v>
      </c>
      <c r="B51" t="s">
        <v>36</v>
      </c>
      <c r="C51">
        <v>4</v>
      </c>
      <c r="D51">
        <v>194</v>
      </c>
      <c r="E51">
        <v>2</v>
      </c>
    </row>
    <row r="52" spans="1:5" x14ac:dyDescent="0.3">
      <c r="A52" t="s">
        <v>35</v>
      </c>
      <c r="B52" t="s">
        <v>36</v>
      </c>
      <c r="C52">
        <v>4</v>
      </c>
      <c r="D52">
        <v>22</v>
      </c>
      <c r="E52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res_scrimin=0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2026-01-28T20:01:03Z</dcterms:created>
  <dcterms:modified xsi:type="dcterms:W3CDTF">2026-02-23T22:10:52Z</dcterms:modified>
</cp:coreProperties>
</file>