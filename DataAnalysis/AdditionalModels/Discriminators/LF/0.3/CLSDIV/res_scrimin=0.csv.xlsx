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ente\Desktop\CultureAwarenessTest\DataAnalysis\AdditionalModels\Discriminators\LF\0.3\CLSDIV\"/>
    </mc:Choice>
  </mc:AlternateContent>
  <xr:revisionPtr revIDLastSave="0" documentId="13_ncr:1_{48025001-2E07-4F4C-B249-304817E5B0E6}" xr6:coauthVersionLast="47" xr6:coauthVersionMax="47" xr10:uidLastSave="{00000000-0000-0000-0000-000000000000}"/>
  <bookViews>
    <workbookView xWindow="-108" yWindow="-108" windowWidth="23256" windowHeight="12456" xr2:uid="{0F214021-6FB1-40D5-9709-F0BEE25B15FC}"/>
  </bookViews>
  <sheets>
    <sheet name="res_scrimin=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AD3" i="1" s="1"/>
  <c r="Q3" i="1"/>
  <c r="W3" i="1" s="1"/>
  <c r="R3" i="1"/>
  <c r="X3" i="1" s="1"/>
  <c r="S3" i="1"/>
  <c r="Y3" i="1"/>
  <c r="Z3" i="1"/>
  <c r="AA3" i="1"/>
  <c r="AB3" i="1"/>
  <c r="AC3" i="1"/>
  <c r="P4" i="1"/>
  <c r="AD4" i="1" s="1"/>
  <c r="Q4" i="1"/>
  <c r="R4" i="1"/>
  <c r="S4" i="1"/>
  <c r="W4" i="1"/>
  <c r="X4" i="1"/>
  <c r="Y4" i="1"/>
  <c r="Z4" i="1"/>
  <c r="AA4" i="1"/>
  <c r="AB4" i="1"/>
  <c r="AC4" i="1"/>
  <c r="P5" i="1"/>
  <c r="AD5" i="1" s="1"/>
  <c r="Q5" i="1"/>
  <c r="R5" i="1"/>
  <c r="S5" i="1"/>
  <c r="W5" i="1"/>
  <c r="X5" i="1"/>
  <c r="Y5" i="1"/>
  <c r="Z5" i="1"/>
  <c r="AA5" i="1"/>
  <c r="AB5" i="1"/>
  <c r="AC5" i="1"/>
  <c r="P6" i="1"/>
  <c r="Q6" i="1"/>
  <c r="R6" i="1"/>
  <c r="X6" i="1" s="1"/>
  <c r="S6" i="1"/>
  <c r="Y6" i="1" s="1"/>
  <c r="W6" i="1"/>
  <c r="Z6" i="1"/>
  <c r="AA6" i="1"/>
  <c r="AB6" i="1"/>
  <c r="AC6" i="1"/>
  <c r="AD6" i="1"/>
  <c r="AC2" i="1"/>
  <c r="AB2" i="1"/>
  <c r="AK2" i="1" s="1"/>
  <c r="AA2" i="1"/>
  <c r="AJ2" i="1" s="1"/>
  <c r="Z2" i="1"/>
  <c r="S2" i="1"/>
  <c r="Y2" i="1" s="1"/>
  <c r="R2" i="1"/>
  <c r="X2" i="1" s="1"/>
  <c r="Q2" i="1"/>
  <c r="W2" i="1" s="1"/>
  <c r="P2" i="1"/>
  <c r="AD2" i="1" s="1"/>
  <c r="AF2" i="1" l="1"/>
  <c r="AH2" i="1"/>
  <c r="AL2" i="1"/>
  <c r="AG2" i="1"/>
  <c r="AI2" i="1"/>
</calcChain>
</file>

<file path=xl/sharedStrings.xml><?xml version="1.0" encoding="utf-8"?>
<sst xmlns="http://schemas.openxmlformats.org/spreadsheetml/2006/main" count="82" uniqueCount="37">
  <si>
    <t>Procedo per riga (prima riga, poi seconda riga, …)</t>
  </si>
  <si>
    <t>R0C0</t>
  </si>
  <si>
    <t>R0C1</t>
  </si>
  <si>
    <t>R0C2</t>
  </si>
  <si>
    <t>R1C0</t>
  </si>
  <si>
    <t>R1C1</t>
  </si>
  <si>
    <t>R1C2</t>
  </si>
  <si>
    <t>R2C0</t>
  </si>
  <si>
    <t>R2C1</t>
  </si>
  <si>
    <t>R2C2</t>
  </si>
  <si>
    <t>DiagSum</t>
  </si>
  <si>
    <t>Col0Sum</t>
  </si>
  <si>
    <t>Col1Sum</t>
  </si>
  <si>
    <t>Col2Sum</t>
  </si>
  <si>
    <t>Row0Sum</t>
  </si>
  <si>
    <t>Row1Sum</t>
  </si>
  <si>
    <t>Row2Sum</t>
  </si>
  <si>
    <t>Precision0</t>
  </si>
  <si>
    <t>Precision1</t>
  </si>
  <si>
    <t>Precision2</t>
  </si>
  <si>
    <t>Recall0</t>
  </si>
  <si>
    <t>Recall1</t>
  </si>
  <si>
    <t>Recall2</t>
  </si>
  <si>
    <t>Tot</t>
  </si>
  <si>
    <t>Accuracy</t>
  </si>
  <si>
    <t>Prec0</t>
  </si>
  <si>
    <t>Prec1</t>
  </si>
  <si>
    <t>Prec2</t>
  </si>
  <si>
    <t>Rec0</t>
  </si>
  <si>
    <t>Rec1</t>
  </si>
  <si>
    <t>Rec2</t>
  </si>
  <si>
    <t>Acc</t>
  </si>
  <si>
    <t>Matrix</t>
  </si>
  <si>
    <t>Class 0</t>
  </si>
  <si>
    <t>Class 1</t>
  </si>
  <si>
    <t>Class 2</t>
  </si>
  <si>
    <t>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</si>
</sst>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E7005-D29F-4A3A-8B33-A4338B8F6744}">
  <dimension ref="A1:AL40"/>
  <sheetViews>
    <sheetView tabSelected="1" topLeftCell="G1" zoomScale="72" workbookViewId="0">
      <selection activeCell="P2" sqref="P2:AD6"/>
    </sheetView>
  </sheetViews>
  <sheetFormatPr defaultRowHeight="14.4" x14ac:dyDescent="0.3"/>
  <cols>
    <col min="1" max="2" width="8.88671875" customWidth="1"/>
  </cols>
  <sheetData>
    <row r="1" spans="1:38" x14ac:dyDescent="0.3">
      <c r="A1" s="1"/>
      <c r="B1" s="1" t="s">
        <v>32</v>
      </c>
      <c r="C1" s="1" t="s">
        <v>33</v>
      </c>
      <c r="D1" s="1" t="s">
        <v>34</v>
      </c>
      <c r="E1" s="1" t="s">
        <v>35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</row>
    <row r="2" spans="1:38" x14ac:dyDescent="0.3">
      <c r="A2" s="1" t="s">
        <v>33</v>
      </c>
      <c r="B2" s="1" t="s">
        <v>36</v>
      </c>
      <c r="C2" s="1">
        <v>141</v>
      </c>
      <c r="D2" s="1">
        <v>56</v>
      </c>
      <c r="E2" s="1">
        <v>3</v>
      </c>
      <c r="F2" s="1"/>
      <c r="G2" s="1">
        <v>141</v>
      </c>
      <c r="H2" s="1">
        <v>56</v>
      </c>
      <c r="I2" s="1">
        <v>3</v>
      </c>
      <c r="J2" s="1">
        <v>6</v>
      </c>
      <c r="K2" s="1">
        <v>191</v>
      </c>
      <c r="L2" s="1">
        <v>3</v>
      </c>
      <c r="M2" s="1">
        <v>8</v>
      </c>
      <c r="N2" s="1">
        <v>16</v>
      </c>
      <c r="O2" s="1">
        <v>176</v>
      </c>
      <c r="P2" s="1">
        <f>G2+K2+O2</f>
        <v>508</v>
      </c>
      <c r="Q2" s="1">
        <f>G2+J2+M2</f>
        <v>155</v>
      </c>
      <c r="R2" s="1">
        <f>H2+K2+N2</f>
        <v>263</v>
      </c>
      <c r="S2" s="1">
        <f>I2+L2+O2</f>
        <v>182</v>
      </c>
      <c r="T2" s="1">
        <v>200</v>
      </c>
      <c r="U2" s="1">
        <v>200</v>
      </c>
      <c r="V2" s="1">
        <v>200</v>
      </c>
      <c r="W2" s="1">
        <f>G2/Q2</f>
        <v>0.9096774193548387</v>
      </c>
      <c r="X2" s="1">
        <f>K2/R2</f>
        <v>0.72623574144486691</v>
      </c>
      <c r="Y2" s="1">
        <f>O2/S2</f>
        <v>0.96703296703296704</v>
      </c>
      <c r="Z2" s="1">
        <f>G2/T2</f>
        <v>0.70499999999999996</v>
      </c>
      <c r="AA2" s="1">
        <f>K2/U2</f>
        <v>0.95499999999999996</v>
      </c>
      <c r="AB2" s="1">
        <f>O2/V2</f>
        <v>0.88</v>
      </c>
      <c r="AC2" s="1">
        <f>SUM(T2:V2)</f>
        <v>600</v>
      </c>
      <c r="AD2" s="1">
        <f>P2/AC2</f>
        <v>0.84666666666666668</v>
      </c>
      <c r="AF2">
        <f>AVERAGE(W2:W8)</f>
        <v>0.89520313706921806</v>
      </c>
      <c r="AG2">
        <f>AVERAGE(X2:X8)</f>
        <v>0.69801060571950302</v>
      </c>
      <c r="AH2">
        <f>AVERAGE(Y2:Y8)</f>
        <v>0.95694356238233524</v>
      </c>
      <c r="AI2">
        <f>AVERAGE(Z2:Z8)</f>
        <v>0.627</v>
      </c>
      <c r="AJ2">
        <f>AVERAGE(AA2:AA8)</f>
        <v>0.94199999999999995</v>
      </c>
      <c r="AK2">
        <f>AVERAGE(AB2:AB8)</f>
        <v>0.90599999999999992</v>
      </c>
      <c r="AL2">
        <f>AVERAGE(AD2:AD8)</f>
        <v>0.82499999999999996</v>
      </c>
    </row>
    <row r="3" spans="1:38" x14ac:dyDescent="0.3">
      <c r="A3" s="1" t="s">
        <v>34</v>
      </c>
      <c r="B3" s="1" t="s">
        <v>36</v>
      </c>
      <c r="C3" s="1">
        <v>6</v>
      </c>
      <c r="D3" s="1">
        <v>191</v>
      </c>
      <c r="E3" s="1">
        <v>3</v>
      </c>
      <c r="F3" s="1"/>
      <c r="G3" s="1">
        <v>126</v>
      </c>
      <c r="H3" s="1">
        <v>71</v>
      </c>
      <c r="I3" s="1">
        <v>3</v>
      </c>
      <c r="J3" s="1">
        <v>6</v>
      </c>
      <c r="K3" s="1">
        <v>191</v>
      </c>
      <c r="L3" s="1">
        <v>3</v>
      </c>
      <c r="M3" s="1">
        <v>5</v>
      </c>
      <c r="N3" s="1">
        <v>6</v>
      </c>
      <c r="O3" s="1">
        <v>189</v>
      </c>
      <c r="P3" s="1">
        <f t="shared" ref="P3:P6" si="0">G3+K3+O3</f>
        <v>506</v>
      </c>
      <c r="Q3" s="1">
        <f t="shared" ref="Q3:Q6" si="1">G3+J3+M3</f>
        <v>137</v>
      </c>
      <c r="R3" s="1">
        <f t="shared" ref="R3:R6" si="2">H3+K3+N3</f>
        <v>268</v>
      </c>
      <c r="S3" s="1">
        <f t="shared" ref="S3:S6" si="3">I3+L3+O3</f>
        <v>195</v>
      </c>
      <c r="T3" s="1">
        <v>200</v>
      </c>
      <c r="U3" s="1">
        <v>200</v>
      </c>
      <c r="V3" s="1">
        <v>200</v>
      </c>
      <c r="W3" s="1">
        <f t="shared" ref="W3:W6" si="4">G3/Q3</f>
        <v>0.91970802919708028</v>
      </c>
      <c r="X3" s="1">
        <f t="shared" ref="X3:X6" si="5">K3/R3</f>
        <v>0.71268656716417911</v>
      </c>
      <c r="Y3" s="1">
        <f t="shared" ref="Y3:Y6" si="6">O3/S3</f>
        <v>0.96923076923076923</v>
      </c>
      <c r="Z3" s="1">
        <f t="shared" ref="Z3:Z6" si="7">G3/T3</f>
        <v>0.63</v>
      </c>
      <c r="AA3" s="1">
        <f t="shared" ref="AA3:AA6" si="8">K3/U3</f>
        <v>0.95499999999999996</v>
      </c>
      <c r="AB3" s="1">
        <f t="shared" ref="AB3:AB6" si="9">O3/V3</f>
        <v>0.94499999999999995</v>
      </c>
      <c r="AC3" s="1">
        <f t="shared" ref="AC3:AC6" si="10">SUM(T3:V3)</f>
        <v>600</v>
      </c>
      <c r="AD3" s="1">
        <f t="shared" ref="AD3:AD6" si="11">P3/AC3</f>
        <v>0.84333333333333338</v>
      </c>
    </row>
    <row r="4" spans="1:38" x14ac:dyDescent="0.3">
      <c r="A4" s="1" t="s">
        <v>35</v>
      </c>
      <c r="B4" s="1" t="s">
        <v>36</v>
      </c>
      <c r="C4" s="1">
        <v>8</v>
      </c>
      <c r="D4" s="1">
        <v>16</v>
      </c>
      <c r="E4" s="1">
        <v>176</v>
      </c>
      <c r="F4" s="1"/>
      <c r="G4" s="1">
        <v>138</v>
      </c>
      <c r="H4" s="1">
        <v>59</v>
      </c>
      <c r="I4" s="1">
        <v>3</v>
      </c>
      <c r="J4" s="1">
        <v>13</v>
      </c>
      <c r="K4" s="1">
        <v>186</v>
      </c>
      <c r="L4" s="1">
        <v>1</v>
      </c>
      <c r="M4" s="1">
        <v>10</v>
      </c>
      <c r="N4" s="1">
        <v>11</v>
      </c>
      <c r="O4" s="1">
        <v>179</v>
      </c>
      <c r="P4" s="1">
        <f t="shared" si="0"/>
        <v>503</v>
      </c>
      <c r="Q4" s="1">
        <f t="shared" si="1"/>
        <v>161</v>
      </c>
      <c r="R4" s="1">
        <f t="shared" si="2"/>
        <v>256</v>
      </c>
      <c r="S4" s="1">
        <f t="shared" si="3"/>
        <v>183</v>
      </c>
      <c r="T4" s="1">
        <v>200</v>
      </c>
      <c r="U4" s="1">
        <v>200</v>
      </c>
      <c r="V4" s="1">
        <v>200</v>
      </c>
      <c r="W4" s="1">
        <f t="shared" si="4"/>
        <v>0.8571428571428571</v>
      </c>
      <c r="X4" s="1">
        <f t="shared" si="5"/>
        <v>0.7265625</v>
      </c>
      <c r="Y4" s="1">
        <f t="shared" si="6"/>
        <v>0.97814207650273222</v>
      </c>
      <c r="Z4" s="1">
        <f t="shared" si="7"/>
        <v>0.69</v>
      </c>
      <c r="AA4" s="1">
        <f t="shared" si="8"/>
        <v>0.93</v>
      </c>
      <c r="AB4" s="1">
        <f t="shared" si="9"/>
        <v>0.89500000000000002</v>
      </c>
      <c r="AC4" s="1">
        <f t="shared" si="10"/>
        <v>600</v>
      </c>
      <c r="AD4" s="1">
        <f t="shared" si="11"/>
        <v>0.83833333333333337</v>
      </c>
    </row>
    <row r="5" spans="1:38" x14ac:dyDescent="0.3">
      <c r="A5" s="1"/>
      <c r="B5" s="1" t="s">
        <v>32</v>
      </c>
      <c r="C5" s="1" t="s">
        <v>33</v>
      </c>
      <c r="D5" s="1" t="s">
        <v>34</v>
      </c>
      <c r="E5" s="1" t="s">
        <v>35</v>
      </c>
      <c r="F5" s="1"/>
      <c r="G5" s="1">
        <v>116</v>
      </c>
      <c r="H5" s="1">
        <v>78</v>
      </c>
      <c r="I5" s="1">
        <v>6</v>
      </c>
      <c r="J5" s="1">
        <v>7</v>
      </c>
      <c r="K5" s="1">
        <v>190</v>
      </c>
      <c r="L5" s="1">
        <v>3</v>
      </c>
      <c r="M5" s="1">
        <v>3</v>
      </c>
      <c r="N5" s="1">
        <v>10</v>
      </c>
      <c r="O5" s="1">
        <v>187</v>
      </c>
      <c r="P5" s="1">
        <f t="shared" si="0"/>
        <v>493</v>
      </c>
      <c r="Q5" s="1">
        <f t="shared" si="1"/>
        <v>126</v>
      </c>
      <c r="R5" s="1">
        <f t="shared" si="2"/>
        <v>278</v>
      </c>
      <c r="S5" s="1">
        <f t="shared" si="3"/>
        <v>196</v>
      </c>
      <c r="T5" s="1">
        <v>200</v>
      </c>
      <c r="U5" s="1">
        <v>200</v>
      </c>
      <c r="V5" s="1">
        <v>200</v>
      </c>
      <c r="W5" s="1">
        <f t="shared" si="4"/>
        <v>0.92063492063492058</v>
      </c>
      <c r="X5" s="1">
        <f t="shared" si="5"/>
        <v>0.68345323741007191</v>
      </c>
      <c r="Y5" s="1">
        <f t="shared" si="6"/>
        <v>0.95408163265306123</v>
      </c>
      <c r="Z5" s="1">
        <f t="shared" si="7"/>
        <v>0.57999999999999996</v>
      </c>
      <c r="AA5" s="1">
        <f t="shared" si="8"/>
        <v>0.95</v>
      </c>
      <c r="AB5" s="1">
        <f t="shared" si="9"/>
        <v>0.93500000000000005</v>
      </c>
      <c r="AC5" s="1">
        <f t="shared" si="10"/>
        <v>600</v>
      </c>
      <c r="AD5" s="1">
        <f t="shared" si="11"/>
        <v>0.82166666666666666</v>
      </c>
    </row>
    <row r="6" spans="1:38" x14ac:dyDescent="0.3">
      <c r="A6" s="1" t="s">
        <v>33</v>
      </c>
      <c r="B6" s="1" t="s">
        <v>36</v>
      </c>
      <c r="C6" s="1">
        <v>126</v>
      </c>
      <c r="D6" s="1">
        <v>71</v>
      </c>
      <c r="E6" s="1">
        <v>3</v>
      </c>
      <c r="F6" s="1"/>
      <c r="G6" s="1">
        <v>106</v>
      </c>
      <c r="H6" s="1">
        <v>86</v>
      </c>
      <c r="I6" s="1">
        <v>8</v>
      </c>
      <c r="J6" s="1">
        <v>8</v>
      </c>
      <c r="K6" s="1">
        <v>184</v>
      </c>
      <c r="L6" s="1">
        <v>8</v>
      </c>
      <c r="M6" s="1">
        <v>8</v>
      </c>
      <c r="N6" s="1">
        <v>17</v>
      </c>
      <c r="O6" s="1">
        <v>175</v>
      </c>
      <c r="P6" s="1">
        <f t="shared" si="0"/>
        <v>465</v>
      </c>
      <c r="Q6" s="1">
        <f t="shared" si="1"/>
        <v>122</v>
      </c>
      <c r="R6" s="1">
        <f t="shared" si="2"/>
        <v>287</v>
      </c>
      <c r="S6" s="1">
        <f t="shared" si="3"/>
        <v>191</v>
      </c>
      <c r="T6" s="1">
        <v>200</v>
      </c>
      <c r="U6" s="1">
        <v>200</v>
      </c>
      <c r="V6" s="1">
        <v>200</v>
      </c>
      <c r="W6" s="1">
        <f t="shared" si="4"/>
        <v>0.86885245901639341</v>
      </c>
      <c r="X6" s="1">
        <f t="shared" si="5"/>
        <v>0.64111498257839716</v>
      </c>
      <c r="Y6" s="1">
        <f t="shared" si="6"/>
        <v>0.91623036649214662</v>
      </c>
      <c r="Z6" s="1">
        <f t="shared" si="7"/>
        <v>0.53</v>
      </c>
      <c r="AA6" s="1">
        <f t="shared" si="8"/>
        <v>0.92</v>
      </c>
      <c r="AB6" s="1">
        <f t="shared" si="9"/>
        <v>0.875</v>
      </c>
      <c r="AC6" s="1">
        <f t="shared" si="10"/>
        <v>600</v>
      </c>
      <c r="AD6" s="1">
        <f t="shared" si="11"/>
        <v>0.77500000000000002</v>
      </c>
    </row>
    <row r="7" spans="1:38" x14ac:dyDescent="0.3">
      <c r="A7" s="1" t="s">
        <v>34</v>
      </c>
      <c r="B7" s="1" t="s">
        <v>36</v>
      </c>
      <c r="C7" s="1">
        <v>6</v>
      </c>
      <c r="D7" s="1">
        <v>191</v>
      </c>
      <c r="E7" s="1">
        <v>3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8" x14ac:dyDescent="0.3">
      <c r="A8" s="1" t="s">
        <v>35</v>
      </c>
      <c r="B8" s="1" t="s">
        <v>36</v>
      </c>
      <c r="C8" s="1">
        <v>5</v>
      </c>
      <c r="D8" s="1">
        <v>6</v>
      </c>
      <c r="E8" s="1">
        <v>189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8" x14ac:dyDescent="0.3">
      <c r="A9" s="1"/>
      <c r="B9" s="1" t="s">
        <v>32</v>
      </c>
      <c r="C9" s="1" t="s">
        <v>33</v>
      </c>
      <c r="D9" s="1" t="s">
        <v>34</v>
      </c>
      <c r="E9" s="1" t="s">
        <v>35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8" x14ac:dyDescent="0.3">
      <c r="A10" s="1" t="s">
        <v>33</v>
      </c>
      <c r="B10" s="1" t="s">
        <v>36</v>
      </c>
      <c r="C10" s="1">
        <v>138</v>
      </c>
      <c r="D10" s="1">
        <v>59</v>
      </c>
      <c r="E10" s="1">
        <v>3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8" x14ac:dyDescent="0.3">
      <c r="A11" s="1" t="s">
        <v>34</v>
      </c>
      <c r="B11" s="1" t="s">
        <v>36</v>
      </c>
      <c r="C11" s="1">
        <v>13</v>
      </c>
      <c r="D11" s="1">
        <v>186</v>
      </c>
      <c r="E11" s="1">
        <v>1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8" x14ac:dyDescent="0.3">
      <c r="A12" s="1" t="s">
        <v>35</v>
      </c>
      <c r="B12" s="1" t="s">
        <v>36</v>
      </c>
      <c r="C12" s="1">
        <v>10</v>
      </c>
      <c r="D12" s="1">
        <v>11</v>
      </c>
      <c r="E12" s="1">
        <v>179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8" x14ac:dyDescent="0.3">
      <c r="A13" s="1"/>
      <c r="B13" s="1" t="s">
        <v>32</v>
      </c>
      <c r="C13" s="1" t="s">
        <v>33</v>
      </c>
      <c r="D13" s="1" t="s">
        <v>34</v>
      </c>
      <c r="E13" s="1" t="s">
        <v>35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8" x14ac:dyDescent="0.3">
      <c r="A14" s="1" t="s">
        <v>33</v>
      </c>
      <c r="B14" s="1" t="s">
        <v>36</v>
      </c>
      <c r="C14" s="1">
        <v>116</v>
      </c>
      <c r="D14" s="1">
        <v>78</v>
      </c>
      <c r="E14" s="1">
        <v>6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8" x14ac:dyDescent="0.3">
      <c r="A15" s="1" t="s">
        <v>34</v>
      </c>
      <c r="B15" s="1" t="s">
        <v>36</v>
      </c>
      <c r="C15" s="1">
        <v>7</v>
      </c>
      <c r="D15" s="1">
        <v>190</v>
      </c>
      <c r="E15" s="1">
        <v>3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8" x14ac:dyDescent="0.3">
      <c r="A16" s="1" t="s">
        <v>35</v>
      </c>
      <c r="B16" s="1" t="s">
        <v>36</v>
      </c>
      <c r="C16" s="1">
        <v>3</v>
      </c>
      <c r="D16" s="1">
        <v>10</v>
      </c>
      <c r="E16" s="1">
        <v>187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x14ac:dyDescent="0.3">
      <c r="A17" s="1"/>
      <c r="B17" s="1" t="s">
        <v>32</v>
      </c>
      <c r="C17" s="1" t="s">
        <v>33</v>
      </c>
      <c r="D17" s="1" t="s">
        <v>34</v>
      </c>
      <c r="E17" s="1" t="s">
        <v>35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x14ac:dyDescent="0.3">
      <c r="A18" s="1" t="s">
        <v>33</v>
      </c>
      <c r="B18" s="1" t="s">
        <v>36</v>
      </c>
      <c r="C18" s="1">
        <v>106</v>
      </c>
      <c r="D18" s="1">
        <v>86</v>
      </c>
      <c r="E18" s="1">
        <v>8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x14ac:dyDescent="0.3">
      <c r="A19" s="1" t="s">
        <v>34</v>
      </c>
      <c r="B19" s="1" t="s">
        <v>36</v>
      </c>
      <c r="C19" s="1">
        <v>8</v>
      </c>
      <c r="D19" s="1">
        <v>184</v>
      </c>
      <c r="E19" s="1">
        <v>8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x14ac:dyDescent="0.3">
      <c r="A20" s="1" t="s">
        <v>35</v>
      </c>
      <c r="B20" s="1" t="s">
        <v>36</v>
      </c>
      <c r="C20" s="1">
        <v>8</v>
      </c>
      <c r="D20" s="1">
        <v>17</v>
      </c>
      <c r="E20" s="1">
        <v>175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res_scrimin=0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Enzo Ubaldo Petrocco</cp:lastModifiedBy>
  <dcterms:created xsi:type="dcterms:W3CDTF">2026-01-28T20:01:03Z</dcterms:created>
  <dcterms:modified xsi:type="dcterms:W3CDTF">2026-03-05T20:29:00Z</dcterms:modified>
</cp:coreProperties>
</file>