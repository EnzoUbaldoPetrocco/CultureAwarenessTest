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AdditionalModels\Discriminators\CS\0.05\CLSDIV\"/>
    </mc:Choice>
  </mc:AlternateContent>
  <xr:revisionPtr revIDLastSave="0" documentId="13_ncr:1_{521A9345-2E44-4760-A5B4-556CCE66A6A4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Q3" i="1"/>
  <c r="R3" i="1"/>
  <c r="X3" i="1" s="1"/>
  <c r="S3" i="1"/>
  <c r="W3" i="1"/>
  <c r="Y3" i="1"/>
  <c r="Z3" i="1"/>
  <c r="AA3" i="1"/>
  <c r="AB3" i="1"/>
  <c r="AC3" i="1"/>
  <c r="AD3" i="1" s="1"/>
  <c r="P4" i="1"/>
  <c r="AD4" i="1" s="1"/>
  <c r="Q4" i="1"/>
  <c r="W4" i="1" s="1"/>
  <c r="R4" i="1"/>
  <c r="X4" i="1" s="1"/>
  <c r="S4" i="1"/>
  <c r="Y4" i="1" s="1"/>
  <c r="Z4" i="1"/>
  <c r="AA4" i="1"/>
  <c r="AB4" i="1"/>
  <c r="AC4" i="1"/>
  <c r="P5" i="1"/>
  <c r="AD5" i="1" s="1"/>
  <c r="Q5" i="1"/>
  <c r="W5" i="1" s="1"/>
  <c r="R5" i="1"/>
  <c r="X5" i="1" s="1"/>
  <c r="S5" i="1"/>
  <c r="Y5" i="1"/>
  <c r="Z5" i="1"/>
  <c r="AA5" i="1"/>
  <c r="AB5" i="1"/>
  <c r="AC5" i="1"/>
  <c r="P6" i="1"/>
  <c r="Q6" i="1"/>
  <c r="R6" i="1"/>
  <c r="S6" i="1"/>
  <c r="W6" i="1"/>
  <c r="X6" i="1"/>
  <c r="Y6" i="1"/>
  <c r="Z6" i="1"/>
  <c r="AA6" i="1"/>
  <c r="AB6" i="1"/>
  <c r="AC6" i="1"/>
  <c r="AD6" i="1"/>
  <c r="P7" i="1"/>
  <c r="Q7" i="1"/>
  <c r="R7" i="1"/>
  <c r="X7" i="1" s="1"/>
  <c r="S7" i="1"/>
  <c r="W7" i="1"/>
  <c r="Y7" i="1"/>
  <c r="Z7" i="1"/>
  <c r="AA7" i="1"/>
  <c r="AB7" i="1"/>
  <c r="AC7" i="1"/>
  <c r="AD7" i="1" s="1"/>
  <c r="P8" i="1"/>
  <c r="AD8" i="1" s="1"/>
  <c r="Q8" i="1"/>
  <c r="W8" i="1" s="1"/>
  <c r="R8" i="1"/>
  <c r="X8" i="1" s="1"/>
  <c r="S8" i="1"/>
  <c r="Y8" i="1" s="1"/>
  <c r="Z8" i="1"/>
  <c r="AA8" i="1"/>
  <c r="AB8" i="1"/>
  <c r="AC8" i="1"/>
  <c r="P9" i="1"/>
  <c r="AD9" i="1" s="1"/>
  <c r="Q9" i="1"/>
  <c r="W9" i="1" s="1"/>
  <c r="R9" i="1"/>
  <c r="X9" i="1" s="1"/>
  <c r="S9" i="1"/>
  <c r="Y9" i="1"/>
  <c r="Z9" i="1"/>
  <c r="AA9" i="1"/>
  <c r="AB9" i="1"/>
  <c r="AC9" i="1"/>
  <c r="P10" i="1"/>
  <c r="Q10" i="1"/>
  <c r="R10" i="1"/>
  <c r="S10" i="1"/>
  <c r="W10" i="1"/>
  <c r="X10" i="1"/>
  <c r="Y10" i="1"/>
  <c r="Z10" i="1"/>
  <c r="AA10" i="1"/>
  <c r="AB10" i="1"/>
  <c r="AC10" i="1"/>
  <c r="AD10" i="1"/>
  <c r="P11" i="1"/>
  <c r="Q11" i="1"/>
  <c r="R11" i="1"/>
  <c r="X11" i="1" s="1"/>
  <c r="S11" i="1"/>
  <c r="W11" i="1"/>
  <c r="Y11" i="1"/>
  <c r="Z11" i="1"/>
  <c r="AA11" i="1"/>
  <c r="AB11" i="1"/>
  <c r="AC11" i="1"/>
  <c r="AD11" i="1" s="1"/>
  <c r="AC2" i="1"/>
  <c r="AB2" i="1"/>
  <c r="AK2" i="1" s="1"/>
  <c r="AA2" i="1"/>
  <c r="AJ2" i="1" s="1"/>
  <c r="Z2" i="1"/>
  <c r="AI2" i="1" s="1"/>
  <c r="S2" i="1"/>
  <c r="Y2" i="1" s="1"/>
  <c r="R2" i="1"/>
  <c r="X2" i="1" s="1"/>
  <c r="Q2" i="1"/>
  <c r="W2" i="1" s="1"/>
  <c r="P2" i="1"/>
  <c r="AD2" i="1" s="1"/>
  <c r="AL2" i="1" l="1"/>
  <c r="AG2" i="1"/>
  <c r="AF2" i="1"/>
  <c r="AH2" i="1"/>
</calcChain>
</file>

<file path=xl/sharedStrings.xml><?xml version="1.0" encoding="utf-8"?>
<sst xmlns="http://schemas.openxmlformats.org/spreadsheetml/2006/main" count="132" uniqueCount="37">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</sst>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7"/>
  <sheetViews>
    <sheetView tabSelected="1" topLeftCell="F1" zoomScale="73" zoomScaleNormal="50" workbookViewId="0">
      <selection activeCell="P2" sqref="P2:AD11"/>
    </sheetView>
  </sheetViews>
  <sheetFormatPr defaultRowHeight="14.4" x14ac:dyDescent="0.3"/>
  <cols>
    <col min="1" max="2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 t="s">
        <v>35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</row>
    <row r="2" spans="1:38" x14ac:dyDescent="0.3">
      <c r="A2" s="1" t="s">
        <v>33</v>
      </c>
      <c r="B2" s="1" t="s">
        <v>36</v>
      </c>
      <c r="C2" s="1">
        <v>51</v>
      </c>
      <c r="D2" s="1">
        <v>4</v>
      </c>
      <c r="E2" s="1">
        <v>145</v>
      </c>
      <c r="F2" s="1"/>
      <c r="G2" s="1">
        <v>51</v>
      </c>
      <c r="H2" s="1">
        <v>4</v>
      </c>
      <c r="I2" s="1">
        <v>145</v>
      </c>
      <c r="J2" s="1">
        <v>2</v>
      </c>
      <c r="K2" s="1">
        <v>74</v>
      </c>
      <c r="L2" s="1">
        <v>124</v>
      </c>
      <c r="M2" s="1">
        <v>0</v>
      </c>
      <c r="N2" s="1">
        <v>0</v>
      </c>
      <c r="O2" s="1">
        <v>200</v>
      </c>
      <c r="P2" s="1">
        <f>G2+K2+O2</f>
        <v>325</v>
      </c>
      <c r="Q2" s="1">
        <f>G2+J2+M2</f>
        <v>53</v>
      </c>
      <c r="R2" s="1">
        <f>H2+K2+N2</f>
        <v>78</v>
      </c>
      <c r="S2" s="1">
        <f>I2+L2+O2</f>
        <v>469</v>
      </c>
      <c r="T2" s="1">
        <v>200</v>
      </c>
      <c r="U2" s="1">
        <v>200</v>
      </c>
      <c r="V2" s="1">
        <v>200</v>
      </c>
      <c r="W2" s="1">
        <f>G2/Q2</f>
        <v>0.96226415094339623</v>
      </c>
      <c r="X2" s="1">
        <f>K2/R2</f>
        <v>0.94871794871794868</v>
      </c>
      <c r="Y2" s="1">
        <f>O2/S2</f>
        <v>0.42643923240938164</v>
      </c>
      <c r="Z2" s="1">
        <f>G2/T2</f>
        <v>0.255</v>
      </c>
      <c r="AA2" s="1">
        <f>K2/U2</f>
        <v>0.37</v>
      </c>
      <c r="AB2" s="1">
        <f>O2/V2</f>
        <v>1</v>
      </c>
      <c r="AC2" s="1">
        <f>SUM(T2:V2)</f>
        <v>600</v>
      </c>
      <c r="AD2" s="1">
        <f>P2/AC2</f>
        <v>0.54166666666666663</v>
      </c>
      <c r="AF2">
        <f t="shared" ref="AF2:AK2" si="0">AVERAGE(W2:W10)</f>
        <v>0.90781293266362917</v>
      </c>
      <c r="AG2">
        <f t="shared" si="0"/>
        <v>0.94048440666087729</v>
      </c>
      <c r="AH2">
        <f t="shared" si="0"/>
        <v>0.41017013774280331</v>
      </c>
      <c r="AI2">
        <f t="shared" si="0"/>
        <v>0.21444444444444444</v>
      </c>
      <c r="AJ2">
        <f t="shared" si="0"/>
        <v>0.30944444444444447</v>
      </c>
      <c r="AK2">
        <f t="shared" si="0"/>
        <v>0.995</v>
      </c>
      <c r="AL2">
        <f>AVERAGE(AD2:AD10)</f>
        <v>0.50629629629629624</v>
      </c>
    </row>
    <row r="3" spans="1:38" x14ac:dyDescent="0.3">
      <c r="A3" s="1" t="s">
        <v>34</v>
      </c>
      <c r="B3" s="1" t="s">
        <v>36</v>
      </c>
      <c r="C3" s="1">
        <v>2</v>
      </c>
      <c r="D3" s="1">
        <v>74</v>
      </c>
      <c r="E3" s="1">
        <v>124</v>
      </c>
      <c r="F3" s="1"/>
      <c r="G3" s="1">
        <v>43</v>
      </c>
      <c r="H3" s="1">
        <v>0</v>
      </c>
      <c r="I3" s="1">
        <v>157</v>
      </c>
      <c r="J3" s="1">
        <v>4</v>
      </c>
      <c r="K3" s="1">
        <v>59</v>
      </c>
      <c r="L3" s="1">
        <v>137</v>
      </c>
      <c r="M3" s="1">
        <v>0</v>
      </c>
      <c r="N3" s="1">
        <v>0</v>
      </c>
      <c r="O3" s="1">
        <v>200</v>
      </c>
      <c r="P3" s="1">
        <f t="shared" ref="P3:P11" si="1">G3+K3+O3</f>
        <v>302</v>
      </c>
      <c r="Q3" s="1">
        <f t="shared" ref="Q3:Q11" si="2">G3+J3+M3</f>
        <v>47</v>
      </c>
      <c r="R3" s="1">
        <f t="shared" ref="R3:R11" si="3">H3+K3+N3</f>
        <v>59</v>
      </c>
      <c r="S3" s="1">
        <f t="shared" ref="S3:S11" si="4">I3+L3+O3</f>
        <v>494</v>
      </c>
      <c r="T3" s="1">
        <v>200</v>
      </c>
      <c r="U3" s="1">
        <v>200</v>
      </c>
      <c r="V3" s="1">
        <v>200</v>
      </c>
      <c r="W3" s="1">
        <f t="shared" ref="W3:W11" si="5">G3/Q3</f>
        <v>0.91489361702127658</v>
      </c>
      <c r="X3" s="1">
        <f t="shared" ref="X3:X11" si="6">K3/R3</f>
        <v>1</v>
      </c>
      <c r="Y3" s="1">
        <f t="shared" ref="Y3:Y11" si="7">O3/S3</f>
        <v>0.40485829959514169</v>
      </c>
      <c r="Z3" s="1">
        <f t="shared" ref="Z3:Z11" si="8">G3/T3</f>
        <v>0.215</v>
      </c>
      <c r="AA3" s="1">
        <f t="shared" ref="AA3:AA11" si="9">K3/U3</f>
        <v>0.29499999999999998</v>
      </c>
      <c r="AB3" s="1">
        <f t="shared" ref="AB3:AB11" si="10">O3/V3</f>
        <v>1</v>
      </c>
      <c r="AC3" s="1">
        <f t="shared" ref="AC3:AC11" si="11">SUM(T3:V3)</f>
        <v>600</v>
      </c>
      <c r="AD3" s="1">
        <f t="shared" ref="AD3:AD11" si="12">P3/AC3</f>
        <v>0.5033333333333333</v>
      </c>
    </row>
    <row r="4" spans="1:38" x14ac:dyDescent="0.3">
      <c r="A4" s="1" t="s">
        <v>35</v>
      </c>
      <c r="B4" s="1" t="s">
        <v>36</v>
      </c>
      <c r="C4" s="1">
        <v>0</v>
      </c>
      <c r="D4" s="1">
        <v>0</v>
      </c>
      <c r="E4" s="1">
        <v>200</v>
      </c>
      <c r="F4" s="1"/>
      <c r="G4" s="1">
        <v>36</v>
      </c>
      <c r="H4" s="1">
        <v>2</v>
      </c>
      <c r="I4" s="1">
        <v>162</v>
      </c>
      <c r="J4" s="1">
        <v>2</v>
      </c>
      <c r="K4" s="1">
        <v>37</v>
      </c>
      <c r="L4" s="1">
        <v>161</v>
      </c>
      <c r="M4" s="1">
        <v>0</v>
      </c>
      <c r="N4" s="1">
        <v>1</v>
      </c>
      <c r="O4" s="1">
        <v>199</v>
      </c>
      <c r="P4" s="1">
        <f t="shared" si="1"/>
        <v>272</v>
      </c>
      <c r="Q4" s="1">
        <f t="shared" si="2"/>
        <v>38</v>
      </c>
      <c r="R4" s="1">
        <f t="shared" si="3"/>
        <v>40</v>
      </c>
      <c r="S4" s="1">
        <f t="shared" si="4"/>
        <v>522</v>
      </c>
      <c r="T4" s="1">
        <v>200</v>
      </c>
      <c r="U4" s="1">
        <v>200</v>
      </c>
      <c r="V4" s="1">
        <v>200</v>
      </c>
      <c r="W4" s="1">
        <f t="shared" si="5"/>
        <v>0.94736842105263153</v>
      </c>
      <c r="X4" s="1">
        <f t="shared" si="6"/>
        <v>0.92500000000000004</v>
      </c>
      <c r="Y4" s="1">
        <f t="shared" si="7"/>
        <v>0.38122605363984674</v>
      </c>
      <c r="Z4" s="1">
        <f t="shared" si="8"/>
        <v>0.18</v>
      </c>
      <c r="AA4" s="1">
        <f t="shared" si="9"/>
        <v>0.185</v>
      </c>
      <c r="AB4" s="1">
        <f t="shared" si="10"/>
        <v>0.995</v>
      </c>
      <c r="AC4" s="1">
        <f t="shared" si="11"/>
        <v>600</v>
      </c>
      <c r="AD4" s="1">
        <f t="shared" si="12"/>
        <v>0.45333333333333331</v>
      </c>
    </row>
    <row r="5" spans="1:38" x14ac:dyDescent="0.3">
      <c r="A5" s="1"/>
      <c r="B5" s="1"/>
      <c r="C5" s="1"/>
      <c r="D5" s="1"/>
      <c r="E5" s="1"/>
      <c r="F5" s="1"/>
      <c r="G5" s="1">
        <v>35</v>
      </c>
      <c r="H5" s="1">
        <v>6</v>
      </c>
      <c r="I5" s="1">
        <v>159</v>
      </c>
      <c r="J5" s="1">
        <v>3</v>
      </c>
      <c r="K5" s="1">
        <v>79</v>
      </c>
      <c r="L5" s="1">
        <v>118</v>
      </c>
      <c r="M5" s="1">
        <v>0</v>
      </c>
      <c r="N5" s="1">
        <v>0</v>
      </c>
      <c r="O5" s="1">
        <v>200</v>
      </c>
      <c r="P5" s="1">
        <f t="shared" si="1"/>
        <v>314</v>
      </c>
      <c r="Q5" s="1">
        <f t="shared" si="2"/>
        <v>38</v>
      </c>
      <c r="R5" s="1">
        <f t="shared" si="3"/>
        <v>85</v>
      </c>
      <c r="S5" s="1">
        <f t="shared" si="4"/>
        <v>477</v>
      </c>
      <c r="T5" s="1">
        <v>200</v>
      </c>
      <c r="U5" s="1">
        <v>200</v>
      </c>
      <c r="V5" s="1">
        <v>200</v>
      </c>
      <c r="W5" s="1">
        <f t="shared" si="5"/>
        <v>0.92105263157894735</v>
      </c>
      <c r="X5" s="1">
        <f t="shared" si="6"/>
        <v>0.92941176470588238</v>
      </c>
      <c r="Y5" s="1">
        <f t="shared" si="7"/>
        <v>0.41928721174004191</v>
      </c>
      <c r="Z5" s="1">
        <f t="shared" si="8"/>
        <v>0.17499999999999999</v>
      </c>
      <c r="AA5" s="1">
        <f t="shared" si="9"/>
        <v>0.39500000000000002</v>
      </c>
      <c r="AB5" s="1">
        <f t="shared" si="10"/>
        <v>1</v>
      </c>
      <c r="AC5" s="1">
        <f t="shared" si="11"/>
        <v>600</v>
      </c>
      <c r="AD5" s="1">
        <f t="shared" si="12"/>
        <v>0.52333333333333332</v>
      </c>
    </row>
    <row r="6" spans="1:38" x14ac:dyDescent="0.3">
      <c r="A6" s="1"/>
      <c r="B6" s="1" t="s">
        <v>32</v>
      </c>
      <c r="C6" s="1" t="s">
        <v>33</v>
      </c>
      <c r="D6" s="1" t="s">
        <v>34</v>
      </c>
      <c r="E6" s="1" t="s">
        <v>35</v>
      </c>
      <c r="F6" s="1"/>
      <c r="G6" s="1">
        <v>34</v>
      </c>
      <c r="H6" s="1">
        <v>0</v>
      </c>
      <c r="I6" s="1">
        <v>166</v>
      </c>
      <c r="J6" s="1">
        <v>5</v>
      </c>
      <c r="K6" s="1">
        <v>56</v>
      </c>
      <c r="L6" s="1">
        <v>139</v>
      </c>
      <c r="M6" s="1">
        <v>0</v>
      </c>
      <c r="N6" s="1">
        <v>0</v>
      </c>
      <c r="O6" s="1">
        <v>200</v>
      </c>
      <c r="P6" s="1">
        <f t="shared" si="1"/>
        <v>290</v>
      </c>
      <c r="Q6" s="1">
        <f t="shared" si="2"/>
        <v>39</v>
      </c>
      <c r="R6" s="1">
        <f t="shared" si="3"/>
        <v>56</v>
      </c>
      <c r="S6" s="1">
        <f t="shared" si="4"/>
        <v>505</v>
      </c>
      <c r="T6" s="1">
        <v>200</v>
      </c>
      <c r="U6" s="1">
        <v>200</v>
      </c>
      <c r="V6" s="1">
        <v>200</v>
      </c>
      <c r="W6" s="1">
        <f t="shared" si="5"/>
        <v>0.87179487179487181</v>
      </c>
      <c r="X6" s="1">
        <f t="shared" si="6"/>
        <v>1</v>
      </c>
      <c r="Y6" s="1">
        <f t="shared" si="7"/>
        <v>0.39603960396039606</v>
      </c>
      <c r="Z6" s="1">
        <f t="shared" si="8"/>
        <v>0.17</v>
      </c>
      <c r="AA6" s="1">
        <f t="shared" si="9"/>
        <v>0.28000000000000003</v>
      </c>
      <c r="AB6" s="1">
        <f t="shared" si="10"/>
        <v>1</v>
      </c>
      <c r="AC6" s="1">
        <f t="shared" si="11"/>
        <v>600</v>
      </c>
      <c r="AD6" s="1">
        <f t="shared" si="12"/>
        <v>0.48333333333333334</v>
      </c>
    </row>
    <row r="7" spans="1:38" x14ac:dyDescent="0.3">
      <c r="A7" s="1" t="s">
        <v>33</v>
      </c>
      <c r="B7" s="1" t="s">
        <v>36</v>
      </c>
      <c r="C7" s="1">
        <v>43</v>
      </c>
      <c r="D7" s="1">
        <v>0</v>
      </c>
      <c r="E7" s="1">
        <v>157</v>
      </c>
      <c r="F7" s="1"/>
      <c r="G7" s="1">
        <v>32</v>
      </c>
      <c r="H7" s="1">
        <v>2</v>
      </c>
      <c r="I7" s="1">
        <v>166</v>
      </c>
      <c r="J7" s="1">
        <v>6</v>
      </c>
      <c r="K7" s="1">
        <v>20</v>
      </c>
      <c r="L7" s="1">
        <v>174</v>
      </c>
      <c r="M7" s="1">
        <v>0</v>
      </c>
      <c r="N7" s="1">
        <v>0</v>
      </c>
      <c r="O7" s="1">
        <v>200</v>
      </c>
      <c r="P7" s="1">
        <f t="shared" si="1"/>
        <v>252</v>
      </c>
      <c r="Q7" s="1">
        <f t="shared" si="2"/>
        <v>38</v>
      </c>
      <c r="R7" s="1">
        <f t="shared" si="3"/>
        <v>22</v>
      </c>
      <c r="S7" s="1">
        <f t="shared" si="4"/>
        <v>540</v>
      </c>
      <c r="T7" s="1">
        <v>200</v>
      </c>
      <c r="U7" s="1">
        <v>200</v>
      </c>
      <c r="V7" s="1">
        <v>200</v>
      </c>
      <c r="W7" s="1">
        <f t="shared" si="5"/>
        <v>0.84210526315789469</v>
      </c>
      <c r="X7" s="1">
        <f t="shared" si="6"/>
        <v>0.90909090909090906</v>
      </c>
      <c r="Y7" s="1">
        <f t="shared" si="7"/>
        <v>0.37037037037037035</v>
      </c>
      <c r="Z7" s="1">
        <f t="shared" si="8"/>
        <v>0.16</v>
      </c>
      <c r="AA7" s="1">
        <f t="shared" si="9"/>
        <v>0.1</v>
      </c>
      <c r="AB7" s="1">
        <f t="shared" si="10"/>
        <v>1</v>
      </c>
      <c r="AC7" s="1">
        <f t="shared" si="11"/>
        <v>600</v>
      </c>
      <c r="AD7" s="1">
        <f t="shared" si="12"/>
        <v>0.42</v>
      </c>
    </row>
    <row r="8" spans="1:38" x14ac:dyDescent="0.3">
      <c r="A8" s="1" t="s">
        <v>34</v>
      </c>
      <c r="B8" s="1" t="s">
        <v>36</v>
      </c>
      <c r="C8" s="1">
        <v>4</v>
      </c>
      <c r="D8" s="1">
        <v>59</v>
      </c>
      <c r="E8" s="1">
        <v>137</v>
      </c>
      <c r="F8" s="1"/>
      <c r="G8" s="1">
        <v>36</v>
      </c>
      <c r="H8" s="1">
        <v>5</v>
      </c>
      <c r="I8" s="1">
        <v>159</v>
      </c>
      <c r="J8" s="1">
        <v>6</v>
      </c>
      <c r="K8" s="1">
        <v>44</v>
      </c>
      <c r="L8" s="1">
        <v>150</v>
      </c>
      <c r="M8" s="1">
        <v>0</v>
      </c>
      <c r="N8" s="1">
        <v>2</v>
      </c>
      <c r="O8" s="1">
        <v>198</v>
      </c>
      <c r="P8" s="1">
        <f t="shared" si="1"/>
        <v>278</v>
      </c>
      <c r="Q8" s="1">
        <f t="shared" si="2"/>
        <v>42</v>
      </c>
      <c r="R8" s="1">
        <f t="shared" si="3"/>
        <v>51</v>
      </c>
      <c r="S8" s="1">
        <f t="shared" si="4"/>
        <v>507</v>
      </c>
      <c r="T8" s="1">
        <v>200</v>
      </c>
      <c r="U8" s="1">
        <v>200</v>
      </c>
      <c r="V8" s="1">
        <v>200</v>
      </c>
      <c r="W8" s="1">
        <f t="shared" si="5"/>
        <v>0.8571428571428571</v>
      </c>
      <c r="X8" s="1">
        <f t="shared" si="6"/>
        <v>0.86274509803921573</v>
      </c>
      <c r="Y8" s="1">
        <f t="shared" si="7"/>
        <v>0.39053254437869822</v>
      </c>
      <c r="Z8" s="1">
        <f t="shared" si="8"/>
        <v>0.18</v>
      </c>
      <c r="AA8" s="1">
        <f t="shared" si="9"/>
        <v>0.22</v>
      </c>
      <c r="AB8" s="1">
        <f t="shared" si="10"/>
        <v>0.99</v>
      </c>
      <c r="AC8" s="1">
        <f t="shared" si="11"/>
        <v>600</v>
      </c>
      <c r="AD8" s="1">
        <f t="shared" si="12"/>
        <v>0.46333333333333332</v>
      </c>
    </row>
    <row r="9" spans="1:38" x14ac:dyDescent="0.3">
      <c r="A9" s="1" t="s">
        <v>35</v>
      </c>
      <c r="B9" s="1" t="s">
        <v>36</v>
      </c>
      <c r="C9" s="1">
        <v>0</v>
      </c>
      <c r="D9" s="1">
        <v>0</v>
      </c>
      <c r="E9" s="1">
        <v>200</v>
      </c>
      <c r="F9" s="1"/>
      <c r="G9" s="1">
        <v>52</v>
      </c>
      <c r="H9" s="1">
        <v>4</v>
      </c>
      <c r="I9" s="1">
        <v>144</v>
      </c>
      <c r="J9" s="1">
        <v>4</v>
      </c>
      <c r="K9" s="1">
        <v>95</v>
      </c>
      <c r="L9" s="1">
        <v>101</v>
      </c>
      <c r="M9" s="1">
        <v>2</v>
      </c>
      <c r="N9" s="1">
        <v>1</v>
      </c>
      <c r="O9" s="1">
        <v>197</v>
      </c>
      <c r="P9" s="1">
        <f t="shared" si="1"/>
        <v>344</v>
      </c>
      <c r="Q9" s="1">
        <f t="shared" si="2"/>
        <v>58</v>
      </c>
      <c r="R9" s="1">
        <f t="shared" si="3"/>
        <v>100</v>
      </c>
      <c r="S9" s="1">
        <f t="shared" si="4"/>
        <v>442</v>
      </c>
      <c r="T9" s="1">
        <v>200</v>
      </c>
      <c r="U9" s="1">
        <v>200</v>
      </c>
      <c r="V9" s="1">
        <v>200</v>
      </c>
      <c r="W9" s="1">
        <f t="shared" si="5"/>
        <v>0.89655172413793105</v>
      </c>
      <c r="X9" s="1">
        <f t="shared" si="6"/>
        <v>0.95</v>
      </c>
      <c r="Y9" s="1">
        <f t="shared" si="7"/>
        <v>0.44570135746606337</v>
      </c>
      <c r="Z9" s="1">
        <f t="shared" si="8"/>
        <v>0.26</v>
      </c>
      <c r="AA9" s="1">
        <f t="shared" si="9"/>
        <v>0.47499999999999998</v>
      </c>
      <c r="AB9" s="1">
        <f t="shared" si="10"/>
        <v>0.98499999999999999</v>
      </c>
      <c r="AC9" s="1">
        <f t="shared" si="11"/>
        <v>600</v>
      </c>
      <c r="AD9" s="1">
        <f t="shared" si="12"/>
        <v>0.57333333333333336</v>
      </c>
    </row>
    <row r="10" spans="1:38" x14ac:dyDescent="0.3">
      <c r="A10" s="1"/>
      <c r="B10" s="1"/>
      <c r="C10" s="1"/>
      <c r="D10" s="1"/>
      <c r="E10" s="1"/>
      <c r="F10" s="1"/>
      <c r="G10" s="1">
        <v>67</v>
      </c>
      <c r="H10" s="1">
        <v>5</v>
      </c>
      <c r="I10" s="1">
        <v>128</v>
      </c>
      <c r="J10" s="1">
        <v>1</v>
      </c>
      <c r="K10" s="1">
        <v>93</v>
      </c>
      <c r="L10" s="1">
        <v>106</v>
      </c>
      <c r="M10" s="1">
        <v>2</v>
      </c>
      <c r="N10" s="1">
        <v>1</v>
      </c>
      <c r="O10" s="1">
        <v>197</v>
      </c>
      <c r="P10" s="1">
        <f t="shared" si="1"/>
        <v>357</v>
      </c>
      <c r="Q10" s="1">
        <f t="shared" si="2"/>
        <v>70</v>
      </c>
      <c r="R10" s="1">
        <f t="shared" si="3"/>
        <v>99</v>
      </c>
      <c r="S10" s="1">
        <f t="shared" si="4"/>
        <v>431</v>
      </c>
      <c r="T10" s="1">
        <v>200</v>
      </c>
      <c r="U10" s="1">
        <v>200</v>
      </c>
      <c r="V10" s="1">
        <v>200</v>
      </c>
      <c r="W10" s="1">
        <f t="shared" si="5"/>
        <v>0.95714285714285718</v>
      </c>
      <c r="X10" s="1">
        <f t="shared" si="6"/>
        <v>0.93939393939393945</v>
      </c>
      <c r="Y10" s="1">
        <f t="shared" si="7"/>
        <v>0.45707656612529002</v>
      </c>
      <c r="Z10" s="1">
        <f t="shared" si="8"/>
        <v>0.33500000000000002</v>
      </c>
      <c r="AA10" s="1">
        <f t="shared" si="9"/>
        <v>0.46500000000000002</v>
      </c>
      <c r="AB10" s="1">
        <f t="shared" si="10"/>
        <v>0.98499999999999999</v>
      </c>
      <c r="AC10" s="1">
        <f t="shared" si="11"/>
        <v>600</v>
      </c>
      <c r="AD10" s="1">
        <f t="shared" si="12"/>
        <v>0.59499999999999997</v>
      </c>
    </row>
    <row r="11" spans="1:38" x14ac:dyDescent="0.3">
      <c r="A11" s="1"/>
      <c r="B11" s="1" t="s">
        <v>32</v>
      </c>
      <c r="C11" s="1" t="s">
        <v>33</v>
      </c>
      <c r="D11" s="1" t="s">
        <v>34</v>
      </c>
      <c r="E11" s="1" t="s">
        <v>35</v>
      </c>
      <c r="F11" s="1"/>
      <c r="G11" s="1">
        <v>6</v>
      </c>
      <c r="H11" s="1">
        <v>1</v>
      </c>
      <c r="I11" s="1">
        <v>193</v>
      </c>
      <c r="J11" s="1">
        <v>3</v>
      </c>
      <c r="K11" s="1">
        <v>12</v>
      </c>
      <c r="L11" s="1">
        <v>185</v>
      </c>
      <c r="M11" s="1">
        <v>0</v>
      </c>
      <c r="N11" s="1">
        <v>0</v>
      </c>
      <c r="O11" s="1">
        <v>200</v>
      </c>
      <c r="P11" s="1">
        <f t="shared" si="1"/>
        <v>218</v>
      </c>
      <c r="Q11" s="1">
        <f t="shared" si="2"/>
        <v>9</v>
      </c>
      <c r="R11" s="1">
        <f t="shared" si="3"/>
        <v>13</v>
      </c>
      <c r="S11" s="1">
        <f t="shared" si="4"/>
        <v>578</v>
      </c>
      <c r="T11" s="1">
        <v>200</v>
      </c>
      <c r="U11" s="1">
        <v>200</v>
      </c>
      <c r="V11" s="1">
        <v>200</v>
      </c>
      <c r="W11" s="1">
        <f t="shared" si="5"/>
        <v>0.66666666666666663</v>
      </c>
      <c r="X11" s="1">
        <f t="shared" si="6"/>
        <v>0.92307692307692313</v>
      </c>
      <c r="Y11" s="1">
        <f t="shared" si="7"/>
        <v>0.34602076124567471</v>
      </c>
      <c r="Z11" s="1">
        <f t="shared" si="8"/>
        <v>0.03</v>
      </c>
      <c r="AA11" s="1">
        <f t="shared" si="9"/>
        <v>0.06</v>
      </c>
      <c r="AB11" s="1">
        <f t="shared" si="10"/>
        <v>1</v>
      </c>
      <c r="AC11" s="1">
        <f t="shared" si="11"/>
        <v>600</v>
      </c>
      <c r="AD11" s="1">
        <f t="shared" si="12"/>
        <v>0.36333333333333334</v>
      </c>
    </row>
    <row r="12" spans="1:38" x14ac:dyDescent="0.3">
      <c r="A12" s="1" t="s">
        <v>33</v>
      </c>
      <c r="B12" s="1" t="s">
        <v>36</v>
      </c>
      <c r="C12" s="1">
        <v>36</v>
      </c>
      <c r="D12" s="1">
        <v>2</v>
      </c>
      <c r="E12" s="1">
        <v>162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8" x14ac:dyDescent="0.3">
      <c r="A13" s="1" t="s">
        <v>34</v>
      </c>
      <c r="B13" s="1" t="s">
        <v>36</v>
      </c>
      <c r="C13" s="1">
        <v>2</v>
      </c>
      <c r="D13" s="1">
        <v>37</v>
      </c>
      <c r="E13" s="1">
        <v>161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35</v>
      </c>
      <c r="B14" s="1" t="s">
        <v>36</v>
      </c>
      <c r="C14" s="1">
        <v>0</v>
      </c>
      <c r="D14" s="1">
        <v>1</v>
      </c>
      <c r="E14" s="1">
        <v>199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/>
      <c r="B16" s="1" t="s">
        <v>32</v>
      </c>
      <c r="C16" s="1" t="s">
        <v>33</v>
      </c>
      <c r="D16" s="1" t="s">
        <v>34</v>
      </c>
      <c r="E16" s="1" t="s">
        <v>35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33</v>
      </c>
      <c r="B17" s="1" t="s">
        <v>36</v>
      </c>
      <c r="C17" s="1">
        <v>35</v>
      </c>
      <c r="D17" s="1">
        <v>6</v>
      </c>
      <c r="E17" s="1">
        <v>159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34</v>
      </c>
      <c r="B18" s="1" t="s">
        <v>36</v>
      </c>
      <c r="C18" s="1">
        <v>3</v>
      </c>
      <c r="D18" s="1">
        <v>79</v>
      </c>
      <c r="E18" s="1">
        <v>118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35</v>
      </c>
      <c r="B19" s="1" t="s">
        <v>36</v>
      </c>
      <c r="C19" s="1">
        <v>0</v>
      </c>
      <c r="D19" s="1">
        <v>0</v>
      </c>
      <c r="E19" s="1">
        <v>200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 t="s">
        <v>32</v>
      </c>
      <c r="C20" s="1" t="s">
        <v>33</v>
      </c>
      <c r="D20" s="1" t="s">
        <v>34</v>
      </c>
      <c r="E20" s="1" t="s">
        <v>35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 t="s">
        <v>33</v>
      </c>
      <c r="B21" s="1" t="s">
        <v>36</v>
      </c>
      <c r="C21" s="1">
        <v>34</v>
      </c>
      <c r="D21" s="1">
        <v>0</v>
      </c>
      <c r="E21" s="1">
        <v>166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34</v>
      </c>
      <c r="B22" s="1" t="s">
        <v>36</v>
      </c>
      <c r="C22" s="1">
        <v>5</v>
      </c>
      <c r="D22" s="1">
        <v>56</v>
      </c>
      <c r="E22" s="1">
        <v>139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35</v>
      </c>
      <c r="B23" s="1" t="s">
        <v>36</v>
      </c>
      <c r="C23" s="1">
        <v>0</v>
      </c>
      <c r="D23" s="1">
        <v>0</v>
      </c>
      <c r="E23" s="1">
        <v>200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 t="s">
        <v>32</v>
      </c>
      <c r="C25" s="1" t="s">
        <v>33</v>
      </c>
      <c r="D25" s="1" t="s">
        <v>34</v>
      </c>
      <c r="E25" s="1" t="s">
        <v>35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 t="s">
        <v>33</v>
      </c>
      <c r="B26" s="1" t="s">
        <v>36</v>
      </c>
      <c r="C26" s="1">
        <v>32</v>
      </c>
      <c r="D26" s="1">
        <v>2</v>
      </c>
      <c r="E26" s="1">
        <v>166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34</v>
      </c>
      <c r="B27" s="1" t="s">
        <v>36</v>
      </c>
      <c r="C27" s="1">
        <v>6</v>
      </c>
      <c r="D27" s="1">
        <v>20</v>
      </c>
      <c r="E27" s="1">
        <v>174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 t="s">
        <v>35</v>
      </c>
      <c r="B28" s="1" t="s">
        <v>36</v>
      </c>
      <c r="C28" s="1">
        <v>0</v>
      </c>
      <c r="D28" s="1">
        <v>0</v>
      </c>
      <c r="E28" s="1">
        <v>200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 t="s">
        <v>32</v>
      </c>
      <c r="C30" s="1" t="s">
        <v>33</v>
      </c>
      <c r="D30" s="1" t="s">
        <v>34</v>
      </c>
      <c r="E30" s="1" t="s">
        <v>35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 t="s">
        <v>33</v>
      </c>
      <c r="B31" s="1" t="s">
        <v>36</v>
      </c>
      <c r="C31" s="1">
        <v>36</v>
      </c>
      <c r="D31" s="1">
        <v>5</v>
      </c>
      <c r="E31" s="1">
        <v>159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 t="s">
        <v>34</v>
      </c>
      <c r="B32" s="1" t="s">
        <v>36</v>
      </c>
      <c r="C32" s="1">
        <v>6</v>
      </c>
      <c r="D32" s="1">
        <v>44</v>
      </c>
      <c r="E32" s="1">
        <v>150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 t="s">
        <v>35</v>
      </c>
      <c r="B33" s="1" t="s">
        <v>36</v>
      </c>
      <c r="C33" s="1">
        <v>0</v>
      </c>
      <c r="D33" s="1">
        <v>2</v>
      </c>
      <c r="E33" s="1">
        <v>198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 t="s">
        <v>32</v>
      </c>
      <c r="C35" s="1" t="s">
        <v>33</v>
      </c>
      <c r="D35" s="1" t="s">
        <v>34</v>
      </c>
      <c r="E35" s="1" t="s">
        <v>35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 t="s">
        <v>33</v>
      </c>
      <c r="B36" s="1" t="s">
        <v>36</v>
      </c>
      <c r="C36" s="1">
        <v>52</v>
      </c>
      <c r="D36" s="1">
        <v>4</v>
      </c>
      <c r="E36" s="1">
        <v>144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 t="s">
        <v>34</v>
      </c>
      <c r="B37" s="1" t="s">
        <v>36</v>
      </c>
      <c r="C37" s="1">
        <v>4</v>
      </c>
      <c r="D37" s="1">
        <v>95</v>
      </c>
      <c r="E37" s="1">
        <v>101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 t="s">
        <v>35</v>
      </c>
      <c r="B38" s="1" t="s">
        <v>36</v>
      </c>
      <c r="C38" s="1">
        <v>2</v>
      </c>
      <c r="D38" s="1">
        <v>1</v>
      </c>
      <c r="E38" s="1">
        <v>197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 t="s">
        <v>32</v>
      </c>
      <c r="C39" s="1" t="s">
        <v>33</v>
      </c>
      <c r="D39" s="1" t="s">
        <v>34</v>
      </c>
      <c r="E39" s="1" t="s">
        <v>35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 t="s">
        <v>33</v>
      </c>
      <c r="B40" s="1" t="s">
        <v>36</v>
      </c>
      <c r="C40" s="1">
        <v>67</v>
      </c>
      <c r="D40" s="1">
        <v>5</v>
      </c>
      <c r="E40" s="1">
        <v>128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 t="s">
        <v>34</v>
      </c>
      <c r="B41" s="1" t="s">
        <v>36</v>
      </c>
      <c r="C41" s="1">
        <v>1</v>
      </c>
      <c r="D41" s="1">
        <v>93</v>
      </c>
      <c r="E41" s="1">
        <v>106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 t="s">
        <v>35</v>
      </c>
      <c r="B42" s="1" t="s">
        <v>36</v>
      </c>
      <c r="C42" s="1">
        <v>2</v>
      </c>
      <c r="D42" s="1">
        <v>1</v>
      </c>
      <c r="E42" s="1">
        <v>197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 t="s">
        <v>32</v>
      </c>
      <c r="C44" s="1" t="s">
        <v>33</v>
      </c>
      <c r="D44" s="1" t="s">
        <v>34</v>
      </c>
      <c r="E44" s="1" t="s">
        <v>35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3">
      <c r="A45" t="s">
        <v>33</v>
      </c>
      <c r="B45" t="s">
        <v>36</v>
      </c>
      <c r="C45">
        <v>6</v>
      </c>
      <c r="D45">
        <v>1</v>
      </c>
      <c r="E45">
        <v>193</v>
      </c>
    </row>
    <row r="46" spans="1:30" x14ac:dyDescent="0.3">
      <c r="A46" t="s">
        <v>34</v>
      </c>
      <c r="B46" t="s">
        <v>36</v>
      </c>
      <c r="C46">
        <v>3</v>
      </c>
      <c r="D46">
        <v>12</v>
      </c>
      <c r="E46">
        <v>185</v>
      </c>
    </row>
    <row r="47" spans="1:30" x14ac:dyDescent="0.3">
      <c r="A47" t="s">
        <v>35</v>
      </c>
      <c r="B47" t="s">
        <v>36</v>
      </c>
      <c r="C47">
        <v>0</v>
      </c>
      <c r="D47">
        <v>0</v>
      </c>
      <c r="E47">
        <v>200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2026-02-22T19:59:46Z</dcterms:modified>
</cp:coreProperties>
</file>