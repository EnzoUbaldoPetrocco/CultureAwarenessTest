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4CF60B16-DC22-4492-A2B5-E22ED204F6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STDAUG" sheetId="20" r:id="rId2"/>
    <sheet name="MIT_DIFF_ONLYMIN_STDAUG" sheetId="19" r:id="rId3"/>
    <sheet name="MIT_DIFF_ONLYMIN_NO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NOAUG" sheetId="11" r:id="rId10"/>
    <sheet name="MIT_STDAUG" sheetId="12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7" l="1"/>
  <c r="AE10" i="17"/>
  <c r="AB10" i="17"/>
  <c r="AA10" i="17"/>
  <c r="Z10" i="17"/>
  <c r="Y10" i="17"/>
  <c r="X10" i="17"/>
  <c r="W10" i="17"/>
  <c r="V10" i="17"/>
  <c r="U10" i="17"/>
  <c r="Q10" i="17"/>
  <c r="R10" i="17"/>
  <c r="S10" i="17"/>
  <c r="T10" i="17"/>
  <c r="AC10" i="17"/>
  <c r="AD10" i="17"/>
  <c r="Q11" i="17"/>
  <c r="T11" i="17" s="1"/>
  <c r="R11" i="17"/>
  <c r="S11" i="17"/>
  <c r="AC3" i="20"/>
  <c r="AD3" i="20"/>
  <c r="Q3" i="20"/>
  <c r="R3" i="20"/>
  <c r="S3" i="20"/>
  <c r="T3" i="20"/>
  <c r="S2" i="20"/>
  <c r="Z2" i="20" s="1"/>
  <c r="R2" i="20"/>
  <c r="Q2" i="20"/>
  <c r="AF10" i="19"/>
  <c r="AE10" i="19"/>
  <c r="AB10" i="19"/>
  <c r="AA10" i="19"/>
  <c r="Z10" i="19"/>
  <c r="Y10" i="19"/>
  <c r="X10" i="19"/>
  <c r="W10" i="19"/>
  <c r="V10" i="19"/>
  <c r="U10" i="19"/>
  <c r="U4" i="19"/>
  <c r="Q10" i="19"/>
  <c r="AC10" i="19" s="1"/>
  <c r="R10" i="19"/>
  <c r="S10" i="19"/>
  <c r="T10" i="19"/>
  <c r="AD10" i="19" s="1"/>
  <c r="Q11" i="19"/>
  <c r="R11" i="19"/>
  <c r="S11" i="19"/>
  <c r="T11" i="19"/>
  <c r="AC11" i="19"/>
  <c r="AD11" i="19"/>
  <c r="Q12" i="19"/>
  <c r="R12" i="19"/>
  <c r="S12" i="19"/>
  <c r="T12" i="19"/>
  <c r="AC12" i="19"/>
  <c r="AD12" i="19"/>
  <c r="Q13" i="19"/>
  <c r="T13" i="19" s="1"/>
  <c r="R13" i="19"/>
  <c r="S13" i="19"/>
  <c r="AF26" i="16"/>
  <c r="AE26" i="16"/>
  <c r="AB26" i="16"/>
  <c r="AA26" i="16"/>
  <c r="Z26" i="16"/>
  <c r="Y26" i="16"/>
  <c r="X26" i="16"/>
  <c r="W26" i="16"/>
  <c r="V26" i="16"/>
  <c r="U26" i="16"/>
  <c r="Q26" i="16"/>
  <c r="U15" i="16" s="1"/>
  <c r="R26" i="16"/>
  <c r="S26" i="16"/>
  <c r="Z15" i="16" s="1"/>
  <c r="T26" i="16"/>
  <c r="AA15" i="16" s="1"/>
  <c r="AC26" i="16"/>
  <c r="AD26" i="16"/>
  <c r="Q27" i="16"/>
  <c r="R27" i="16"/>
  <c r="S27" i="16"/>
  <c r="T27" i="16"/>
  <c r="AC27" i="16"/>
  <c r="AD27" i="16" s="1"/>
  <c r="Q28" i="16"/>
  <c r="R28" i="16"/>
  <c r="S28" i="16"/>
  <c r="Q29" i="16"/>
  <c r="AC29" i="16" s="1"/>
  <c r="R29" i="16"/>
  <c r="S29" i="16"/>
  <c r="Q30" i="16"/>
  <c r="R30" i="16"/>
  <c r="S30" i="16"/>
  <c r="AF9" i="8"/>
  <c r="AE9" i="8"/>
  <c r="AB9" i="8"/>
  <c r="AA9" i="8"/>
  <c r="Z9" i="8"/>
  <c r="Y9" i="8"/>
  <c r="X9" i="8"/>
  <c r="W9" i="8"/>
  <c r="V9" i="8"/>
  <c r="U9" i="8"/>
  <c r="Q9" i="8"/>
  <c r="R9" i="8"/>
  <c r="S9" i="8"/>
  <c r="T9" i="8"/>
  <c r="AC9" i="8"/>
  <c r="AD9" i="8"/>
  <c r="Q10" i="8"/>
  <c r="R10" i="8"/>
  <c r="S10" i="8"/>
  <c r="T10" i="8"/>
  <c r="AC10" i="8"/>
  <c r="AD10" i="8"/>
  <c r="Q11" i="8"/>
  <c r="T11" i="8" s="1"/>
  <c r="R11" i="8"/>
  <c r="S11" i="8"/>
  <c r="AB15" i="16"/>
  <c r="X15" i="16"/>
  <c r="W15" i="16"/>
  <c r="V15" i="16"/>
  <c r="Q15" i="16"/>
  <c r="T15" i="16" s="1"/>
  <c r="R15" i="16"/>
  <c r="S15" i="16"/>
  <c r="Q16" i="16"/>
  <c r="AC16" i="16" s="1"/>
  <c r="R16" i="16"/>
  <c r="S16" i="16"/>
  <c r="T16" i="16"/>
  <c r="AD16" i="16" s="1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Q5" i="19"/>
  <c r="R5" i="19"/>
  <c r="AC5" i="19" s="1"/>
  <c r="S5" i="19"/>
  <c r="T5" i="19"/>
  <c r="AD5" i="19" s="1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AF4" i="16"/>
  <c r="AE4" i="16"/>
  <c r="AB4" i="16"/>
  <c r="AA4" i="16"/>
  <c r="Z4" i="16"/>
  <c r="Y4" i="16"/>
  <c r="X4" i="16"/>
  <c r="W4" i="16"/>
  <c r="V4" i="16"/>
  <c r="U4" i="16"/>
  <c r="Q5" i="16"/>
  <c r="AC5" i="16" s="1"/>
  <c r="R5" i="16"/>
  <c r="S5" i="16"/>
  <c r="T5" i="16"/>
  <c r="AD5" i="16" s="1"/>
  <c r="Q6" i="16"/>
  <c r="R6" i="16"/>
  <c r="S6" i="16"/>
  <c r="T6" i="16"/>
  <c r="AC6" i="16"/>
  <c r="AD6" i="16"/>
  <c r="Q7" i="16"/>
  <c r="AC7" i="16" s="1"/>
  <c r="R7" i="16"/>
  <c r="T7" i="16" s="1"/>
  <c r="AD7" i="16" s="1"/>
  <c r="S7" i="16"/>
  <c r="Q8" i="16"/>
  <c r="R8" i="16"/>
  <c r="T8" i="16" s="1"/>
  <c r="AD8" i="16" s="1"/>
  <c r="S8" i="16"/>
  <c r="AC8" i="16"/>
  <c r="Q9" i="16"/>
  <c r="AC9" i="16" s="1"/>
  <c r="AD9" i="16" s="1"/>
  <c r="R9" i="16"/>
  <c r="S9" i="16"/>
  <c r="T9" i="16"/>
  <c r="Q10" i="16"/>
  <c r="T10" i="16" s="1"/>
  <c r="R10" i="16"/>
  <c r="S10" i="16"/>
  <c r="Q11" i="16"/>
  <c r="R11" i="16"/>
  <c r="S11" i="16"/>
  <c r="T11" i="16"/>
  <c r="AC11" i="16"/>
  <c r="AD11" i="16"/>
  <c r="Q12" i="16"/>
  <c r="AC12" i="16" s="1"/>
  <c r="AD12" i="16" s="1"/>
  <c r="R12" i="16"/>
  <c r="S12" i="16"/>
  <c r="T12" i="16"/>
  <c r="Q13" i="16"/>
  <c r="AC13" i="16" s="1"/>
  <c r="R13" i="16"/>
  <c r="S13" i="16"/>
  <c r="T13" i="16"/>
  <c r="AD13" i="16" s="1"/>
  <c r="AD4" i="16"/>
  <c r="AC4" i="16"/>
  <c r="T4" i="16"/>
  <c r="S4" i="16"/>
  <c r="R4" i="16"/>
  <c r="Q4" i="16"/>
  <c r="AB15" i="10"/>
  <c r="AA15" i="10"/>
  <c r="Z15" i="10"/>
  <c r="Y15" i="10"/>
  <c r="X15" i="10"/>
  <c r="W15" i="10"/>
  <c r="AE15" i="10"/>
  <c r="AF2" i="9"/>
  <c r="AE3" i="9"/>
  <c r="AE4" i="9"/>
  <c r="AE5" i="9"/>
  <c r="AE6" i="9"/>
  <c r="AE7" i="9"/>
  <c r="AE8" i="9"/>
  <c r="AE9" i="9"/>
  <c r="AE10" i="9"/>
  <c r="AE11" i="9"/>
  <c r="AE2" i="9"/>
  <c r="Z4" i="8"/>
  <c r="Y4" i="8"/>
  <c r="X4" i="8"/>
  <c r="W4" i="8"/>
  <c r="Q5" i="8"/>
  <c r="AC5" i="8" s="1"/>
  <c r="R5" i="8"/>
  <c r="S5" i="8"/>
  <c r="T5" i="8"/>
  <c r="Q6" i="8"/>
  <c r="R6" i="8"/>
  <c r="S6" i="8"/>
  <c r="T6" i="8"/>
  <c r="AC6" i="8"/>
  <c r="AD6" i="8"/>
  <c r="Q7" i="8"/>
  <c r="R7" i="8"/>
  <c r="S7" i="8"/>
  <c r="T7" i="8"/>
  <c r="AC7" i="8"/>
  <c r="AD7" i="8" s="1"/>
  <c r="AC4" i="8"/>
  <c r="T4" i="8"/>
  <c r="AB4" i="8" s="1"/>
  <c r="S4" i="8"/>
  <c r="R4" i="8"/>
  <c r="Q4" i="8"/>
  <c r="S14" i="7"/>
  <c r="R14" i="7"/>
  <c r="Q14" i="7"/>
  <c r="U14" i="7" s="1"/>
  <c r="S13" i="7"/>
  <c r="R13" i="7"/>
  <c r="Q13" i="7"/>
  <c r="U13" i="7" s="1"/>
  <c r="S12" i="7"/>
  <c r="R12" i="7"/>
  <c r="Q12" i="7"/>
  <c r="U12" i="7" s="1"/>
  <c r="S11" i="7"/>
  <c r="AB11" i="7" s="1"/>
  <c r="R11" i="7"/>
  <c r="Z11" i="7" s="1"/>
  <c r="Q11" i="7"/>
  <c r="S9" i="7"/>
  <c r="R9" i="7"/>
  <c r="Y6" i="7" s="1"/>
  <c r="Q9" i="7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X6" i="7" s="1"/>
  <c r="S4" i="7"/>
  <c r="R4" i="7"/>
  <c r="Q4" i="7"/>
  <c r="U4" i="7" s="1"/>
  <c r="S3" i="7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Q6" i="6"/>
  <c r="R6" i="6"/>
  <c r="S6" i="6"/>
  <c r="T6" i="6"/>
  <c r="Q7" i="6"/>
  <c r="R7" i="6"/>
  <c r="S7" i="6"/>
  <c r="T7" i="6"/>
  <c r="U7" i="6"/>
  <c r="V7" i="6"/>
  <c r="Q8" i="6"/>
  <c r="R8" i="6"/>
  <c r="S8" i="6"/>
  <c r="Q9" i="6"/>
  <c r="R9" i="6"/>
  <c r="S9" i="6"/>
  <c r="Q11" i="6"/>
  <c r="R11" i="6"/>
  <c r="S11" i="6"/>
  <c r="T11" i="6"/>
  <c r="U11" i="6"/>
  <c r="V11" i="6"/>
  <c r="Q12" i="6"/>
  <c r="R12" i="6"/>
  <c r="S12" i="6"/>
  <c r="T12" i="6" s="1"/>
  <c r="U12" i="6"/>
  <c r="Q13" i="6"/>
  <c r="R13" i="6"/>
  <c r="S13" i="6"/>
  <c r="Q14" i="6"/>
  <c r="R14" i="6"/>
  <c r="S14" i="6"/>
  <c r="S3" i="6"/>
  <c r="R3" i="6"/>
  <c r="Q3" i="6"/>
  <c r="T3" i="6" s="1"/>
  <c r="AF4" i="14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Q4" i="10"/>
  <c r="T4" i="10" s="1"/>
  <c r="R4" i="10"/>
  <c r="S4" i="10"/>
  <c r="Q5" i="10"/>
  <c r="U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U31" i="10" s="1"/>
  <c r="R31" i="10"/>
  <c r="S31" i="10"/>
  <c r="T31" i="10"/>
  <c r="AC31" i="10" s="1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U63" i="10" s="1"/>
  <c r="R63" i="10"/>
  <c r="S63" i="10"/>
  <c r="T63" i="10"/>
  <c r="Q66" i="10"/>
  <c r="T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U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V92" i="10" s="1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X2" i="9" s="1"/>
  <c r="T3" i="9"/>
  <c r="R4" i="9"/>
  <c r="U4" i="9" s="1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R11" i="9"/>
  <c r="S11" i="9"/>
  <c r="T11" i="9"/>
  <c r="T2" i="9"/>
  <c r="S2" i="9"/>
  <c r="R2" i="9"/>
  <c r="AD2" i="9" s="1"/>
  <c r="AI7" i="6"/>
  <c r="AL7" i="6"/>
  <c r="AN7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AC11" i="17" l="1"/>
  <c r="AD11" i="17" s="1"/>
  <c r="W2" i="20"/>
  <c r="AC2" i="20"/>
  <c r="T2" i="20"/>
  <c r="U2" i="20"/>
  <c r="X2" i="20"/>
  <c r="V2" i="20"/>
  <c r="Y2" i="20"/>
  <c r="AC13" i="19"/>
  <c r="AD13" i="19" s="1"/>
  <c r="T28" i="16"/>
  <c r="T30" i="16"/>
  <c r="Y15" i="16"/>
  <c r="AC28" i="16"/>
  <c r="T29" i="16"/>
  <c r="AD29" i="16" s="1"/>
  <c r="AD28" i="16"/>
  <c r="AF15" i="16"/>
  <c r="AE15" i="16"/>
  <c r="AC30" i="16"/>
  <c r="AD30" i="16" s="1"/>
  <c r="AC11" i="8"/>
  <c r="AD11" i="8" s="1"/>
  <c r="AC15" i="16"/>
  <c r="AD15" i="16" s="1"/>
  <c r="AD10" i="16"/>
  <c r="AC10" i="16"/>
  <c r="U4" i="8"/>
  <c r="AD4" i="8"/>
  <c r="AA4" i="8"/>
  <c r="AD5" i="8"/>
  <c r="V4" i="8"/>
  <c r="AD31" i="10"/>
  <c r="T37" i="10"/>
  <c r="V37" i="10" s="1"/>
  <c r="T5" i="10"/>
  <c r="V5" i="10" s="1"/>
  <c r="T22" i="10"/>
  <c r="AD42" i="10"/>
  <c r="AC42" i="10"/>
  <c r="T71" i="10"/>
  <c r="AD71" i="10" s="1"/>
  <c r="V31" i="10"/>
  <c r="AE31" i="10" s="1"/>
  <c r="U42" i="10"/>
  <c r="V42" i="10" s="1"/>
  <c r="U98" i="10"/>
  <c r="V98" i="10" s="1"/>
  <c r="U74" i="10"/>
  <c r="V74" i="10" s="1"/>
  <c r="T78" i="10"/>
  <c r="V78" i="10" s="1"/>
  <c r="AD53" i="10"/>
  <c r="U53" i="10"/>
  <c r="V53" i="10" s="1"/>
  <c r="U35" i="10"/>
  <c r="U59" i="10"/>
  <c r="V59" i="10" s="1"/>
  <c r="V71" i="10"/>
  <c r="AE71" i="10" s="1"/>
  <c r="U19" i="10"/>
  <c r="U87" i="10"/>
  <c r="V87" i="10" s="1"/>
  <c r="U34" i="10"/>
  <c r="V34" i="10" s="1"/>
  <c r="U83" i="10"/>
  <c r="V83" i="10" s="1"/>
  <c r="U77" i="10"/>
  <c r="V77" i="10" s="1"/>
  <c r="U28" i="10"/>
  <c r="V28" i="10" s="1"/>
  <c r="U60" i="10"/>
  <c r="V60" i="10" s="1"/>
  <c r="U48" i="10"/>
  <c r="V48" i="10" s="1"/>
  <c r="AC66" i="10"/>
  <c r="AD66" i="10"/>
  <c r="AF31" i="10"/>
  <c r="AC53" i="10"/>
  <c r="T17" i="10"/>
  <c r="T16" i="10"/>
  <c r="AF71" i="10"/>
  <c r="U3" i="10"/>
  <c r="V3" i="10" s="1"/>
  <c r="AE3" i="10" s="1"/>
  <c r="AM15" i="10"/>
  <c r="AC83" i="10"/>
  <c r="U95" i="10"/>
  <c r="V95" i="10" s="1"/>
  <c r="U61" i="10"/>
  <c r="V61" i="10" s="1"/>
  <c r="U36" i="10"/>
  <c r="V36" i="10" s="1"/>
  <c r="U27" i="10"/>
  <c r="V27" i="10" s="1"/>
  <c r="T85" i="10"/>
  <c r="V85" i="10" s="1"/>
  <c r="U80" i="10"/>
  <c r="V80" i="10" s="1"/>
  <c r="U45" i="10"/>
  <c r="V45" i="10" s="1"/>
  <c r="U66" i="10"/>
  <c r="V66" i="10" s="1"/>
  <c r="U39" i="10"/>
  <c r="V39" i="10" s="1"/>
  <c r="U8" i="10"/>
  <c r="V8" i="10" s="1"/>
  <c r="V35" i="10"/>
  <c r="V63" i="10"/>
  <c r="T19" i="10"/>
  <c r="AL15" i="10"/>
  <c r="T18" i="10"/>
  <c r="U22" i="10"/>
  <c r="V22" i="10" s="1"/>
  <c r="T20" i="10"/>
  <c r="AK15" i="10"/>
  <c r="T21" i="10"/>
  <c r="AI15" i="10"/>
  <c r="U16" i="10"/>
  <c r="AA2" i="9"/>
  <c r="AD11" i="9"/>
  <c r="Y2" i="9"/>
  <c r="U11" i="9"/>
  <c r="U10" i="9"/>
  <c r="U8" i="9"/>
  <c r="U3" i="9"/>
  <c r="U7" i="9"/>
  <c r="AD6" i="9"/>
  <c r="AD5" i="9"/>
  <c r="W2" i="9"/>
  <c r="V2" i="9"/>
  <c r="AD10" i="9"/>
  <c r="U2" i="9"/>
  <c r="AD8" i="9"/>
  <c r="AD4" i="9"/>
  <c r="X11" i="7"/>
  <c r="T14" i="7"/>
  <c r="V14" i="7" s="1"/>
  <c r="AB6" i="7"/>
  <c r="U8" i="7"/>
  <c r="Z6" i="7"/>
  <c r="U9" i="7"/>
  <c r="W6" i="7"/>
  <c r="AA3" i="7"/>
  <c r="AA6" i="7"/>
  <c r="U11" i="7"/>
  <c r="T8" i="7"/>
  <c r="V8" i="7" s="1"/>
  <c r="W3" i="7"/>
  <c r="Y11" i="7"/>
  <c r="T11" i="7"/>
  <c r="U3" i="7"/>
  <c r="AA11" i="7"/>
  <c r="AB3" i="7"/>
  <c r="T9" i="7"/>
  <c r="T12" i="7"/>
  <c r="V12" i="7" s="1"/>
  <c r="T3" i="7"/>
  <c r="T4" i="7"/>
  <c r="V4" i="7" s="1"/>
  <c r="W11" i="7"/>
  <c r="T13" i="7"/>
  <c r="V13" i="7" s="1"/>
  <c r="Y3" i="7"/>
  <c r="T6" i="7"/>
  <c r="T7" i="7"/>
  <c r="V7" i="7" s="1"/>
  <c r="U6" i="7"/>
  <c r="T14" i="6"/>
  <c r="T8" i="6"/>
  <c r="U8" i="6"/>
  <c r="U13" i="6"/>
  <c r="V8" i="6"/>
  <c r="V12" i="6"/>
  <c r="U3" i="6"/>
  <c r="V3" i="6" s="1"/>
  <c r="T13" i="6"/>
  <c r="U9" i="6"/>
  <c r="U6" i="6"/>
  <c r="T4" i="6"/>
  <c r="U14" i="6"/>
  <c r="V6" i="6"/>
  <c r="U4" i="6"/>
  <c r="T9" i="6"/>
  <c r="V9" i="6" s="1"/>
  <c r="AD8" i="11"/>
  <c r="AC5" i="11"/>
  <c r="AD5" i="11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D2" i="20" l="1"/>
  <c r="AB2" i="20"/>
  <c r="AA2" i="20"/>
  <c r="AE4" i="8"/>
  <c r="AF4" i="8"/>
  <c r="V19" i="10"/>
  <c r="AE42" i="10"/>
  <c r="AF42" i="10"/>
  <c r="V21" i="10"/>
  <c r="V20" i="10"/>
  <c r="AC71" i="10"/>
  <c r="V15" i="10"/>
  <c r="AF3" i="10"/>
  <c r="AF53" i="10"/>
  <c r="AE53" i="10"/>
  <c r="AE83" i="10"/>
  <c r="AF83" i="10"/>
  <c r="V17" i="10"/>
  <c r="AE66" i="10"/>
  <c r="AF66" i="10"/>
  <c r="V18" i="10"/>
  <c r="V16" i="10"/>
  <c r="AG2" i="9"/>
  <c r="AC2" i="9"/>
  <c r="AB2" i="9"/>
  <c r="V9" i="7"/>
  <c r="AD6" i="7"/>
  <c r="AC6" i="7"/>
  <c r="V6" i="7"/>
  <c r="AC3" i="7"/>
  <c r="AD3" i="7"/>
  <c r="V3" i="7"/>
  <c r="AD11" i="7"/>
  <c r="AC11" i="7"/>
  <c r="V11" i="7"/>
  <c r="V14" i="6"/>
  <c r="V13" i="6"/>
  <c r="V4" i="6"/>
  <c r="V8" i="5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2" i="20" l="1"/>
  <c r="AE2" i="20"/>
  <c r="AE11" i="7"/>
  <c r="AF11" i="7"/>
  <c r="AF3" i="7"/>
  <c r="AE3" i="7"/>
  <c r="AE6" i="7"/>
  <c r="AF6" i="7"/>
  <c r="AF15" i="10"/>
  <c r="AF4" i="18"/>
  <c r="AE4" i="18"/>
</calcChain>
</file>

<file path=xl/sharedStrings.xml><?xml version="1.0" encoding="utf-8"?>
<sst xmlns="http://schemas.openxmlformats.org/spreadsheetml/2006/main" count="511" uniqueCount="73">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</sst>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tabSelected="1" topLeftCell="A9" workbookViewId="0">
      <selection activeCell="G33" sqref="G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16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16" x14ac:dyDescent="0.3">
      <c r="C5" t="s">
        <v>46</v>
      </c>
    </row>
    <row r="6" spans="1:16" x14ac:dyDescent="0.3">
      <c r="D6" t="s">
        <v>51</v>
      </c>
      <c r="F6" t="s">
        <v>70</v>
      </c>
      <c r="G6">
        <v>25</v>
      </c>
      <c r="H6">
        <v>3.2914029430219167</v>
      </c>
      <c r="I6">
        <v>19.375</v>
      </c>
      <c r="J6">
        <v>3.0379543555930306</v>
      </c>
      <c r="K6">
        <v>27.375</v>
      </c>
      <c r="L6">
        <v>2.3584952830141508</v>
      </c>
      <c r="M6">
        <v>23.916666666666664</v>
      </c>
      <c r="N6">
        <v>1.4433756729740641</v>
      </c>
      <c r="O6">
        <v>4.5416666666666661</v>
      </c>
      <c r="P6">
        <v>2.8394541729001377</v>
      </c>
    </row>
    <row r="7" spans="1:16" x14ac:dyDescent="0.3">
      <c r="D7" t="s">
        <v>52</v>
      </c>
      <c r="F7" t="s">
        <v>71</v>
      </c>
      <c r="G7">
        <v>23</v>
      </c>
      <c r="H7">
        <v>1.5811388300841898</v>
      </c>
      <c r="I7">
        <v>20.75</v>
      </c>
      <c r="J7">
        <v>2.5</v>
      </c>
      <c r="K7">
        <v>25.625</v>
      </c>
      <c r="L7">
        <v>2.1360009363293826</v>
      </c>
      <c r="M7">
        <v>23.125</v>
      </c>
      <c r="N7">
        <v>1.2573855886395862</v>
      </c>
      <c r="O7">
        <v>2.375</v>
      </c>
      <c r="P7">
        <v>1.6576143053150778</v>
      </c>
    </row>
    <row r="8" spans="1:16" x14ac:dyDescent="0.3">
      <c r="C8" t="s">
        <v>50</v>
      </c>
      <c r="G8">
        <v>24.125</v>
      </c>
      <c r="H8">
        <v>2.0155644370746373</v>
      </c>
      <c r="I8">
        <v>20.625</v>
      </c>
      <c r="J8">
        <v>2.3228933107943921</v>
      </c>
      <c r="K8">
        <v>22.875</v>
      </c>
      <c r="L8">
        <v>1.796988221070652</v>
      </c>
      <c r="M8">
        <v>22.541666666666668</v>
      </c>
      <c r="N8">
        <v>0.6854979266251694</v>
      </c>
      <c r="O8">
        <v>2.541666666666667</v>
      </c>
      <c r="P8">
        <v>1.4992281965015155</v>
      </c>
    </row>
    <row r="9" spans="1:16" x14ac:dyDescent="0.3">
      <c r="C9" t="s">
        <v>72</v>
      </c>
      <c r="G9">
        <v>22.166666666666668</v>
      </c>
      <c r="H9">
        <v>0.57735026918962584</v>
      </c>
      <c r="I9">
        <v>20.5</v>
      </c>
      <c r="J9">
        <v>5.0744457825461096</v>
      </c>
      <c r="K9">
        <v>24.5</v>
      </c>
      <c r="L9">
        <v>3.0413812651491097</v>
      </c>
      <c r="M9">
        <v>22.388888888888886</v>
      </c>
      <c r="N9">
        <v>2.1235016504018209</v>
      </c>
      <c r="O9">
        <v>3.0555555555555549</v>
      </c>
      <c r="P9">
        <v>2.0161385901804505</v>
      </c>
    </row>
    <row r="10" spans="1:16" x14ac:dyDescent="0.3">
      <c r="B10" t="s">
        <v>57</v>
      </c>
    </row>
    <row r="11" spans="1:16" x14ac:dyDescent="0.3">
      <c r="C11" t="s">
        <v>4</v>
      </c>
      <c r="G11">
        <v>23.45</v>
      </c>
      <c r="H11">
        <v>2.6399705385561569</v>
      </c>
      <c r="I11">
        <v>20.2</v>
      </c>
      <c r="J11">
        <v>2.8205594401741556</v>
      </c>
      <c r="K11">
        <v>25.95</v>
      </c>
      <c r="L11">
        <v>1.6236105170610073</v>
      </c>
      <c r="M11">
        <v>23.2</v>
      </c>
      <c r="N11">
        <v>1.6059303676308667</v>
      </c>
      <c r="O11">
        <v>3.0999999999999996</v>
      </c>
      <c r="P11">
        <v>1.8260799273949007</v>
      </c>
    </row>
    <row r="12" spans="1:16" x14ac:dyDescent="0.3">
      <c r="C12" t="s">
        <v>2</v>
      </c>
      <c r="F12" t="s">
        <v>21</v>
      </c>
      <c r="G12">
        <v>23.625</v>
      </c>
      <c r="H12">
        <v>3.0325613879076827</v>
      </c>
      <c r="I12">
        <v>19.75</v>
      </c>
      <c r="J12">
        <v>3.1847852585154217</v>
      </c>
      <c r="K12">
        <v>21.9375</v>
      </c>
      <c r="L12">
        <v>1.9353386562267894</v>
      </c>
      <c r="M12">
        <v>21.770833333333332</v>
      </c>
      <c r="N12">
        <v>1.1301689015504479</v>
      </c>
      <c r="O12">
        <v>2.7708333333333339</v>
      </c>
      <c r="P12">
        <v>1.4932055111111457</v>
      </c>
    </row>
    <row r="13" spans="1:16" x14ac:dyDescent="0.3">
      <c r="A13" t="s">
        <v>64</v>
      </c>
    </row>
    <row r="14" spans="1:16" x14ac:dyDescent="0.3">
      <c r="B14" t="s">
        <v>3</v>
      </c>
    </row>
    <row r="15" spans="1:16" x14ac:dyDescent="0.3">
      <c r="C15" t="s">
        <v>4</v>
      </c>
      <c r="G15">
        <v>22.571428571428573</v>
      </c>
      <c r="H15">
        <v>2.2808728487973529</v>
      </c>
      <c r="I15">
        <v>20.714285714285715</v>
      </c>
      <c r="J15">
        <v>1.8224786888818676</v>
      </c>
      <c r="K15">
        <v>25.071428571428573</v>
      </c>
      <c r="L15">
        <v>3.2071349029490825</v>
      </c>
      <c r="M15">
        <v>22.785714285714288</v>
      </c>
      <c r="N15">
        <v>1.2572540835836763</v>
      </c>
      <c r="O15">
        <v>2.6428571428571432</v>
      </c>
      <c r="P15">
        <v>1.8669359216239139</v>
      </c>
    </row>
    <row r="16" spans="1:16" x14ac:dyDescent="0.3">
      <c r="C16" t="s">
        <v>66</v>
      </c>
      <c r="F16" t="s">
        <v>21</v>
      </c>
      <c r="G16">
        <v>23.5</v>
      </c>
      <c r="H16">
        <v>2.5495097567963922</v>
      </c>
      <c r="I16">
        <v>19</v>
      </c>
      <c r="J16">
        <v>4.0373258476372698</v>
      </c>
      <c r="K16">
        <v>19.75</v>
      </c>
      <c r="L16">
        <v>1.6046806535881213</v>
      </c>
      <c r="M16">
        <v>20.750000000000004</v>
      </c>
      <c r="N16">
        <v>1.7344547654330258</v>
      </c>
      <c r="O16">
        <v>3.2500000000000004</v>
      </c>
      <c r="P16">
        <v>1.6253204812179864</v>
      </c>
    </row>
    <row r="17" spans="2:16" x14ac:dyDescent="0.3">
      <c r="C17" t="s">
        <v>50</v>
      </c>
    </row>
    <row r="18" spans="2:16" x14ac:dyDescent="0.3">
      <c r="D18" t="s">
        <v>66</v>
      </c>
      <c r="G18">
        <v>21.85</v>
      </c>
      <c r="H18">
        <v>1.8112303982529545</v>
      </c>
      <c r="I18">
        <v>19.3</v>
      </c>
      <c r="J18">
        <v>2.3828088000882</v>
      </c>
      <c r="K18">
        <v>21.3</v>
      </c>
      <c r="L18">
        <v>3.2846444082866761</v>
      </c>
      <c r="M18">
        <v>20.81666666666667</v>
      </c>
      <c r="N18">
        <v>1.5425047771901135</v>
      </c>
      <c r="O18">
        <v>2.4166666666666661</v>
      </c>
      <c r="P18">
        <v>1.0191075737691182</v>
      </c>
    </row>
    <row r="19" spans="2:16" x14ac:dyDescent="0.3">
      <c r="E19" t="s">
        <v>72</v>
      </c>
      <c r="G19">
        <v>26.6</v>
      </c>
      <c r="H19">
        <v>2.8809720581775866</v>
      </c>
      <c r="I19">
        <v>17.2</v>
      </c>
      <c r="J19">
        <v>3.5106979363083899</v>
      </c>
      <c r="K19">
        <v>21.4</v>
      </c>
      <c r="L19">
        <v>2.6076809620810506</v>
      </c>
      <c r="M19">
        <v>21.733333333333334</v>
      </c>
      <c r="N19">
        <v>1.2281422284627033</v>
      </c>
      <c r="O19">
        <v>4.8333333333333339</v>
      </c>
      <c r="P19">
        <v>2.4152294576982389</v>
      </c>
    </row>
    <row r="20" spans="2:16" x14ac:dyDescent="0.3">
      <c r="D20" t="s">
        <v>68</v>
      </c>
    </row>
    <row r="21" spans="2:16" x14ac:dyDescent="0.3">
      <c r="E21" t="s">
        <v>66</v>
      </c>
      <c r="G21">
        <v>23.75</v>
      </c>
      <c r="H21">
        <v>3.5237290853109955</v>
      </c>
      <c r="I21">
        <v>22.5</v>
      </c>
      <c r="J21">
        <v>0.40824829046386302</v>
      </c>
      <c r="K21">
        <v>21.75</v>
      </c>
      <c r="L21">
        <v>3.662876829305985</v>
      </c>
      <c r="M21">
        <v>22.666666666666664</v>
      </c>
      <c r="N21">
        <v>2.3053882134718262</v>
      </c>
      <c r="O21">
        <v>1.9166666666666661</v>
      </c>
      <c r="P21">
        <v>0.67357531405456328</v>
      </c>
    </row>
    <row r="22" spans="2:16" x14ac:dyDescent="0.3">
      <c r="E22" t="s">
        <v>72</v>
      </c>
      <c r="G22">
        <v>25.625</v>
      </c>
      <c r="H22">
        <v>3.3260336739125176</v>
      </c>
      <c r="I22">
        <v>19.125</v>
      </c>
      <c r="J22">
        <v>0.62915286960589578</v>
      </c>
      <c r="K22">
        <v>17.875</v>
      </c>
      <c r="L22">
        <v>3.0923292192132452</v>
      </c>
      <c r="M22">
        <v>20.875</v>
      </c>
      <c r="N22">
        <v>1.3289859682117418</v>
      </c>
      <c r="O22">
        <v>3.625</v>
      </c>
      <c r="P22">
        <v>1.5949863577728434</v>
      </c>
    </row>
    <row r="24" spans="2:16" x14ac:dyDescent="0.3">
      <c r="B24" t="s">
        <v>67</v>
      </c>
    </row>
    <row r="25" spans="2:16" x14ac:dyDescent="0.3">
      <c r="C25" t="s">
        <v>4</v>
      </c>
      <c r="G25">
        <v>19.333333333333332</v>
      </c>
      <c r="H25">
        <v>2.2730302828309825</v>
      </c>
      <c r="I25">
        <v>16.083333333333332</v>
      </c>
      <c r="J25">
        <v>2.5964719653149833</v>
      </c>
      <c r="K25">
        <v>24.083333333333332</v>
      </c>
      <c r="L25">
        <v>1.9343388189938875</v>
      </c>
      <c r="M25">
        <v>19.833333333333332</v>
      </c>
      <c r="N25">
        <v>1.4220486005134358</v>
      </c>
      <c r="O25">
        <v>3.75</v>
      </c>
      <c r="P25">
        <v>2.0076243561870726</v>
      </c>
    </row>
    <row r="26" spans="2:16" x14ac:dyDescent="0.3">
      <c r="C26" t="s">
        <v>66</v>
      </c>
      <c r="F26" t="s">
        <v>21</v>
      </c>
      <c r="G26">
        <v>21.3</v>
      </c>
      <c r="H26">
        <v>1.6807736313971611</v>
      </c>
      <c r="I26">
        <v>17.7</v>
      </c>
      <c r="J26">
        <v>4.2514703338962612</v>
      </c>
      <c r="K26">
        <v>21.8</v>
      </c>
      <c r="L26">
        <v>1.2041594578792296</v>
      </c>
      <c r="M26">
        <v>20.266666666666666</v>
      </c>
      <c r="N26">
        <v>1.9811612756158954</v>
      </c>
      <c r="O26">
        <v>2.8666666666666663</v>
      </c>
      <c r="P26">
        <v>2.0186629238186353</v>
      </c>
    </row>
    <row r="27" spans="2:16" x14ac:dyDescent="0.3">
      <c r="C27" t="s">
        <v>50</v>
      </c>
    </row>
    <row r="28" spans="2:16" x14ac:dyDescent="0.3">
      <c r="D28" t="s">
        <v>66</v>
      </c>
      <c r="E28" t="s">
        <v>72</v>
      </c>
      <c r="G28">
        <v>23</v>
      </c>
      <c r="H28">
        <v>0.70710678118654757</v>
      </c>
      <c r="I28">
        <v>13.25</v>
      </c>
      <c r="J28">
        <v>2.4748737341529163</v>
      </c>
      <c r="K28">
        <v>22.75</v>
      </c>
      <c r="L28">
        <v>2.4748737341529163</v>
      </c>
      <c r="M28">
        <v>19.666666666666664</v>
      </c>
      <c r="N28">
        <v>0.23570226039551501</v>
      </c>
      <c r="O28">
        <v>6.4166666666666661</v>
      </c>
      <c r="P28">
        <v>2.7105759945484333</v>
      </c>
    </row>
    <row r="29" spans="2:16" x14ac:dyDescent="0.3">
      <c r="D29" t="s">
        <v>68</v>
      </c>
    </row>
    <row r="30" spans="2:16" x14ac:dyDescent="0.3">
      <c r="E30" t="s">
        <v>66</v>
      </c>
      <c r="G30">
        <v>23.833333333333332</v>
      </c>
      <c r="H30">
        <v>1.0408329997330663</v>
      </c>
      <c r="I30">
        <v>20</v>
      </c>
      <c r="J30">
        <v>4.5</v>
      </c>
      <c r="K30">
        <v>23.5</v>
      </c>
      <c r="L30">
        <v>1.3228756555322954</v>
      </c>
      <c r="M30">
        <v>22.444444444444446</v>
      </c>
      <c r="N30">
        <v>1.4369463507086175</v>
      </c>
      <c r="O30">
        <v>3.111111111111112</v>
      </c>
      <c r="P30">
        <v>2.2381374531648541</v>
      </c>
    </row>
    <row r="31" spans="2:16" x14ac:dyDescent="0.3">
      <c r="E31" t="s">
        <v>72</v>
      </c>
      <c r="G31">
        <v>22.75</v>
      </c>
      <c r="H31">
        <v>1.7677669529663689</v>
      </c>
      <c r="I31">
        <v>19.5</v>
      </c>
      <c r="J31">
        <v>0</v>
      </c>
      <c r="K31">
        <v>21.5</v>
      </c>
      <c r="L31">
        <v>6.3639610306789276</v>
      </c>
      <c r="M31">
        <v>21.25</v>
      </c>
      <c r="N31">
        <v>1.5320646925708512</v>
      </c>
      <c r="O31">
        <v>3</v>
      </c>
      <c r="P31">
        <v>0.2357022603955175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02F8F-7F4F-4035-A5E9-9B448496FCE0}">
  <dimension ref="B1:AF3"/>
  <sheetViews>
    <sheetView topLeftCell="M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54</v>
      </c>
      <c r="V1" t="s">
        <v>47</v>
      </c>
      <c r="W1" t="s">
        <v>55</v>
      </c>
      <c r="X1" t="s">
        <v>48</v>
      </c>
      <c r="Y1" t="s">
        <v>56</v>
      </c>
      <c r="Z1" t="s">
        <v>49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93</v>
      </c>
      <c r="C2">
        <v>7</v>
      </c>
      <c r="D2">
        <v>40</v>
      </c>
      <c r="E2">
        <v>60</v>
      </c>
      <c r="G2">
        <v>91</v>
      </c>
      <c r="H2">
        <v>9</v>
      </c>
      <c r="I2">
        <v>14</v>
      </c>
      <c r="J2">
        <v>86</v>
      </c>
      <c r="L2">
        <v>85</v>
      </c>
      <c r="M2">
        <v>15</v>
      </c>
      <c r="N2">
        <v>34</v>
      </c>
      <c r="O2">
        <v>66</v>
      </c>
      <c r="Q2">
        <f>AVERAGE(C2,D2)</f>
        <v>23.5</v>
      </c>
      <c r="R2">
        <f>AVERAGE(H2,I2)</f>
        <v>11.5</v>
      </c>
      <c r="S2">
        <f>AVERAGE(M2,N2)</f>
        <v>24.5</v>
      </c>
      <c r="T2">
        <f t="shared" ref="T2" si="0">AVERAGE(Q2:S2)</f>
        <v>19.833333333333332</v>
      </c>
      <c r="U2">
        <f>AVERAGE(Q2:Q5)</f>
        <v>23</v>
      </c>
      <c r="V2">
        <f>_xlfn.STDEV.S(Q2:Q5)</f>
        <v>0.70710678118654757</v>
      </c>
      <c r="W2">
        <f>AVERAGE(R2:R6)</f>
        <v>13.25</v>
      </c>
      <c r="X2">
        <f>_xlfn.STDEV.S(R2:R5)</f>
        <v>2.4748737341529163</v>
      </c>
      <c r="Y2">
        <f>AVERAGE(S2:S5)</f>
        <v>22.75</v>
      </c>
      <c r="Z2">
        <f>_xlfn.STDEV.S(S2:S5)</f>
        <v>2.4748737341529163</v>
      </c>
      <c r="AA2">
        <f>AVERAGE(T2:T5)</f>
        <v>19.666666666666664</v>
      </c>
      <c r="AB2">
        <f>_xlfn.STDEV.S(T2:T5)</f>
        <v>0.23570226039551501</v>
      </c>
      <c r="AC2">
        <f>MIN(Q2:S2)</f>
        <v>11.5</v>
      </c>
      <c r="AD2">
        <f>T2-AC2</f>
        <v>8.3333333333333321</v>
      </c>
      <c r="AE2">
        <f>AVERAGE(AD2:AD5)</f>
        <v>6.4166666666666661</v>
      </c>
      <c r="AF2">
        <f>_xlfn.STDEV.S(AD2:AD5)</f>
        <v>2.7105759945484333</v>
      </c>
    </row>
    <row r="3" spans="2:32" x14ac:dyDescent="0.3">
      <c r="B3">
        <v>85</v>
      </c>
      <c r="C3">
        <v>15</v>
      </c>
      <c r="D3">
        <v>30</v>
      </c>
      <c r="E3">
        <v>70</v>
      </c>
      <c r="G3">
        <v>78</v>
      </c>
      <c r="H3">
        <v>22</v>
      </c>
      <c r="I3">
        <v>8</v>
      </c>
      <c r="J3">
        <v>92</v>
      </c>
      <c r="L3">
        <v>78</v>
      </c>
      <c r="M3">
        <v>22</v>
      </c>
      <c r="N3">
        <v>20</v>
      </c>
      <c r="O3">
        <v>80</v>
      </c>
      <c r="Q3">
        <f>AVERAGE(C3,D3)</f>
        <v>22.5</v>
      </c>
      <c r="R3">
        <f>AVERAGE(H3,I3)</f>
        <v>15</v>
      </c>
      <c r="S3">
        <f>AVERAGE(M3,N3)</f>
        <v>21</v>
      </c>
      <c r="T3">
        <f t="shared" ref="T3" si="1">AVERAGE(Q3:S3)</f>
        <v>19.5</v>
      </c>
      <c r="AC3">
        <f>MIN(Q3:S3)</f>
        <v>15</v>
      </c>
      <c r="AD3">
        <f>T3-AC3</f>
        <v>4.5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topLeftCell="L1" workbookViewId="0">
      <selection activeCell="Q10" sqref="Q10:AF10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37</v>
      </c>
      <c r="E4">
        <v>63</v>
      </c>
      <c r="G4">
        <v>74</v>
      </c>
      <c r="H4">
        <v>26</v>
      </c>
      <c r="I4">
        <v>19</v>
      </c>
      <c r="J4">
        <v>81</v>
      </c>
      <c r="L4">
        <v>80</v>
      </c>
      <c r="M4">
        <v>20</v>
      </c>
      <c r="N4">
        <v>20</v>
      </c>
      <c r="O4">
        <v>80</v>
      </c>
      <c r="Q4">
        <f>AVERAGE(C4,D4)</f>
        <v>23</v>
      </c>
      <c r="R4">
        <f>AVERAGE(H4,I4)</f>
        <v>22.5</v>
      </c>
      <c r="S4">
        <f>AVERAGE(M4,N4)</f>
        <v>20</v>
      </c>
      <c r="T4">
        <f>AVERAGE(Q4:S4)</f>
        <v>21.833333333333332</v>
      </c>
      <c r="U4">
        <f>AVERAGE(Q4:Q7)</f>
        <v>23.75</v>
      </c>
      <c r="V4">
        <f>_xlfn.STDEV.S(Q4:Q7)</f>
        <v>3.5237290853109955</v>
      </c>
      <c r="W4">
        <f>AVERAGE(R4:R8)</f>
        <v>22.5</v>
      </c>
      <c r="X4">
        <f>_xlfn.STDEV.S(R4:R7)</f>
        <v>0.40824829046386302</v>
      </c>
      <c r="Y4">
        <f>AVERAGE(S4:S7)</f>
        <v>21.75</v>
      </c>
      <c r="Z4">
        <f>_xlfn.STDEV.S(S4:S7)</f>
        <v>3.662876829305985</v>
      </c>
      <c r="AA4">
        <f>AVERAGE(T4:T7)</f>
        <v>22.666666666666664</v>
      </c>
      <c r="AB4">
        <f>_xlfn.STDEV.S(T4:T7)</f>
        <v>2.3053882134718262</v>
      </c>
      <c r="AC4">
        <f>MIN(Q4:S4)</f>
        <v>20</v>
      </c>
      <c r="AD4">
        <f>T4-AC4</f>
        <v>1.8333333333333321</v>
      </c>
      <c r="AE4">
        <f>AVERAGE(AD4:AD7)</f>
        <v>1.9166666666666661</v>
      </c>
      <c r="AF4">
        <f>_xlfn.STDEV.S(AD4:AD7)</f>
        <v>0.67357531405456328</v>
      </c>
    </row>
    <row r="5" spans="1:32" x14ac:dyDescent="0.3">
      <c r="B5">
        <v>91</v>
      </c>
      <c r="C5">
        <v>9</v>
      </c>
      <c r="D5">
        <v>48</v>
      </c>
      <c r="E5">
        <v>52</v>
      </c>
      <c r="G5">
        <v>77</v>
      </c>
      <c r="H5">
        <v>23</v>
      </c>
      <c r="I5">
        <v>22</v>
      </c>
      <c r="J5">
        <v>78</v>
      </c>
      <c r="L5">
        <v>81</v>
      </c>
      <c r="M5">
        <v>19</v>
      </c>
      <c r="N5">
        <v>29</v>
      </c>
      <c r="O5">
        <v>71</v>
      </c>
      <c r="Q5">
        <f t="shared" ref="Q5:Q7" si="0">AVERAGE(C5,D5)</f>
        <v>28.5</v>
      </c>
      <c r="R5">
        <f t="shared" ref="R5:R7" si="1">AVERAGE(H5,I5)</f>
        <v>22.5</v>
      </c>
      <c r="S5">
        <f t="shared" ref="S5:S7" si="2">AVERAGE(M5,N5)</f>
        <v>24</v>
      </c>
      <c r="T5">
        <f t="shared" ref="T5:T7" si="3">AVERAGE(Q5:S5)</f>
        <v>25</v>
      </c>
      <c r="AC5">
        <f t="shared" ref="AC5:AC7" si="4">MIN(Q5:S5)</f>
        <v>22.5</v>
      </c>
      <c r="AD5">
        <f t="shared" ref="AD5:AD7" si="5">T5-AC5</f>
        <v>2.5</v>
      </c>
    </row>
    <row r="6" spans="1:32" x14ac:dyDescent="0.3">
      <c r="B6">
        <v>92</v>
      </c>
      <c r="C6">
        <v>8</v>
      </c>
      <c r="D6">
        <v>39</v>
      </c>
      <c r="E6">
        <v>61</v>
      </c>
      <c r="G6">
        <v>78</v>
      </c>
      <c r="H6">
        <v>22</v>
      </c>
      <c r="I6">
        <v>24</v>
      </c>
      <c r="J6">
        <v>76</v>
      </c>
      <c r="L6">
        <v>88</v>
      </c>
      <c r="M6">
        <v>12</v>
      </c>
      <c r="N6">
        <v>39</v>
      </c>
      <c r="O6">
        <v>61</v>
      </c>
      <c r="Q6">
        <f t="shared" si="0"/>
        <v>23.5</v>
      </c>
      <c r="R6">
        <f t="shared" si="1"/>
        <v>23</v>
      </c>
      <c r="S6">
        <f t="shared" si="2"/>
        <v>25.5</v>
      </c>
      <c r="T6">
        <f t="shared" si="3"/>
        <v>24</v>
      </c>
      <c r="AC6">
        <f t="shared" si="4"/>
        <v>23</v>
      </c>
      <c r="AD6">
        <f t="shared" si="5"/>
        <v>1</v>
      </c>
    </row>
    <row r="7" spans="1:32" x14ac:dyDescent="0.3">
      <c r="A7" t="s">
        <v>23</v>
      </c>
      <c r="B7">
        <v>82</v>
      </c>
      <c r="C7">
        <v>18</v>
      </c>
      <c r="D7">
        <v>22</v>
      </c>
      <c r="E7">
        <v>78</v>
      </c>
      <c r="G7">
        <v>74</v>
      </c>
      <c r="H7">
        <v>26</v>
      </c>
      <c r="I7">
        <v>18</v>
      </c>
      <c r="J7">
        <v>82</v>
      </c>
      <c r="L7">
        <v>77</v>
      </c>
      <c r="M7">
        <v>23</v>
      </c>
      <c r="N7">
        <v>12</v>
      </c>
      <c r="O7">
        <v>88</v>
      </c>
      <c r="Q7">
        <f t="shared" si="0"/>
        <v>20</v>
      </c>
      <c r="R7">
        <f t="shared" si="1"/>
        <v>22</v>
      </c>
      <c r="S7">
        <f t="shared" si="2"/>
        <v>17.5</v>
      </c>
      <c r="T7">
        <f t="shared" si="3"/>
        <v>19.833333333333332</v>
      </c>
      <c r="AC7">
        <f t="shared" si="4"/>
        <v>17.5</v>
      </c>
      <c r="AD7">
        <f t="shared" si="5"/>
        <v>2.3333333333333321</v>
      </c>
    </row>
    <row r="9" spans="1:32" x14ac:dyDescent="0.3">
      <c r="A9" t="s">
        <v>72</v>
      </c>
    </row>
    <row r="10" spans="1:32" x14ac:dyDescent="0.3">
      <c r="B10">
        <v>89</v>
      </c>
      <c r="C10">
        <v>11</v>
      </c>
      <c r="D10">
        <v>36</v>
      </c>
      <c r="E10">
        <v>64</v>
      </c>
      <c r="G10">
        <v>81</v>
      </c>
      <c r="H10">
        <v>19</v>
      </c>
      <c r="I10">
        <v>19</v>
      </c>
      <c r="J10">
        <v>81</v>
      </c>
      <c r="L10">
        <v>76</v>
      </c>
      <c r="M10">
        <v>24</v>
      </c>
      <c r="N10">
        <v>19</v>
      </c>
      <c r="O10">
        <v>81</v>
      </c>
      <c r="Q10">
        <f t="shared" ref="Q8:Q13" si="6">AVERAGE(C10,D10)</f>
        <v>23.5</v>
      </c>
      <c r="R10">
        <f t="shared" ref="R8:R13" si="7">AVERAGE(H10,I10)</f>
        <v>19</v>
      </c>
      <c r="S10">
        <f t="shared" ref="S8:S13" si="8">AVERAGE(M10,N10)</f>
        <v>21.5</v>
      </c>
      <c r="T10">
        <f t="shared" ref="T8:T13" si="9">AVERAGE(Q10:S10)</f>
        <v>21.333333333333332</v>
      </c>
      <c r="U10">
        <f>AVERAGE(Q10:Q13)</f>
        <v>25.625</v>
      </c>
      <c r="V10">
        <f>_xlfn.STDEV.S(Q10:Q13)</f>
        <v>3.3260336739125176</v>
      </c>
      <c r="W10">
        <f>AVERAGE(R10:R14)</f>
        <v>19.125</v>
      </c>
      <c r="X10">
        <f>_xlfn.STDEV.S(R10:R13)</f>
        <v>0.62915286960589578</v>
      </c>
      <c r="Y10">
        <f>AVERAGE(S10:S13)</f>
        <v>17.875</v>
      </c>
      <c r="Z10">
        <f>_xlfn.STDEV.S(S10:S13)</f>
        <v>3.0923292192132452</v>
      </c>
      <c r="AA10">
        <f>AVERAGE(T10:T13)</f>
        <v>20.875</v>
      </c>
      <c r="AB10">
        <f>_xlfn.STDEV.S(T10:T13)</f>
        <v>1.3289859682117418</v>
      </c>
      <c r="AC10">
        <f t="shared" ref="AC8:AC13" si="10">MIN(Q10:S10)</f>
        <v>19</v>
      </c>
      <c r="AD10">
        <f t="shared" ref="AD8:AD13" si="11">T10-AC10</f>
        <v>2.3333333333333321</v>
      </c>
      <c r="AE10">
        <f>AVERAGE(AD10:AD13)</f>
        <v>3.625</v>
      </c>
      <c r="AF10">
        <f>_xlfn.STDEV.S(AD10:AD13)</f>
        <v>1.5949863577728434</v>
      </c>
    </row>
    <row r="11" spans="1:32" x14ac:dyDescent="0.3">
      <c r="B11">
        <v>89</v>
      </c>
      <c r="C11">
        <v>11</v>
      </c>
      <c r="D11">
        <v>39</v>
      </c>
      <c r="E11">
        <v>61</v>
      </c>
      <c r="G11">
        <v>79</v>
      </c>
      <c r="H11">
        <v>21</v>
      </c>
      <c r="I11">
        <v>16</v>
      </c>
      <c r="J11">
        <v>84</v>
      </c>
      <c r="L11">
        <v>81</v>
      </c>
      <c r="M11">
        <v>19</v>
      </c>
      <c r="N11">
        <v>18</v>
      </c>
      <c r="O11">
        <v>82</v>
      </c>
      <c r="Q11">
        <f t="shared" si="6"/>
        <v>25</v>
      </c>
      <c r="R11">
        <f t="shared" si="7"/>
        <v>18.5</v>
      </c>
      <c r="S11">
        <f t="shared" si="8"/>
        <v>18.5</v>
      </c>
      <c r="T11">
        <f t="shared" si="9"/>
        <v>20.666666666666668</v>
      </c>
      <c r="AC11">
        <f t="shared" si="10"/>
        <v>18.5</v>
      </c>
      <c r="AD11">
        <f t="shared" si="11"/>
        <v>2.1666666666666679</v>
      </c>
    </row>
    <row r="12" spans="1:32" x14ac:dyDescent="0.3">
      <c r="B12">
        <v>93</v>
      </c>
      <c r="C12">
        <v>7</v>
      </c>
      <c r="D12">
        <v>54</v>
      </c>
      <c r="E12">
        <v>46</v>
      </c>
      <c r="G12">
        <v>83</v>
      </c>
      <c r="H12">
        <v>17</v>
      </c>
      <c r="I12">
        <v>21</v>
      </c>
      <c r="J12">
        <v>79</v>
      </c>
      <c r="L12">
        <v>83</v>
      </c>
      <c r="M12">
        <v>17</v>
      </c>
      <c r="N12">
        <v>18</v>
      </c>
      <c r="O12">
        <v>82</v>
      </c>
      <c r="Q12">
        <f t="shared" si="6"/>
        <v>30.5</v>
      </c>
      <c r="R12">
        <f t="shared" si="7"/>
        <v>19</v>
      </c>
      <c r="S12">
        <f t="shared" si="8"/>
        <v>17.5</v>
      </c>
      <c r="T12">
        <f t="shared" si="9"/>
        <v>22.333333333333332</v>
      </c>
      <c r="AC12">
        <f t="shared" si="10"/>
        <v>17.5</v>
      </c>
      <c r="AD12">
        <f t="shared" si="11"/>
        <v>4.8333333333333321</v>
      </c>
    </row>
    <row r="13" spans="1:32" x14ac:dyDescent="0.3">
      <c r="B13">
        <v>96</v>
      </c>
      <c r="C13">
        <v>4</v>
      </c>
      <c r="D13">
        <v>43</v>
      </c>
      <c r="E13">
        <v>57</v>
      </c>
      <c r="G13">
        <v>75</v>
      </c>
      <c r="H13">
        <v>25</v>
      </c>
      <c r="I13">
        <v>15</v>
      </c>
      <c r="J13">
        <v>85</v>
      </c>
      <c r="L13">
        <v>86</v>
      </c>
      <c r="M13">
        <v>14</v>
      </c>
      <c r="N13">
        <v>14</v>
      </c>
      <c r="O13">
        <v>86</v>
      </c>
      <c r="Q13">
        <f t="shared" si="6"/>
        <v>23.5</v>
      </c>
      <c r="R13">
        <f t="shared" si="7"/>
        <v>20</v>
      </c>
      <c r="S13">
        <f t="shared" si="8"/>
        <v>14</v>
      </c>
      <c r="T13">
        <f t="shared" si="9"/>
        <v>19.166666666666668</v>
      </c>
      <c r="AC13">
        <f t="shared" si="10"/>
        <v>14</v>
      </c>
      <c r="AD13">
        <f t="shared" si="11"/>
        <v>5.1666666666666679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topLeftCell="L1" workbookViewId="0">
      <selection activeCell="Q2" sqref="Q2:AF2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1"/>
  <sheetViews>
    <sheetView topLeftCell="L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84</v>
      </c>
      <c r="H4">
        <v>16</v>
      </c>
      <c r="I4">
        <v>24</v>
      </c>
      <c r="J4">
        <v>76</v>
      </c>
      <c r="L4">
        <v>83</v>
      </c>
      <c r="M4">
        <v>17</v>
      </c>
      <c r="N4">
        <v>29</v>
      </c>
      <c r="O4">
        <v>71</v>
      </c>
      <c r="Q4">
        <f>AVERAGE(C4:D4)</f>
        <v>23.5</v>
      </c>
      <c r="R4">
        <f>AVERAGE(H4:I4)</f>
        <v>20</v>
      </c>
      <c r="S4">
        <f>AVERAGE(M4:N4)</f>
        <v>23</v>
      </c>
      <c r="T4">
        <f>AVERAGE(Q4:S4)</f>
        <v>22.166666666666668</v>
      </c>
      <c r="U4">
        <f>AVERAGE(Q4:Q6)</f>
        <v>23.833333333333332</v>
      </c>
      <c r="V4">
        <f>_xlfn.STDEV.S(Q4:Q6)</f>
        <v>1.0408329997330663</v>
      </c>
      <c r="W4">
        <f>AVERAGE(R4:R6)</f>
        <v>20</v>
      </c>
      <c r="X4">
        <f>_xlfn.STDEV.S(R4:R6)</f>
        <v>4.5</v>
      </c>
      <c r="Y4">
        <f>AVERAGE(S4:S6)</f>
        <v>23.5</v>
      </c>
      <c r="Z4">
        <f>_xlfn.STDEV.S(S4:S6)</f>
        <v>1.3228756555322954</v>
      </c>
      <c r="AA4">
        <f>AVERAGE(T4:T6)</f>
        <v>22.444444444444446</v>
      </c>
      <c r="AB4">
        <f>_xlfn.STDEV.S(T4:T6)</f>
        <v>1.4369463507086175</v>
      </c>
      <c r="AC4">
        <f>MIN(Q4:S4)</f>
        <v>20</v>
      </c>
      <c r="AD4">
        <f>T4-AC4</f>
        <v>2.1666666666666679</v>
      </c>
      <c r="AE4">
        <f>AVERAGE(AD4:AD6)</f>
        <v>3.111111111111112</v>
      </c>
      <c r="AF4">
        <f>_xlfn.STDEV.S(AD4:AD6)</f>
        <v>2.2381374531648541</v>
      </c>
    </row>
    <row r="5" spans="1:32" x14ac:dyDescent="0.3">
      <c r="B5">
        <v>89</v>
      </c>
      <c r="C5">
        <v>11</v>
      </c>
      <c r="D5">
        <v>35</v>
      </c>
      <c r="E5">
        <v>65</v>
      </c>
      <c r="G5">
        <v>86</v>
      </c>
      <c r="H5">
        <v>14</v>
      </c>
      <c r="I5">
        <v>17</v>
      </c>
      <c r="J5">
        <v>83</v>
      </c>
      <c r="L5">
        <v>80</v>
      </c>
      <c r="M5">
        <v>20</v>
      </c>
      <c r="N5">
        <v>30</v>
      </c>
      <c r="O5">
        <v>70</v>
      </c>
      <c r="Q5">
        <f t="shared" ref="Q5:Q6" si="0">AVERAGE(C5:D5)</f>
        <v>23</v>
      </c>
      <c r="R5">
        <f t="shared" ref="R5:R6" si="1">AVERAGE(H5:I5)</f>
        <v>15.5</v>
      </c>
      <c r="S5">
        <f t="shared" ref="S5:S6" si="2">AVERAGE(M5:N5)</f>
        <v>25</v>
      </c>
      <c r="T5">
        <f t="shared" ref="T5:T6" si="3">AVERAGE(Q5:S5)</f>
        <v>21.166666666666668</v>
      </c>
      <c r="AC5">
        <f t="shared" ref="AC5:AC6" si="4">MIN(Q5:S5)</f>
        <v>15.5</v>
      </c>
      <c r="AD5">
        <f t="shared" ref="AD5:AD6" si="5">T5-AC5</f>
        <v>5.6666666666666679</v>
      </c>
    </row>
    <row r="6" spans="1:32" x14ac:dyDescent="0.3">
      <c r="B6">
        <v>84</v>
      </c>
      <c r="C6">
        <v>16</v>
      </c>
      <c r="D6">
        <v>34</v>
      </c>
      <c r="E6">
        <v>66</v>
      </c>
      <c r="G6">
        <v>72</v>
      </c>
      <c r="H6">
        <v>28</v>
      </c>
      <c r="I6">
        <v>21</v>
      </c>
      <c r="J6">
        <v>79</v>
      </c>
      <c r="L6">
        <v>78</v>
      </c>
      <c r="M6">
        <v>22</v>
      </c>
      <c r="N6">
        <v>23</v>
      </c>
      <c r="O6">
        <v>77</v>
      </c>
      <c r="Q6">
        <f t="shared" si="0"/>
        <v>25</v>
      </c>
      <c r="R6">
        <f t="shared" si="1"/>
        <v>24.5</v>
      </c>
      <c r="S6">
        <f t="shared" si="2"/>
        <v>22.5</v>
      </c>
      <c r="T6">
        <f t="shared" si="3"/>
        <v>24</v>
      </c>
      <c r="AC6">
        <f t="shared" si="4"/>
        <v>22.5</v>
      </c>
      <c r="AD6">
        <f t="shared" si="5"/>
        <v>1.5</v>
      </c>
    </row>
    <row r="7" spans="1:32" x14ac:dyDescent="0.3">
      <c r="A7" t="s">
        <v>23</v>
      </c>
    </row>
    <row r="9" spans="1:32" x14ac:dyDescent="0.3">
      <c r="A9" t="s">
        <v>72</v>
      </c>
    </row>
    <row r="10" spans="1:32" x14ac:dyDescent="0.3">
      <c r="B10">
        <v>95</v>
      </c>
      <c r="C10">
        <v>5</v>
      </c>
      <c r="D10">
        <v>43</v>
      </c>
      <c r="E10">
        <v>57</v>
      </c>
      <c r="G10">
        <v>78</v>
      </c>
      <c r="H10">
        <v>22</v>
      </c>
      <c r="I10">
        <v>17</v>
      </c>
      <c r="J10">
        <v>83</v>
      </c>
      <c r="L10">
        <v>88</v>
      </c>
      <c r="M10">
        <v>12</v>
      </c>
      <c r="N10">
        <v>22</v>
      </c>
      <c r="O10">
        <v>78</v>
      </c>
      <c r="Q10">
        <f t="shared" ref="Q7:Q11" si="6">AVERAGE(C10:D10)</f>
        <v>24</v>
      </c>
      <c r="R10">
        <f t="shared" ref="R7:R11" si="7">AVERAGE(H10:I10)</f>
        <v>19.5</v>
      </c>
      <c r="S10">
        <f t="shared" ref="S7:S11" si="8">AVERAGE(M10:N10)</f>
        <v>17</v>
      </c>
      <c r="T10">
        <f t="shared" ref="T7:T11" si="9">AVERAGE(Q10:S10)</f>
        <v>20.166666666666668</v>
      </c>
      <c r="U10">
        <f>AVERAGE(Q10:Q12)</f>
        <v>22.75</v>
      </c>
      <c r="V10">
        <f>_xlfn.STDEV.S(Q10:Q12)</f>
        <v>1.7677669529663689</v>
      </c>
      <c r="W10">
        <f>AVERAGE(R10:R12)</f>
        <v>19.5</v>
      </c>
      <c r="X10">
        <f>_xlfn.STDEV.S(R10:R12)</f>
        <v>0</v>
      </c>
      <c r="Y10">
        <f>AVERAGE(S10:S12)</f>
        <v>21.5</v>
      </c>
      <c r="Z10">
        <f>_xlfn.STDEV.S(S10:S12)</f>
        <v>6.3639610306789276</v>
      </c>
      <c r="AA10">
        <f>AVERAGE(T10:T12)</f>
        <v>21.25</v>
      </c>
      <c r="AB10">
        <f>_xlfn.STDEV.S(T10:T12)</f>
        <v>1.5320646925708512</v>
      </c>
      <c r="AC10">
        <f t="shared" ref="AC7:AC11" si="10">MIN(Q10:S10)</f>
        <v>17</v>
      </c>
      <c r="AD10">
        <f t="shared" ref="AD7:AD11" si="11">T10-AC10</f>
        <v>3.1666666666666679</v>
      </c>
      <c r="AE10">
        <f>AVERAGE(AD10:AD12)</f>
        <v>3</v>
      </c>
      <c r="AF10">
        <f>_xlfn.STDEV.S(AD10:AD12)</f>
        <v>0.2357022603955175</v>
      </c>
    </row>
    <row r="11" spans="1:32" x14ac:dyDescent="0.3">
      <c r="B11">
        <v>89</v>
      </c>
      <c r="C11">
        <v>11</v>
      </c>
      <c r="D11">
        <v>32</v>
      </c>
      <c r="E11">
        <v>68</v>
      </c>
      <c r="G11">
        <v>71</v>
      </c>
      <c r="H11">
        <v>29</v>
      </c>
      <c r="I11">
        <v>10</v>
      </c>
      <c r="J11">
        <v>90</v>
      </c>
      <c r="L11">
        <v>69</v>
      </c>
      <c r="M11">
        <v>31</v>
      </c>
      <c r="N11">
        <v>21</v>
      </c>
      <c r="O11">
        <v>79</v>
      </c>
      <c r="Q11">
        <f t="shared" si="6"/>
        <v>21.5</v>
      </c>
      <c r="R11">
        <f t="shared" si="7"/>
        <v>19.5</v>
      </c>
      <c r="S11">
        <f t="shared" si="8"/>
        <v>26</v>
      </c>
      <c r="T11">
        <f t="shared" si="9"/>
        <v>22.333333333333332</v>
      </c>
      <c r="AC11">
        <f t="shared" si="10"/>
        <v>19.5</v>
      </c>
      <c r="AD11">
        <f t="shared" si="11"/>
        <v>2.8333333333333321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0"/>
  <sheetViews>
    <sheetView topLeftCell="M11" workbookViewId="0">
      <selection activeCell="AF26" activeCellId="2" sqref="U26:AB26 AE26 AF26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93</v>
      </c>
      <c r="C4">
        <v>7</v>
      </c>
      <c r="D4">
        <v>41</v>
      </c>
      <c r="E4">
        <v>59</v>
      </c>
      <c r="G4">
        <v>76</v>
      </c>
      <c r="H4">
        <v>24</v>
      </c>
      <c r="I4">
        <v>21</v>
      </c>
      <c r="J4">
        <v>79</v>
      </c>
      <c r="L4">
        <v>83</v>
      </c>
      <c r="M4">
        <v>17</v>
      </c>
      <c r="N4">
        <v>21</v>
      </c>
      <c r="O4">
        <v>79</v>
      </c>
      <c r="Q4">
        <f>AVERAGE(C4:D4)</f>
        <v>24</v>
      </c>
      <c r="R4">
        <f>AVERAGE(H4:I4)</f>
        <v>22.5</v>
      </c>
      <c r="S4">
        <f>AVERAGE(M4:N4)</f>
        <v>19</v>
      </c>
      <c r="T4">
        <f>AVERAGE(Q4:S4)</f>
        <v>21.833333333333332</v>
      </c>
      <c r="U4">
        <f>AVERAGE(Q4:Q13)</f>
        <v>21.85</v>
      </c>
      <c r="V4">
        <f>_xlfn.STDEV.S(Q4:Q13)</f>
        <v>1.8112303982529545</v>
      </c>
      <c r="W4">
        <f>AVERAGE(R4:R13)</f>
        <v>19.3</v>
      </c>
      <c r="X4">
        <f>_xlfn.STDEV.S(R4:R13)</f>
        <v>2.3828088000882</v>
      </c>
      <c r="Y4">
        <f>AVERAGE(S4:S13)</f>
        <v>21.3</v>
      </c>
      <c r="Z4">
        <f>_xlfn.STDEV.S(S4:S13)</f>
        <v>3.2846444082866761</v>
      </c>
      <c r="AA4">
        <f>AVERAGE(T4:T13)</f>
        <v>20.81666666666667</v>
      </c>
      <c r="AB4">
        <f>_xlfn.STDEV.S(T4:T13)</f>
        <v>1.5425047771901135</v>
      </c>
      <c r="AC4">
        <f>MIN(Q4:S4)</f>
        <v>19</v>
      </c>
      <c r="AD4">
        <f>T4-AC4</f>
        <v>2.8333333333333321</v>
      </c>
      <c r="AE4">
        <f>AVERAGE(AD4:AD13)</f>
        <v>2.4166666666666661</v>
      </c>
      <c r="AF4">
        <f>_xlfn.STDEV.S(AD4:AD13)</f>
        <v>1.0191075737691182</v>
      </c>
    </row>
    <row r="5" spans="1:32" x14ac:dyDescent="0.3">
      <c r="B5">
        <v>92</v>
      </c>
      <c r="C5">
        <v>8</v>
      </c>
      <c r="D5">
        <v>34</v>
      </c>
      <c r="E5">
        <v>66</v>
      </c>
      <c r="G5">
        <v>76</v>
      </c>
      <c r="H5">
        <v>24</v>
      </c>
      <c r="I5">
        <v>14</v>
      </c>
      <c r="J5">
        <v>86</v>
      </c>
      <c r="L5">
        <v>78</v>
      </c>
      <c r="M5">
        <v>22</v>
      </c>
      <c r="N5">
        <v>14</v>
      </c>
      <c r="O5">
        <v>86</v>
      </c>
      <c r="Q5">
        <f t="shared" ref="Q5:Q13" si="0">AVERAGE(C5:D5)</f>
        <v>21</v>
      </c>
      <c r="R5">
        <f t="shared" ref="R5:R13" si="1">AVERAGE(H5:I5)</f>
        <v>19</v>
      </c>
      <c r="S5">
        <f t="shared" ref="S5:S13" si="2">AVERAGE(M5:N5)</f>
        <v>18</v>
      </c>
      <c r="T5">
        <f t="shared" ref="T5:T13" si="3">AVERAGE(Q5:S5)</f>
        <v>19.333333333333332</v>
      </c>
      <c r="AC5">
        <f t="shared" ref="AC5:AC13" si="4">MIN(Q5:S5)</f>
        <v>18</v>
      </c>
      <c r="AD5">
        <f t="shared" ref="AD5:AD13" si="5">T5-AC5</f>
        <v>1.3333333333333321</v>
      </c>
    </row>
    <row r="6" spans="1:32" x14ac:dyDescent="0.3">
      <c r="B6">
        <v>93</v>
      </c>
      <c r="C6">
        <v>7</v>
      </c>
      <c r="D6">
        <v>32</v>
      </c>
      <c r="E6">
        <v>68</v>
      </c>
      <c r="G6">
        <v>84</v>
      </c>
      <c r="H6">
        <v>16</v>
      </c>
      <c r="I6">
        <v>16</v>
      </c>
      <c r="J6">
        <v>84</v>
      </c>
      <c r="L6">
        <v>74</v>
      </c>
      <c r="M6">
        <v>26</v>
      </c>
      <c r="N6">
        <v>22</v>
      </c>
      <c r="O6">
        <v>78</v>
      </c>
      <c r="Q6">
        <f t="shared" si="0"/>
        <v>19.5</v>
      </c>
      <c r="R6">
        <f t="shared" si="1"/>
        <v>16</v>
      </c>
      <c r="S6">
        <f t="shared" si="2"/>
        <v>24</v>
      </c>
      <c r="T6">
        <f t="shared" si="3"/>
        <v>19.833333333333332</v>
      </c>
      <c r="AC6">
        <f t="shared" si="4"/>
        <v>16</v>
      </c>
      <c r="AD6">
        <f t="shared" si="5"/>
        <v>3.8333333333333321</v>
      </c>
    </row>
    <row r="7" spans="1:32" x14ac:dyDescent="0.3">
      <c r="A7" t="s">
        <v>23</v>
      </c>
      <c r="B7">
        <v>95</v>
      </c>
      <c r="C7">
        <v>5</v>
      </c>
      <c r="D7">
        <v>35</v>
      </c>
      <c r="E7">
        <v>65</v>
      </c>
      <c r="G7">
        <v>82</v>
      </c>
      <c r="H7">
        <v>18</v>
      </c>
      <c r="I7">
        <v>21</v>
      </c>
      <c r="J7">
        <v>79</v>
      </c>
      <c r="L7">
        <v>80</v>
      </c>
      <c r="M7">
        <v>20</v>
      </c>
      <c r="N7">
        <v>28</v>
      </c>
      <c r="O7">
        <v>72</v>
      </c>
      <c r="Q7">
        <f t="shared" si="0"/>
        <v>20</v>
      </c>
      <c r="R7">
        <f t="shared" si="1"/>
        <v>19.5</v>
      </c>
      <c r="S7">
        <f t="shared" si="2"/>
        <v>24</v>
      </c>
      <c r="T7">
        <f t="shared" si="3"/>
        <v>21.166666666666668</v>
      </c>
      <c r="AC7">
        <f t="shared" si="4"/>
        <v>19.5</v>
      </c>
      <c r="AD7">
        <f t="shared" si="5"/>
        <v>1.6666666666666679</v>
      </c>
    </row>
    <row r="8" spans="1:32" x14ac:dyDescent="0.3">
      <c r="B8">
        <v>90</v>
      </c>
      <c r="C8">
        <v>10</v>
      </c>
      <c r="D8">
        <v>36</v>
      </c>
      <c r="E8">
        <v>64</v>
      </c>
      <c r="G8">
        <v>78</v>
      </c>
      <c r="H8">
        <v>22</v>
      </c>
      <c r="I8">
        <v>18</v>
      </c>
      <c r="J8">
        <v>82</v>
      </c>
      <c r="L8">
        <v>77</v>
      </c>
      <c r="M8">
        <v>23</v>
      </c>
      <c r="N8">
        <v>22</v>
      </c>
      <c r="O8">
        <v>78</v>
      </c>
      <c r="Q8">
        <f t="shared" si="0"/>
        <v>23</v>
      </c>
      <c r="R8">
        <f t="shared" si="1"/>
        <v>20</v>
      </c>
      <c r="S8">
        <f t="shared" si="2"/>
        <v>22.5</v>
      </c>
      <c r="T8">
        <f t="shared" si="3"/>
        <v>21.833333333333332</v>
      </c>
      <c r="AC8">
        <f t="shared" si="4"/>
        <v>20</v>
      </c>
      <c r="AD8">
        <f t="shared" si="5"/>
        <v>1.8333333333333321</v>
      </c>
    </row>
    <row r="9" spans="1:32" x14ac:dyDescent="0.3">
      <c r="B9">
        <v>96</v>
      </c>
      <c r="C9">
        <v>4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86</v>
      </c>
      <c r="M9">
        <v>14</v>
      </c>
      <c r="N9">
        <v>30</v>
      </c>
      <c r="O9">
        <v>70</v>
      </c>
      <c r="Q9">
        <f t="shared" si="0"/>
        <v>20</v>
      </c>
      <c r="R9">
        <f t="shared" si="1"/>
        <v>19.5</v>
      </c>
      <c r="S9">
        <f t="shared" si="2"/>
        <v>22</v>
      </c>
      <c r="T9">
        <f t="shared" si="3"/>
        <v>20.5</v>
      </c>
      <c r="AC9">
        <f t="shared" si="4"/>
        <v>19.5</v>
      </c>
      <c r="AD9">
        <f t="shared" si="5"/>
        <v>1</v>
      </c>
    </row>
    <row r="10" spans="1:32" x14ac:dyDescent="0.3">
      <c r="B10">
        <v>90</v>
      </c>
      <c r="C10">
        <v>10</v>
      </c>
      <c r="D10">
        <v>31</v>
      </c>
      <c r="E10">
        <v>69</v>
      </c>
      <c r="G10">
        <v>74</v>
      </c>
      <c r="H10">
        <v>26</v>
      </c>
      <c r="I10">
        <v>16</v>
      </c>
      <c r="J10">
        <v>84</v>
      </c>
      <c r="L10">
        <v>78</v>
      </c>
      <c r="M10">
        <v>22</v>
      </c>
      <c r="N10">
        <v>11</v>
      </c>
      <c r="O10">
        <v>89</v>
      </c>
      <c r="Q10">
        <f t="shared" si="0"/>
        <v>20.5</v>
      </c>
      <c r="R10">
        <f t="shared" si="1"/>
        <v>21</v>
      </c>
      <c r="S10">
        <f t="shared" si="2"/>
        <v>16.5</v>
      </c>
      <c r="T10">
        <f t="shared" si="3"/>
        <v>19.333333333333332</v>
      </c>
      <c r="AC10">
        <f t="shared" si="4"/>
        <v>16.5</v>
      </c>
      <c r="AD10">
        <f t="shared" si="5"/>
        <v>2.8333333333333321</v>
      </c>
    </row>
    <row r="11" spans="1:32" x14ac:dyDescent="0.3">
      <c r="B11">
        <v>91</v>
      </c>
      <c r="C11">
        <v>9</v>
      </c>
      <c r="D11">
        <v>39</v>
      </c>
      <c r="E11">
        <v>61</v>
      </c>
      <c r="G11">
        <v>84</v>
      </c>
      <c r="H11">
        <v>16</v>
      </c>
      <c r="I11">
        <v>14</v>
      </c>
      <c r="J11">
        <v>86</v>
      </c>
      <c r="L11">
        <v>89</v>
      </c>
      <c r="M11">
        <v>11</v>
      </c>
      <c r="N11">
        <v>24</v>
      </c>
      <c r="O11">
        <v>76</v>
      </c>
      <c r="Q11">
        <f t="shared" si="0"/>
        <v>24</v>
      </c>
      <c r="R11">
        <f t="shared" si="1"/>
        <v>15</v>
      </c>
      <c r="S11">
        <f t="shared" si="2"/>
        <v>17.5</v>
      </c>
      <c r="T11">
        <f t="shared" si="3"/>
        <v>18.833333333333332</v>
      </c>
      <c r="AC11">
        <f t="shared" si="4"/>
        <v>15</v>
      </c>
      <c r="AD11">
        <f t="shared" si="5"/>
        <v>3.8333333333333321</v>
      </c>
    </row>
    <row r="12" spans="1:32" x14ac:dyDescent="0.3">
      <c r="B12">
        <v>95</v>
      </c>
      <c r="C12">
        <v>5</v>
      </c>
      <c r="D12">
        <v>41</v>
      </c>
      <c r="E12">
        <v>59</v>
      </c>
      <c r="G12">
        <v>87</v>
      </c>
      <c r="H12">
        <v>13</v>
      </c>
      <c r="I12">
        <v>24</v>
      </c>
      <c r="J12">
        <v>76</v>
      </c>
      <c r="L12">
        <v>81</v>
      </c>
      <c r="M12">
        <v>19</v>
      </c>
      <c r="N12">
        <v>28</v>
      </c>
      <c r="O12">
        <v>72</v>
      </c>
      <c r="Q12">
        <f t="shared" si="0"/>
        <v>23</v>
      </c>
      <c r="R12">
        <f t="shared" si="1"/>
        <v>18.5</v>
      </c>
      <c r="S12">
        <f t="shared" si="2"/>
        <v>23.5</v>
      </c>
      <c r="T12">
        <f t="shared" si="3"/>
        <v>21.666666666666668</v>
      </c>
      <c r="AC12">
        <f t="shared" si="4"/>
        <v>18.5</v>
      </c>
      <c r="AD12">
        <f t="shared" si="5"/>
        <v>3.1666666666666679</v>
      </c>
    </row>
    <row r="13" spans="1:32" x14ac:dyDescent="0.3">
      <c r="B13">
        <v>89</v>
      </c>
      <c r="C13">
        <v>11</v>
      </c>
      <c r="D13">
        <v>36</v>
      </c>
      <c r="E13">
        <v>64</v>
      </c>
      <c r="G13">
        <v>75</v>
      </c>
      <c r="H13">
        <v>25</v>
      </c>
      <c r="I13">
        <v>19</v>
      </c>
      <c r="J13">
        <v>81</v>
      </c>
      <c r="L13">
        <v>74</v>
      </c>
      <c r="M13">
        <v>26</v>
      </c>
      <c r="N13">
        <v>26</v>
      </c>
      <c r="O13">
        <v>74</v>
      </c>
      <c r="Q13">
        <f t="shared" si="0"/>
        <v>23.5</v>
      </c>
      <c r="R13">
        <f t="shared" si="1"/>
        <v>22</v>
      </c>
      <c r="S13">
        <f t="shared" si="2"/>
        <v>26</v>
      </c>
      <c r="T13">
        <f t="shared" si="3"/>
        <v>23.833333333333332</v>
      </c>
      <c r="AC13">
        <f t="shared" si="4"/>
        <v>22</v>
      </c>
      <c r="AD13">
        <f t="shared" si="5"/>
        <v>1.8333333333333321</v>
      </c>
    </row>
    <row r="15" spans="1:32" x14ac:dyDescent="0.3">
      <c r="B15">
        <v>93</v>
      </c>
      <c r="C15">
        <v>7</v>
      </c>
      <c r="D15">
        <v>38</v>
      </c>
      <c r="E15">
        <v>62</v>
      </c>
      <c r="G15">
        <v>86</v>
      </c>
      <c r="H15">
        <v>14</v>
      </c>
      <c r="I15">
        <v>15</v>
      </c>
      <c r="J15">
        <v>85</v>
      </c>
      <c r="L15">
        <v>72</v>
      </c>
      <c r="M15">
        <v>28</v>
      </c>
      <c r="N15">
        <v>17</v>
      </c>
      <c r="O15">
        <v>83</v>
      </c>
      <c r="Q15">
        <f t="shared" ref="Q15:Q16" si="6">AVERAGE(C15:D15)</f>
        <v>22.5</v>
      </c>
      <c r="R15">
        <f t="shared" ref="R15:R16" si="7">AVERAGE(H15:I15)</f>
        <v>14.5</v>
      </c>
      <c r="S15">
        <f t="shared" ref="S15:S16" si="8">AVERAGE(M15:N15)</f>
        <v>22.5</v>
      </c>
      <c r="T15">
        <f t="shared" ref="T15:T16" si="9">AVERAGE(Q15:S15)</f>
        <v>19.833333333333332</v>
      </c>
      <c r="U15">
        <f>AVERAGE(Q15:Q26)</f>
        <v>24.333333333333332</v>
      </c>
      <c r="V15">
        <f>_xlfn.STDEV.S(Q15:Q26)</f>
        <v>2.753785273643051</v>
      </c>
      <c r="W15">
        <f>AVERAGE(R15:R26)</f>
        <v>16.333333333333332</v>
      </c>
      <c r="X15">
        <f>_xlfn.STDEV.S(R15:R26)</f>
        <v>3.617089069035115</v>
      </c>
      <c r="Y15">
        <f>AVERAGE(S15:S26)</f>
        <v>22.166666666666668</v>
      </c>
      <c r="Z15">
        <f>_xlfn.STDEV.S(S15:S26)</f>
        <v>2.0207259421636903</v>
      </c>
      <c r="AA15">
        <f>AVERAGE(T15:T26)</f>
        <v>20.944444444444443</v>
      </c>
      <c r="AB15">
        <f>_xlfn.STDEV.S(T15:T26)</f>
        <v>1.5122952876462457</v>
      </c>
      <c r="AC15">
        <f t="shared" ref="AC15:AC16" si="10">MIN(Q15:S15)</f>
        <v>14.5</v>
      </c>
      <c r="AD15">
        <f t="shared" ref="AD15:AD16" si="11">T15-AC15</f>
        <v>5.3333333333333321</v>
      </c>
      <c r="AE15">
        <f>AVERAGE(AD15:AD26)</f>
        <v>4.7777777777777777</v>
      </c>
      <c r="AF15">
        <f>_xlfn.STDEV.S(AD15:AD26)</f>
        <v>1.8954135676924411</v>
      </c>
    </row>
    <row r="16" spans="1:32" x14ac:dyDescent="0.3">
      <c r="B16">
        <v>91</v>
      </c>
      <c r="C16">
        <v>9</v>
      </c>
      <c r="D16">
        <v>46</v>
      </c>
      <c r="E16">
        <v>54</v>
      </c>
      <c r="G16">
        <v>83</v>
      </c>
      <c r="H16">
        <v>17</v>
      </c>
      <c r="I16">
        <v>24</v>
      </c>
      <c r="J16">
        <v>76</v>
      </c>
      <c r="L16">
        <v>81</v>
      </c>
      <c r="M16">
        <v>19</v>
      </c>
      <c r="N16">
        <v>21</v>
      </c>
      <c r="O16">
        <v>79</v>
      </c>
      <c r="Q16">
        <f t="shared" si="6"/>
        <v>27.5</v>
      </c>
      <c r="R16">
        <f t="shared" si="7"/>
        <v>20.5</v>
      </c>
      <c r="S16">
        <f t="shared" si="8"/>
        <v>20</v>
      </c>
      <c r="T16">
        <f t="shared" si="9"/>
        <v>22.666666666666668</v>
      </c>
      <c r="AC16">
        <f t="shared" si="10"/>
        <v>20</v>
      </c>
      <c r="AD16">
        <f t="shared" si="11"/>
        <v>2.6666666666666679</v>
      </c>
    </row>
    <row r="25" spans="1:32" x14ac:dyDescent="0.3">
      <c r="A25" t="s">
        <v>72</v>
      </c>
    </row>
    <row r="26" spans="1:32" x14ac:dyDescent="0.3">
      <c r="B26">
        <v>80</v>
      </c>
      <c r="C26">
        <v>20</v>
      </c>
      <c r="D26">
        <v>26</v>
      </c>
      <c r="E26">
        <v>74</v>
      </c>
      <c r="G26">
        <v>82</v>
      </c>
      <c r="H26">
        <v>18</v>
      </c>
      <c r="I26">
        <v>10</v>
      </c>
      <c r="J26">
        <v>90</v>
      </c>
      <c r="L26">
        <v>70</v>
      </c>
      <c r="M26">
        <v>30</v>
      </c>
      <c r="N26">
        <v>18</v>
      </c>
      <c r="O26">
        <v>82</v>
      </c>
      <c r="Q26">
        <f>AVERAGE(C26:D26)</f>
        <v>23</v>
      </c>
      <c r="R26">
        <f>AVERAGE(H26:I26)</f>
        <v>14</v>
      </c>
      <c r="S26">
        <f>AVERAGE(M26:N26)</f>
        <v>24</v>
      </c>
      <c r="T26">
        <f>AVERAGE(Q26:S26)</f>
        <v>20.333333333333332</v>
      </c>
      <c r="U26">
        <f>AVERAGE(Q26:Q37)</f>
        <v>26.6</v>
      </c>
      <c r="V26">
        <f>_xlfn.STDEV.S(Q26:Q37)</f>
        <v>2.8809720581775866</v>
      </c>
      <c r="W26">
        <f>AVERAGE(R26:R37)</f>
        <v>17.2</v>
      </c>
      <c r="X26">
        <f>_xlfn.STDEV.S(R26:R37)</f>
        <v>3.5106979363083899</v>
      </c>
      <c r="Y26">
        <f>AVERAGE(S26:S37)</f>
        <v>21.4</v>
      </c>
      <c r="Z26">
        <f>_xlfn.STDEV.S(S26:S37)</f>
        <v>2.6076809620810506</v>
      </c>
      <c r="AA26">
        <f>AVERAGE(T26:T37)</f>
        <v>21.733333333333334</v>
      </c>
      <c r="AB26">
        <f>_xlfn.STDEV.S(T26:T37)</f>
        <v>1.2281422284627033</v>
      </c>
      <c r="AC26">
        <f>MIN(Q26:S26)</f>
        <v>14</v>
      </c>
      <c r="AD26">
        <f>T26-AC26</f>
        <v>6.3333333333333321</v>
      </c>
      <c r="AE26">
        <f>AVERAGE(AD26:AD37)</f>
        <v>4.8333333333333339</v>
      </c>
      <c r="AF26">
        <f>_xlfn.STDEV.S(AD26:AD37)</f>
        <v>2.4152294576982389</v>
      </c>
    </row>
    <row r="27" spans="1:32" x14ac:dyDescent="0.3">
      <c r="B27">
        <v>90</v>
      </c>
      <c r="C27">
        <v>10</v>
      </c>
      <c r="D27">
        <v>48</v>
      </c>
      <c r="E27">
        <v>52</v>
      </c>
      <c r="G27">
        <v>86</v>
      </c>
      <c r="H27">
        <v>14</v>
      </c>
      <c r="I27">
        <v>19</v>
      </c>
      <c r="J27">
        <v>81</v>
      </c>
      <c r="L27">
        <v>85</v>
      </c>
      <c r="M27">
        <v>15</v>
      </c>
      <c r="N27">
        <v>25</v>
      </c>
      <c r="O27">
        <v>75</v>
      </c>
      <c r="Q27">
        <f>AVERAGE(C27:D27)</f>
        <v>29</v>
      </c>
      <c r="R27">
        <f>AVERAGE(H27:I27)</f>
        <v>16.5</v>
      </c>
      <c r="S27">
        <f>AVERAGE(M27:N27)</f>
        <v>20</v>
      </c>
      <c r="T27">
        <f>AVERAGE(Q27:S27)</f>
        <v>21.833333333333332</v>
      </c>
      <c r="AC27">
        <f>MIN(Q27:S27)</f>
        <v>16.5</v>
      </c>
      <c r="AD27">
        <f>T27-AC27</f>
        <v>5.3333333333333321</v>
      </c>
    </row>
    <row r="28" spans="1:32" x14ac:dyDescent="0.3">
      <c r="B28">
        <v>86</v>
      </c>
      <c r="C28">
        <v>14</v>
      </c>
      <c r="D28">
        <v>38</v>
      </c>
      <c r="E28">
        <v>62</v>
      </c>
      <c r="G28">
        <v>84</v>
      </c>
      <c r="H28">
        <v>16</v>
      </c>
      <c r="I28">
        <v>23</v>
      </c>
      <c r="J28">
        <v>77</v>
      </c>
      <c r="L28">
        <v>83</v>
      </c>
      <c r="M28">
        <v>17</v>
      </c>
      <c r="N28">
        <v>19</v>
      </c>
      <c r="O28">
        <v>81</v>
      </c>
      <c r="Q28">
        <f>AVERAGE(C28:D28)</f>
        <v>26</v>
      </c>
      <c r="R28">
        <f>AVERAGE(H28:I28)</f>
        <v>19.5</v>
      </c>
      <c r="S28">
        <f>AVERAGE(M28:N28)</f>
        <v>18</v>
      </c>
      <c r="T28">
        <f>AVERAGE(Q28:S28)</f>
        <v>21.166666666666668</v>
      </c>
      <c r="AC28">
        <f>MIN(Q28:S28)</f>
        <v>18</v>
      </c>
      <c r="AD28">
        <f>T28-AC28</f>
        <v>3.1666666666666679</v>
      </c>
    </row>
    <row r="29" spans="1:32" x14ac:dyDescent="0.3">
      <c r="B29">
        <v>94</v>
      </c>
      <c r="C29">
        <v>6</v>
      </c>
      <c r="D29">
        <v>54</v>
      </c>
      <c r="E29">
        <v>46</v>
      </c>
      <c r="G29">
        <v>91</v>
      </c>
      <c r="H29">
        <v>9</v>
      </c>
      <c r="I29">
        <v>19</v>
      </c>
      <c r="J29">
        <v>81</v>
      </c>
      <c r="L29">
        <v>79</v>
      </c>
      <c r="M29">
        <v>21</v>
      </c>
      <c r="N29">
        <v>21</v>
      </c>
      <c r="O29">
        <v>79</v>
      </c>
      <c r="Q29">
        <f>AVERAGE(C29:D29)</f>
        <v>30</v>
      </c>
      <c r="R29">
        <f>AVERAGE(H29:I29)</f>
        <v>14</v>
      </c>
      <c r="S29">
        <f>AVERAGE(M29:N29)</f>
        <v>21</v>
      </c>
      <c r="T29">
        <f>AVERAGE(Q29:S29)</f>
        <v>21.666666666666668</v>
      </c>
      <c r="AC29">
        <f>MIN(Q29:S29)</f>
        <v>14</v>
      </c>
      <c r="AD29">
        <f>T29-AC29</f>
        <v>7.6666666666666679</v>
      </c>
    </row>
    <row r="30" spans="1:32" x14ac:dyDescent="0.3">
      <c r="B30">
        <v>95</v>
      </c>
      <c r="C30">
        <v>5</v>
      </c>
      <c r="D30">
        <v>45</v>
      </c>
      <c r="E30">
        <v>55</v>
      </c>
      <c r="G30">
        <v>77</v>
      </c>
      <c r="H30">
        <v>23</v>
      </c>
      <c r="I30">
        <v>21</v>
      </c>
      <c r="J30">
        <v>79</v>
      </c>
      <c r="L30">
        <v>78</v>
      </c>
      <c r="M30">
        <v>22</v>
      </c>
      <c r="N30">
        <v>26</v>
      </c>
      <c r="O30">
        <v>74</v>
      </c>
      <c r="Q30">
        <f>AVERAGE(C30:D30)</f>
        <v>25</v>
      </c>
      <c r="R30">
        <f>AVERAGE(H30:I30)</f>
        <v>22</v>
      </c>
      <c r="S30">
        <f>AVERAGE(M30:N30)</f>
        <v>24</v>
      </c>
      <c r="T30">
        <f>AVERAGE(Q30:S30)</f>
        <v>23.666666666666668</v>
      </c>
      <c r="AC30">
        <f>MIN(Q30:S30)</f>
        <v>22</v>
      </c>
      <c r="AD30">
        <f>T30-AC30</f>
        <v>1.6666666666666679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23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L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62</v>
      </c>
      <c r="AL3" t="s">
        <v>63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59</v>
      </c>
      <c r="AI5">
        <v>19.333333333333336</v>
      </c>
      <c r="AJ5">
        <v>1.7777777777777779</v>
      </c>
      <c r="AL5" t="s">
        <v>59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61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81</v>
      </c>
      <c r="C15">
        <v>19</v>
      </c>
      <c r="D15">
        <v>37</v>
      </c>
      <c r="E15">
        <v>63</v>
      </c>
      <c r="G15">
        <v>83</v>
      </c>
      <c r="H15">
        <v>17</v>
      </c>
      <c r="I15">
        <v>18</v>
      </c>
      <c r="J15">
        <v>82</v>
      </c>
      <c r="L15">
        <v>77</v>
      </c>
      <c r="M15">
        <v>23</v>
      </c>
      <c r="N15">
        <v>18</v>
      </c>
      <c r="O15">
        <v>82</v>
      </c>
      <c r="Q15">
        <f t="shared" si="0"/>
        <v>28</v>
      </c>
      <c r="R15">
        <f t="shared" si="1"/>
        <v>17.5</v>
      </c>
      <c r="S15">
        <f t="shared" si="2"/>
        <v>20.5</v>
      </c>
      <c r="T15">
        <f t="shared" si="3"/>
        <v>22</v>
      </c>
      <c r="U15">
        <f t="shared" si="4"/>
        <v>17.5</v>
      </c>
      <c r="V15">
        <f>(T15-U15)</f>
        <v>4.5</v>
      </c>
      <c r="W15">
        <f>AVERAGE(Q15:Q22)</f>
        <v>23.625</v>
      </c>
      <c r="X15">
        <f>_xlfn.STDEV.S(Q15:Q22)</f>
        <v>3.0325613879076827</v>
      </c>
      <c r="Y15">
        <f>AVERAGE(R15:R22)</f>
        <v>19.75</v>
      </c>
      <c r="Z15">
        <f>_xlfn.STDEV.S(R15:R22)</f>
        <v>3.1847852585154217</v>
      </c>
      <c r="AA15">
        <f>AVERAGE(S15:S22)</f>
        <v>21.9375</v>
      </c>
      <c r="AB15">
        <f>_xlfn.STDEV.S(S15:S22)</f>
        <v>1.9353386562267894</v>
      </c>
      <c r="AC15">
        <f>AVERAGE(T15:T23)</f>
        <v>21.770833333333332</v>
      </c>
      <c r="AD15">
        <f>_xlfn.STDEV.S(T15:T23)</f>
        <v>1.1301689015504479</v>
      </c>
      <c r="AE15">
        <f>AVERAGE(V15:V23)</f>
        <v>2.7708333333333339</v>
      </c>
      <c r="AF15">
        <f>_xlfn.STDEV.S(V15:V23)</f>
        <v>1.4932055111111457</v>
      </c>
      <c r="AH15">
        <f>AVERAGE(Q15:Q23)</f>
        <v>23.625</v>
      </c>
      <c r="AI15">
        <f>_xlfn.STDEV.S(Q15:Q23)</f>
        <v>3.0325613879076827</v>
      </c>
      <c r="AJ15">
        <f>AVERAGE(R15:R23)</f>
        <v>19.75</v>
      </c>
      <c r="AK15">
        <f>_xlfn.STDEV.S(R15:R23)</f>
        <v>3.1847852585154217</v>
      </c>
      <c r="AL15">
        <f>AVERAGE(S15:S23)</f>
        <v>21.9375</v>
      </c>
      <c r="AM15">
        <f>_xlfn.STDEV.S(S15:S23)</f>
        <v>1.9353386562267894</v>
      </c>
    </row>
    <row r="16" spans="1:40" x14ac:dyDescent="0.3">
      <c r="B16">
        <v>89</v>
      </c>
      <c r="C16">
        <v>11</v>
      </c>
      <c r="D16">
        <v>31</v>
      </c>
      <c r="E16">
        <v>69</v>
      </c>
      <c r="G16">
        <v>76</v>
      </c>
      <c r="H16">
        <v>24</v>
      </c>
      <c r="I16">
        <v>13</v>
      </c>
      <c r="J16">
        <v>87</v>
      </c>
      <c r="L16">
        <v>81</v>
      </c>
      <c r="M16">
        <v>19</v>
      </c>
      <c r="N16">
        <v>28</v>
      </c>
      <c r="O16">
        <v>72</v>
      </c>
      <c r="Q16">
        <f t="shared" si="0"/>
        <v>21</v>
      </c>
      <c r="R16">
        <f t="shared" si="1"/>
        <v>18.5</v>
      </c>
      <c r="S16">
        <f t="shared" si="2"/>
        <v>23.5</v>
      </c>
      <c r="T16">
        <f t="shared" si="3"/>
        <v>21</v>
      </c>
      <c r="U16">
        <f t="shared" si="4"/>
        <v>18.5</v>
      </c>
      <c r="V16">
        <f t="shared" ref="V16:V22" si="6">(T16-U16)</f>
        <v>2.5</v>
      </c>
    </row>
    <row r="17" spans="1:32" x14ac:dyDescent="0.3">
      <c r="B17">
        <v>90</v>
      </c>
      <c r="C17">
        <v>10</v>
      </c>
      <c r="D17">
        <v>32</v>
      </c>
      <c r="E17">
        <v>68</v>
      </c>
      <c r="G17">
        <v>78</v>
      </c>
      <c r="H17">
        <v>22</v>
      </c>
      <c r="I17">
        <v>11</v>
      </c>
      <c r="J17">
        <v>89</v>
      </c>
      <c r="L17">
        <v>73</v>
      </c>
      <c r="M17">
        <v>27</v>
      </c>
      <c r="N17">
        <v>22</v>
      </c>
      <c r="O17">
        <v>78</v>
      </c>
      <c r="Q17">
        <f t="shared" si="0"/>
        <v>21</v>
      </c>
      <c r="R17">
        <f t="shared" si="1"/>
        <v>16.5</v>
      </c>
      <c r="S17">
        <f t="shared" si="2"/>
        <v>24.5</v>
      </c>
      <c r="T17">
        <f t="shared" si="3"/>
        <v>20.666666666666668</v>
      </c>
      <c r="U17">
        <f t="shared" si="4"/>
        <v>16.5</v>
      </c>
      <c r="V17">
        <f t="shared" si="6"/>
        <v>4.1666666666666679</v>
      </c>
    </row>
    <row r="18" spans="1:32" x14ac:dyDescent="0.3">
      <c r="B18">
        <v>82</v>
      </c>
      <c r="C18">
        <v>18</v>
      </c>
      <c r="D18">
        <v>27</v>
      </c>
      <c r="E18">
        <v>73</v>
      </c>
      <c r="G18">
        <v>73</v>
      </c>
      <c r="H18">
        <v>27</v>
      </c>
      <c r="I18">
        <v>17</v>
      </c>
      <c r="J18">
        <v>83</v>
      </c>
      <c r="L18">
        <v>78</v>
      </c>
      <c r="M18">
        <v>22</v>
      </c>
      <c r="N18">
        <v>21</v>
      </c>
      <c r="O18">
        <v>79</v>
      </c>
      <c r="Q18">
        <f t="shared" si="0"/>
        <v>22.5</v>
      </c>
      <c r="R18">
        <f t="shared" si="1"/>
        <v>22</v>
      </c>
      <c r="S18">
        <f t="shared" si="2"/>
        <v>21.5</v>
      </c>
      <c r="T18">
        <f t="shared" si="3"/>
        <v>22</v>
      </c>
      <c r="U18">
        <f t="shared" si="4"/>
        <v>21.5</v>
      </c>
      <c r="V18">
        <f t="shared" si="6"/>
        <v>0.5</v>
      </c>
    </row>
    <row r="19" spans="1:32" x14ac:dyDescent="0.3">
      <c r="B19">
        <v>89</v>
      </c>
      <c r="C19">
        <v>11</v>
      </c>
      <c r="D19">
        <v>29</v>
      </c>
      <c r="E19">
        <v>71</v>
      </c>
      <c r="G19">
        <v>77</v>
      </c>
      <c r="H19">
        <v>23</v>
      </c>
      <c r="I19">
        <v>10</v>
      </c>
      <c r="J19">
        <v>90</v>
      </c>
      <c r="L19">
        <v>84</v>
      </c>
      <c r="M19">
        <v>16</v>
      </c>
      <c r="N19">
        <v>32</v>
      </c>
      <c r="O19">
        <v>68</v>
      </c>
      <c r="Q19">
        <f t="shared" si="0"/>
        <v>20</v>
      </c>
      <c r="R19">
        <f t="shared" si="1"/>
        <v>16.5</v>
      </c>
      <c r="S19">
        <f t="shared" si="2"/>
        <v>24</v>
      </c>
      <c r="T19">
        <f t="shared" si="3"/>
        <v>20.166666666666668</v>
      </c>
      <c r="U19">
        <f t="shared" si="4"/>
        <v>16.5</v>
      </c>
      <c r="V19">
        <f t="shared" si="6"/>
        <v>3.6666666666666679</v>
      </c>
    </row>
    <row r="20" spans="1:32" x14ac:dyDescent="0.3">
      <c r="B20">
        <v>91</v>
      </c>
      <c r="C20">
        <v>9</v>
      </c>
      <c r="D20">
        <v>41</v>
      </c>
      <c r="E20">
        <v>59</v>
      </c>
      <c r="G20">
        <v>78</v>
      </c>
      <c r="H20">
        <v>22</v>
      </c>
      <c r="I20">
        <v>29</v>
      </c>
      <c r="J20">
        <v>71</v>
      </c>
      <c r="L20">
        <v>85</v>
      </c>
      <c r="M20">
        <v>15</v>
      </c>
      <c r="N20">
        <v>26</v>
      </c>
      <c r="O20">
        <v>74</v>
      </c>
      <c r="Q20">
        <f t="shared" si="0"/>
        <v>25</v>
      </c>
      <c r="R20">
        <f t="shared" si="1"/>
        <v>25.5</v>
      </c>
      <c r="S20">
        <f t="shared" si="2"/>
        <v>20.5</v>
      </c>
      <c r="T20">
        <f t="shared" si="3"/>
        <v>23.666666666666668</v>
      </c>
      <c r="U20">
        <f t="shared" si="4"/>
        <v>20.5</v>
      </c>
      <c r="V20">
        <f t="shared" si="6"/>
        <v>3.1666666666666679</v>
      </c>
    </row>
    <row r="21" spans="1:32" x14ac:dyDescent="0.3">
      <c r="B21">
        <v>89</v>
      </c>
      <c r="C21">
        <v>11</v>
      </c>
      <c r="D21">
        <v>44</v>
      </c>
      <c r="E21">
        <v>56</v>
      </c>
      <c r="G21">
        <v>77</v>
      </c>
      <c r="H21">
        <v>23</v>
      </c>
      <c r="I21">
        <v>16</v>
      </c>
      <c r="J21">
        <v>84</v>
      </c>
      <c r="L21">
        <v>79</v>
      </c>
      <c r="M21">
        <v>21</v>
      </c>
      <c r="N21">
        <v>17</v>
      </c>
      <c r="O21">
        <v>83</v>
      </c>
      <c r="Q21">
        <f t="shared" si="0"/>
        <v>27.5</v>
      </c>
      <c r="R21">
        <f t="shared" si="1"/>
        <v>19.5</v>
      </c>
      <c r="S21">
        <f t="shared" si="2"/>
        <v>19</v>
      </c>
      <c r="T21">
        <f t="shared" si="3"/>
        <v>22</v>
      </c>
      <c r="U21">
        <f t="shared" si="4"/>
        <v>19</v>
      </c>
      <c r="V21">
        <f t="shared" si="6"/>
        <v>3</v>
      </c>
    </row>
    <row r="22" spans="1:32" x14ac:dyDescent="0.3">
      <c r="B22">
        <v>87</v>
      </c>
      <c r="C22">
        <v>13</v>
      </c>
      <c r="D22">
        <v>35</v>
      </c>
      <c r="E22">
        <v>65</v>
      </c>
      <c r="G22">
        <v>77</v>
      </c>
      <c r="H22">
        <v>23</v>
      </c>
      <c r="I22">
        <v>21</v>
      </c>
      <c r="J22">
        <v>79</v>
      </c>
      <c r="L22">
        <v>77</v>
      </c>
      <c r="M22">
        <v>23</v>
      </c>
      <c r="N22">
        <v>21</v>
      </c>
      <c r="O22">
        <v>79</v>
      </c>
      <c r="Q22">
        <f t="shared" si="0"/>
        <v>24</v>
      </c>
      <c r="R22">
        <f t="shared" si="1"/>
        <v>22</v>
      </c>
      <c r="S22">
        <f t="shared" si="2"/>
        <v>22</v>
      </c>
      <c r="T22">
        <f t="shared" si="3"/>
        <v>22.666666666666668</v>
      </c>
      <c r="U22">
        <f t="shared" si="4"/>
        <v>22</v>
      </c>
      <c r="V22">
        <f t="shared" si="6"/>
        <v>0.66666666666666785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58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59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60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61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M1" workbookViewId="0">
      <selection activeCell="V1" sqref="V1:AA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54</v>
      </c>
      <c r="W1" t="s">
        <v>47</v>
      </c>
      <c r="X1" t="s">
        <v>55</v>
      </c>
      <c r="Y1" t="s">
        <v>48</v>
      </c>
      <c r="Z1" t="s">
        <v>56</v>
      </c>
      <c r="AA1" t="s">
        <v>49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86</v>
      </c>
      <c r="C2">
        <v>14</v>
      </c>
      <c r="D2">
        <v>34</v>
      </c>
      <c r="E2">
        <v>66</v>
      </c>
      <c r="G2">
        <v>67</v>
      </c>
      <c r="H2">
        <v>33</v>
      </c>
      <c r="I2">
        <v>10</v>
      </c>
      <c r="J2">
        <v>90</v>
      </c>
      <c r="L2">
        <v>80</v>
      </c>
      <c r="M2">
        <v>20</v>
      </c>
      <c r="N2">
        <v>29</v>
      </c>
      <c r="O2">
        <v>71</v>
      </c>
      <c r="R2">
        <f>AVERAGE(C2:D2)</f>
        <v>24</v>
      </c>
      <c r="S2">
        <f>AVERAGE(H2,I2)</f>
        <v>21.5</v>
      </c>
      <c r="T2">
        <f>AVERAGE(M2:N2)</f>
        <v>24.5</v>
      </c>
      <c r="U2">
        <f>AVERAGE(R2:T2)</f>
        <v>23.333333333333332</v>
      </c>
      <c r="V2">
        <f>AVERAGE(R2:R34)</f>
        <v>23.45</v>
      </c>
      <c r="W2">
        <f>_xlfn.STDEV.S(R2:R34)</f>
        <v>2.6399705385561569</v>
      </c>
      <c r="X2">
        <f>AVERAGE(S2:S34)</f>
        <v>20.2</v>
      </c>
      <c r="Y2">
        <f>_xlfn.STDEV.S(S2:S34)</f>
        <v>2.8205594401741556</v>
      </c>
      <c r="Z2">
        <f>AVERAGE(T2:T34)</f>
        <v>25.95</v>
      </c>
      <c r="AA2">
        <f>_xlfn.STDEV.S(T2:T34)</f>
        <v>1.6236105170610073</v>
      </c>
      <c r="AB2">
        <f>AVERAGE(U2:U34)</f>
        <v>23.2</v>
      </c>
      <c r="AC2">
        <f>_xlfn.STDEV.S(U2:U34)</f>
        <v>1.6059303676308667</v>
      </c>
      <c r="AD2">
        <f>MIN(R2:T2)</f>
        <v>21.5</v>
      </c>
      <c r="AE2">
        <f>(U2-AD2)</f>
        <v>1.8333333333333321</v>
      </c>
      <c r="AF2">
        <f>AVERAGE(AE2:AE34)</f>
        <v>3.0999999999999996</v>
      </c>
      <c r="AG2">
        <f>_xlfn.STDEV.S(AE2:AE34)</f>
        <v>1.8260799273949007</v>
      </c>
    </row>
    <row r="3" spans="1:33" x14ac:dyDescent="0.3">
      <c r="B3">
        <v>86</v>
      </c>
      <c r="C3">
        <v>14</v>
      </c>
      <c r="D3">
        <v>27</v>
      </c>
      <c r="E3">
        <v>73</v>
      </c>
      <c r="G3">
        <v>82</v>
      </c>
      <c r="H3">
        <v>18</v>
      </c>
      <c r="I3">
        <v>12</v>
      </c>
      <c r="J3">
        <v>88</v>
      </c>
      <c r="L3">
        <v>85</v>
      </c>
      <c r="M3">
        <v>15</v>
      </c>
      <c r="N3">
        <v>31</v>
      </c>
      <c r="O3">
        <v>69</v>
      </c>
      <c r="R3">
        <f t="shared" ref="R3:R11" si="0">AVERAGE(C3:D3)</f>
        <v>20.5</v>
      </c>
      <c r="S3">
        <f t="shared" ref="S3:S11" si="1">AVERAGE(H3,I3)</f>
        <v>15</v>
      </c>
      <c r="T3">
        <f t="shared" ref="T3:T11" si="2">AVERAGE(M3:N3)</f>
        <v>23</v>
      </c>
      <c r="U3">
        <f t="shared" ref="U3:U11" si="3">AVERAGE(R3:T3)</f>
        <v>19.5</v>
      </c>
      <c r="AD3">
        <f t="shared" ref="AD3:AD11" si="4">MIN(R3:T3)</f>
        <v>15</v>
      </c>
      <c r="AE3">
        <f t="shared" ref="AE3:AE11" si="5">(U3-AD3)</f>
        <v>4.5</v>
      </c>
    </row>
    <row r="4" spans="1:33" x14ac:dyDescent="0.3">
      <c r="B4">
        <v>87</v>
      </c>
      <c r="C4">
        <v>13</v>
      </c>
      <c r="D4">
        <v>35</v>
      </c>
      <c r="E4">
        <v>65</v>
      </c>
      <c r="G4">
        <v>71</v>
      </c>
      <c r="H4">
        <v>29</v>
      </c>
      <c r="I4">
        <v>15</v>
      </c>
      <c r="J4">
        <v>85</v>
      </c>
      <c r="L4">
        <v>71</v>
      </c>
      <c r="M4">
        <v>29</v>
      </c>
      <c r="N4">
        <v>25</v>
      </c>
      <c r="O4">
        <v>75</v>
      </c>
      <c r="R4">
        <f t="shared" si="0"/>
        <v>24</v>
      </c>
      <c r="S4">
        <f t="shared" si="1"/>
        <v>22</v>
      </c>
      <c r="T4">
        <f t="shared" si="2"/>
        <v>27</v>
      </c>
      <c r="U4">
        <f t="shared" si="3"/>
        <v>24.333333333333332</v>
      </c>
      <c r="AD4">
        <f t="shared" si="4"/>
        <v>22</v>
      </c>
      <c r="AE4">
        <f t="shared" si="5"/>
        <v>2.3333333333333321</v>
      </c>
    </row>
    <row r="5" spans="1:33" x14ac:dyDescent="0.3">
      <c r="B5">
        <v>84</v>
      </c>
      <c r="C5">
        <v>16</v>
      </c>
      <c r="D5">
        <v>26</v>
      </c>
      <c r="E5">
        <v>74</v>
      </c>
      <c r="G5">
        <v>76</v>
      </c>
      <c r="H5">
        <v>24</v>
      </c>
      <c r="I5">
        <v>20</v>
      </c>
      <c r="J5">
        <v>80</v>
      </c>
      <c r="L5">
        <v>72</v>
      </c>
      <c r="M5">
        <v>28</v>
      </c>
      <c r="N5">
        <v>27</v>
      </c>
      <c r="O5">
        <v>73</v>
      </c>
      <c r="R5">
        <f t="shared" si="0"/>
        <v>21</v>
      </c>
      <c r="S5">
        <f t="shared" si="1"/>
        <v>22</v>
      </c>
      <c r="T5">
        <f t="shared" si="2"/>
        <v>27.5</v>
      </c>
      <c r="U5">
        <f t="shared" si="3"/>
        <v>23.5</v>
      </c>
      <c r="AD5">
        <f t="shared" si="4"/>
        <v>21</v>
      </c>
      <c r="AE5">
        <f t="shared" si="5"/>
        <v>2.5</v>
      </c>
    </row>
    <row r="6" spans="1:33" x14ac:dyDescent="0.3">
      <c r="B6">
        <v>93</v>
      </c>
      <c r="C6">
        <v>7</v>
      </c>
      <c r="D6">
        <v>36</v>
      </c>
      <c r="E6">
        <v>64</v>
      </c>
      <c r="G6">
        <v>80</v>
      </c>
      <c r="H6">
        <v>20</v>
      </c>
      <c r="I6">
        <v>17</v>
      </c>
      <c r="J6">
        <v>83</v>
      </c>
      <c r="L6">
        <v>69</v>
      </c>
      <c r="M6">
        <v>31</v>
      </c>
      <c r="N6">
        <v>24</v>
      </c>
      <c r="O6">
        <v>76</v>
      </c>
      <c r="R6">
        <f t="shared" si="0"/>
        <v>21.5</v>
      </c>
      <c r="S6">
        <f t="shared" si="1"/>
        <v>18.5</v>
      </c>
      <c r="T6">
        <f t="shared" si="2"/>
        <v>27.5</v>
      </c>
      <c r="U6">
        <f t="shared" si="3"/>
        <v>22.5</v>
      </c>
      <c r="AD6">
        <f t="shared" si="4"/>
        <v>18.5</v>
      </c>
      <c r="AE6">
        <f t="shared" si="5"/>
        <v>4</v>
      </c>
    </row>
    <row r="7" spans="1:33" x14ac:dyDescent="0.3">
      <c r="B7">
        <v>90</v>
      </c>
      <c r="C7">
        <v>10</v>
      </c>
      <c r="D7">
        <v>32</v>
      </c>
      <c r="E7">
        <v>68</v>
      </c>
      <c r="G7">
        <v>82</v>
      </c>
      <c r="H7">
        <v>18</v>
      </c>
      <c r="I7">
        <v>23</v>
      </c>
      <c r="J7">
        <v>77</v>
      </c>
      <c r="L7">
        <v>77</v>
      </c>
      <c r="M7">
        <v>23</v>
      </c>
      <c r="N7">
        <v>30</v>
      </c>
      <c r="O7">
        <v>70</v>
      </c>
      <c r="R7">
        <f t="shared" si="0"/>
        <v>21</v>
      </c>
      <c r="S7">
        <f t="shared" si="1"/>
        <v>20.5</v>
      </c>
      <c r="T7">
        <f t="shared" si="2"/>
        <v>26.5</v>
      </c>
      <c r="U7">
        <f t="shared" si="3"/>
        <v>22.666666666666668</v>
      </c>
      <c r="AD7">
        <f t="shared" si="4"/>
        <v>20.5</v>
      </c>
      <c r="AE7">
        <f t="shared" si="5"/>
        <v>2.1666666666666679</v>
      </c>
    </row>
    <row r="8" spans="1:33" x14ac:dyDescent="0.3">
      <c r="B8">
        <v>87</v>
      </c>
      <c r="C8">
        <v>13</v>
      </c>
      <c r="D8">
        <v>34</v>
      </c>
      <c r="E8">
        <v>66</v>
      </c>
      <c r="G8">
        <v>68</v>
      </c>
      <c r="H8">
        <v>32</v>
      </c>
      <c r="I8">
        <v>12</v>
      </c>
      <c r="J8">
        <v>88</v>
      </c>
      <c r="L8">
        <v>72</v>
      </c>
      <c r="M8">
        <v>28</v>
      </c>
      <c r="N8">
        <v>20</v>
      </c>
      <c r="O8">
        <v>80</v>
      </c>
      <c r="R8">
        <f t="shared" si="0"/>
        <v>23.5</v>
      </c>
      <c r="S8">
        <f t="shared" si="1"/>
        <v>22</v>
      </c>
      <c r="T8">
        <f t="shared" si="2"/>
        <v>24</v>
      </c>
      <c r="U8">
        <f t="shared" si="3"/>
        <v>23.166666666666668</v>
      </c>
      <c r="AD8">
        <f t="shared" si="4"/>
        <v>22</v>
      </c>
      <c r="AE8">
        <f t="shared" si="5"/>
        <v>1.1666666666666679</v>
      </c>
    </row>
    <row r="9" spans="1:33" x14ac:dyDescent="0.3">
      <c r="B9">
        <v>89</v>
      </c>
      <c r="C9">
        <v>11</v>
      </c>
      <c r="D9">
        <v>37</v>
      </c>
      <c r="E9">
        <v>63</v>
      </c>
      <c r="G9">
        <v>77</v>
      </c>
      <c r="H9">
        <v>23</v>
      </c>
      <c r="I9">
        <v>11</v>
      </c>
      <c r="J9">
        <v>89</v>
      </c>
      <c r="L9">
        <v>75</v>
      </c>
      <c r="M9">
        <v>25</v>
      </c>
      <c r="N9">
        <v>30</v>
      </c>
      <c r="O9">
        <v>70</v>
      </c>
      <c r="R9">
        <f t="shared" si="0"/>
        <v>24</v>
      </c>
      <c r="S9">
        <f t="shared" si="1"/>
        <v>17</v>
      </c>
      <c r="T9">
        <f t="shared" si="2"/>
        <v>27.5</v>
      </c>
      <c r="U9">
        <f t="shared" si="3"/>
        <v>22.833333333333332</v>
      </c>
      <c r="AD9">
        <f t="shared" si="4"/>
        <v>17</v>
      </c>
      <c r="AE9">
        <f t="shared" si="5"/>
        <v>5.8333333333333321</v>
      </c>
    </row>
    <row r="10" spans="1:33" x14ac:dyDescent="0.3">
      <c r="B10">
        <v>84</v>
      </c>
      <c r="C10">
        <v>16</v>
      </c>
      <c r="D10">
        <v>42</v>
      </c>
      <c r="E10">
        <v>58</v>
      </c>
      <c r="G10">
        <v>71</v>
      </c>
      <c r="H10">
        <v>29</v>
      </c>
      <c r="I10">
        <v>9</v>
      </c>
      <c r="J10">
        <v>91</v>
      </c>
      <c r="L10">
        <v>66</v>
      </c>
      <c r="M10">
        <v>34</v>
      </c>
      <c r="N10">
        <v>19</v>
      </c>
      <c r="O10">
        <v>81</v>
      </c>
      <c r="R10">
        <f t="shared" si="0"/>
        <v>29</v>
      </c>
      <c r="S10">
        <f t="shared" si="1"/>
        <v>19</v>
      </c>
      <c r="T10">
        <f t="shared" si="2"/>
        <v>26.5</v>
      </c>
      <c r="U10">
        <f t="shared" si="3"/>
        <v>24.833333333333332</v>
      </c>
      <c r="AD10">
        <f t="shared" si="4"/>
        <v>19</v>
      </c>
      <c r="AE10">
        <f t="shared" si="5"/>
        <v>5.8333333333333321</v>
      </c>
    </row>
    <row r="11" spans="1:33" x14ac:dyDescent="0.3">
      <c r="B11">
        <v>81</v>
      </c>
      <c r="C11">
        <v>19</v>
      </c>
      <c r="D11">
        <v>33</v>
      </c>
      <c r="E11">
        <v>67</v>
      </c>
      <c r="G11">
        <v>59</v>
      </c>
      <c r="H11">
        <v>41</v>
      </c>
      <c r="I11">
        <v>8</v>
      </c>
      <c r="J11">
        <v>92</v>
      </c>
      <c r="L11">
        <v>69</v>
      </c>
      <c r="M11">
        <v>31</v>
      </c>
      <c r="N11">
        <v>20</v>
      </c>
      <c r="O11">
        <v>80</v>
      </c>
      <c r="R11">
        <f t="shared" si="0"/>
        <v>26</v>
      </c>
      <c r="S11">
        <f t="shared" si="1"/>
        <v>24.5</v>
      </c>
      <c r="T11">
        <f t="shared" si="2"/>
        <v>25.5</v>
      </c>
      <c r="U11">
        <f t="shared" si="3"/>
        <v>25.333333333333332</v>
      </c>
      <c r="AD11">
        <f t="shared" si="4"/>
        <v>24.5</v>
      </c>
      <c r="AE11">
        <f t="shared" si="5"/>
        <v>0.83333333333333215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94</v>
      </c>
      <c r="C4">
        <v>6</v>
      </c>
      <c r="D4">
        <v>38</v>
      </c>
      <c r="E4">
        <v>62</v>
      </c>
      <c r="G4">
        <v>69</v>
      </c>
      <c r="H4">
        <v>31</v>
      </c>
      <c r="I4">
        <v>16</v>
      </c>
      <c r="J4">
        <v>84</v>
      </c>
      <c r="L4">
        <v>72</v>
      </c>
      <c r="M4">
        <v>28</v>
      </c>
      <c r="N4">
        <v>21</v>
      </c>
      <c r="O4">
        <v>79</v>
      </c>
      <c r="Q4">
        <f>AVERAGE(C4:D4)</f>
        <v>22</v>
      </c>
      <c r="R4">
        <f>AVERAGE(H4:I4)</f>
        <v>23.5</v>
      </c>
      <c r="S4">
        <f>AVERAGE(M4:N4)</f>
        <v>24.5</v>
      </c>
      <c r="T4">
        <f>AVERAGE(Q4:S4)</f>
        <v>23.333333333333332</v>
      </c>
      <c r="U4">
        <f>AVERAGE(Q4:Q7)</f>
        <v>24.125</v>
      </c>
      <c r="V4">
        <f>_xlfn.STDEV.S(Q4:Q7)</f>
        <v>2.0155644370746373</v>
      </c>
      <c r="W4">
        <f>AVERAGE(R4:R7)</f>
        <v>20.625</v>
      </c>
      <c r="X4">
        <f>_xlfn.STDEV.S(R4:R7)</f>
        <v>2.3228933107943921</v>
      </c>
      <c r="Y4">
        <f>AVERAGE(S4:S7)</f>
        <v>22.875</v>
      </c>
      <c r="Z4">
        <f>_xlfn.STDEV.S(S4:S7)</f>
        <v>1.796988221070652</v>
      </c>
      <c r="AA4">
        <f>AVERAGE(T4:T7)</f>
        <v>22.541666666666668</v>
      </c>
      <c r="AB4">
        <f>_xlfn.STDEV.S(T4:T7)</f>
        <v>0.6854979266251694</v>
      </c>
      <c r="AC4">
        <f>MIN(Q4:S4)</f>
        <v>22</v>
      </c>
      <c r="AD4">
        <f>T4-AC4</f>
        <v>1.3333333333333321</v>
      </c>
      <c r="AE4">
        <f>AVERAGE(AD4:AD7)</f>
        <v>2.541666666666667</v>
      </c>
      <c r="AF4">
        <f>_xlfn.STDEV.S(AD4:AD7)</f>
        <v>1.4992281965015155</v>
      </c>
    </row>
    <row r="5" spans="1:32" x14ac:dyDescent="0.3">
      <c r="B5">
        <v>88</v>
      </c>
      <c r="C5">
        <v>12</v>
      </c>
      <c r="D5">
        <v>41</v>
      </c>
      <c r="E5">
        <v>59</v>
      </c>
      <c r="G5">
        <v>76</v>
      </c>
      <c r="H5">
        <v>24</v>
      </c>
      <c r="I5">
        <v>14</v>
      </c>
      <c r="J5">
        <v>86</v>
      </c>
      <c r="L5">
        <v>75</v>
      </c>
      <c r="M5">
        <v>25</v>
      </c>
      <c r="N5">
        <v>20</v>
      </c>
      <c r="O5">
        <v>80</v>
      </c>
      <c r="Q5">
        <f t="shared" ref="Q5:Q7" si="0">AVERAGE(C5:D5)</f>
        <v>26.5</v>
      </c>
      <c r="R5">
        <f t="shared" ref="R5:R7" si="1">AVERAGE(H5:I5)</f>
        <v>19</v>
      </c>
      <c r="S5">
        <f t="shared" ref="S5:S7" si="2">AVERAGE(M5:N5)</f>
        <v>22.5</v>
      </c>
      <c r="T5">
        <f t="shared" ref="T5:T7" si="3">AVERAGE(Q5:S5)</f>
        <v>22.666666666666668</v>
      </c>
      <c r="AC5">
        <f t="shared" ref="AC5:AC7" si="4">MIN(Q5:S5)</f>
        <v>19</v>
      </c>
      <c r="AD5">
        <f t="shared" ref="AD5:AD7" si="5">T5-AC5</f>
        <v>3.6666666666666679</v>
      </c>
    </row>
    <row r="6" spans="1:32" x14ac:dyDescent="0.3">
      <c r="B6">
        <v>91</v>
      </c>
      <c r="C6">
        <v>9</v>
      </c>
      <c r="D6">
        <v>41</v>
      </c>
      <c r="E6">
        <v>59</v>
      </c>
      <c r="G6">
        <v>85</v>
      </c>
      <c r="H6">
        <v>15</v>
      </c>
      <c r="I6">
        <v>22</v>
      </c>
      <c r="J6">
        <v>78</v>
      </c>
      <c r="L6">
        <v>80</v>
      </c>
      <c r="M6">
        <v>20</v>
      </c>
      <c r="N6">
        <v>28</v>
      </c>
      <c r="O6">
        <v>72</v>
      </c>
      <c r="Q6">
        <f t="shared" si="0"/>
        <v>25</v>
      </c>
      <c r="R6">
        <f t="shared" si="1"/>
        <v>18.5</v>
      </c>
      <c r="S6">
        <f t="shared" si="2"/>
        <v>24</v>
      </c>
      <c r="T6">
        <f t="shared" si="3"/>
        <v>22.5</v>
      </c>
      <c r="AC6">
        <f t="shared" si="4"/>
        <v>18.5</v>
      </c>
      <c r="AD6">
        <f t="shared" si="5"/>
        <v>4</v>
      </c>
    </row>
    <row r="7" spans="1:32" x14ac:dyDescent="0.3">
      <c r="B7">
        <v>89</v>
      </c>
      <c r="C7">
        <v>11</v>
      </c>
      <c r="D7">
        <v>35</v>
      </c>
      <c r="E7">
        <v>65</v>
      </c>
      <c r="G7">
        <v>76</v>
      </c>
      <c r="H7">
        <v>24</v>
      </c>
      <c r="I7">
        <v>19</v>
      </c>
      <c r="J7">
        <v>81</v>
      </c>
      <c r="L7">
        <v>80</v>
      </c>
      <c r="M7">
        <v>20</v>
      </c>
      <c r="N7">
        <v>21</v>
      </c>
      <c r="O7">
        <v>79</v>
      </c>
      <c r="Q7">
        <f t="shared" si="0"/>
        <v>23</v>
      </c>
      <c r="R7">
        <f t="shared" si="1"/>
        <v>21.5</v>
      </c>
      <c r="S7">
        <f t="shared" si="2"/>
        <v>20.5</v>
      </c>
      <c r="T7">
        <f t="shared" si="3"/>
        <v>21.666666666666668</v>
      </c>
      <c r="AC7">
        <f t="shared" si="4"/>
        <v>20.5</v>
      </c>
      <c r="AD7">
        <f t="shared" si="5"/>
        <v>1.1666666666666679</v>
      </c>
    </row>
    <row r="8" spans="1:32" x14ac:dyDescent="0.3">
      <c r="A8" t="s">
        <v>72</v>
      </c>
    </row>
    <row r="9" spans="1:32" x14ac:dyDescent="0.3">
      <c r="B9">
        <v>91</v>
      </c>
      <c r="C9">
        <v>9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76</v>
      </c>
      <c r="M9">
        <v>24</v>
      </c>
      <c r="N9">
        <v>18</v>
      </c>
      <c r="O9">
        <v>82</v>
      </c>
      <c r="Q9">
        <f t="shared" ref="Q9:Q11" si="6">AVERAGE(C9:D9)</f>
        <v>22.5</v>
      </c>
      <c r="R9">
        <f t="shared" ref="R9:R11" si="7">AVERAGE(H9:I9)</f>
        <v>19.5</v>
      </c>
      <c r="S9">
        <f t="shared" ref="S9:S11" si="8">AVERAGE(M9:N9)</f>
        <v>21</v>
      </c>
      <c r="T9">
        <f t="shared" ref="T9:T11" si="9">AVERAGE(Q9:S9)</f>
        <v>21</v>
      </c>
      <c r="U9">
        <f>AVERAGE(Q9:Q12)</f>
        <v>22.166666666666668</v>
      </c>
      <c r="V9">
        <f>_xlfn.STDEV.S(Q9:Q12)</f>
        <v>0.57735026918962584</v>
      </c>
      <c r="W9">
        <f>AVERAGE(R9:R12)</f>
        <v>20.5</v>
      </c>
      <c r="X9">
        <f>_xlfn.STDEV.S(R9:R12)</f>
        <v>5.0744457825461096</v>
      </c>
      <c r="Y9">
        <f>AVERAGE(S9:S12)</f>
        <v>24.5</v>
      </c>
      <c r="Z9">
        <f>_xlfn.STDEV.S(S9:S12)</f>
        <v>3.0413812651491097</v>
      </c>
      <c r="AA9">
        <f>AVERAGE(T9:T12)</f>
        <v>22.388888888888886</v>
      </c>
      <c r="AB9">
        <f>_xlfn.STDEV.S(T9:T12)</f>
        <v>2.1235016504018209</v>
      </c>
      <c r="AC9">
        <f t="shared" ref="AC9:AC11" si="10">MIN(Q9:S9)</f>
        <v>19.5</v>
      </c>
      <c r="AD9">
        <f t="shared" ref="AD9:AD11" si="11">T9-AC9</f>
        <v>1.5</v>
      </c>
      <c r="AE9">
        <f>AVERAGE(AD9:AD12)</f>
        <v>3.0555555555555549</v>
      </c>
      <c r="AF9">
        <f>_xlfn.STDEV.S(AD9:AD12)</f>
        <v>2.0161385901804505</v>
      </c>
    </row>
    <row r="10" spans="1:32" x14ac:dyDescent="0.3">
      <c r="B10">
        <v>92</v>
      </c>
      <c r="C10">
        <v>8</v>
      </c>
      <c r="D10">
        <v>37</v>
      </c>
      <c r="E10">
        <v>63</v>
      </c>
      <c r="G10">
        <v>68</v>
      </c>
      <c r="H10">
        <v>32</v>
      </c>
      <c r="I10">
        <v>20</v>
      </c>
      <c r="J10">
        <v>80</v>
      </c>
      <c r="L10">
        <v>76</v>
      </c>
      <c r="M10">
        <v>24</v>
      </c>
      <c r="N10">
        <v>28</v>
      </c>
      <c r="O10">
        <v>72</v>
      </c>
      <c r="Q10">
        <f t="shared" si="6"/>
        <v>22.5</v>
      </c>
      <c r="R10">
        <f t="shared" si="7"/>
        <v>26</v>
      </c>
      <c r="S10">
        <f t="shared" si="8"/>
        <v>26</v>
      </c>
      <c r="T10">
        <f t="shared" si="9"/>
        <v>24.833333333333332</v>
      </c>
      <c r="AC10">
        <f t="shared" si="10"/>
        <v>22.5</v>
      </c>
      <c r="AD10">
        <f t="shared" si="11"/>
        <v>2.3333333333333321</v>
      </c>
    </row>
    <row r="11" spans="1:32" x14ac:dyDescent="0.3">
      <c r="B11">
        <v>90</v>
      </c>
      <c r="C11">
        <v>10</v>
      </c>
      <c r="D11">
        <v>33</v>
      </c>
      <c r="E11">
        <v>67</v>
      </c>
      <c r="G11">
        <v>83</v>
      </c>
      <c r="H11">
        <v>17</v>
      </c>
      <c r="I11">
        <v>15</v>
      </c>
      <c r="J11">
        <v>85</v>
      </c>
      <c r="L11">
        <v>80</v>
      </c>
      <c r="M11">
        <v>20</v>
      </c>
      <c r="N11">
        <v>33</v>
      </c>
      <c r="O11">
        <v>67</v>
      </c>
      <c r="Q11">
        <f t="shared" si="6"/>
        <v>21.5</v>
      </c>
      <c r="R11">
        <f t="shared" si="7"/>
        <v>16</v>
      </c>
      <c r="S11">
        <f t="shared" si="8"/>
        <v>26.5</v>
      </c>
      <c r="T11">
        <f t="shared" si="9"/>
        <v>21.333333333333332</v>
      </c>
      <c r="AC11">
        <f t="shared" si="10"/>
        <v>16</v>
      </c>
      <c r="AD11">
        <f t="shared" si="11"/>
        <v>5.3333333333333321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40</v>
      </c>
      <c r="E3">
        <v>60</v>
      </c>
      <c r="G3">
        <v>74</v>
      </c>
      <c r="H3">
        <v>26</v>
      </c>
      <c r="I3">
        <v>19</v>
      </c>
      <c r="J3">
        <v>81</v>
      </c>
      <c r="L3">
        <v>72</v>
      </c>
      <c r="M3">
        <v>28</v>
      </c>
      <c r="N3">
        <v>20</v>
      </c>
      <c r="O3">
        <v>80</v>
      </c>
      <c r="Q3">
        <f>AVERAGE(C3:D3)</f>
        <v>28.5</v>
      </c>
      <c r="R3">
        <f>AVERAGE(H3:I3)</f>
        <v>22.5</v>
      </c>
      <c r="S3">
        <f>AVERAGE(M3:N3)</f>
        <v>24</v>
      </c>
      <c r="T3">
        <f>AVERAGE(Q3:S3)</f>
        <v>25</v>
      </c>
      <c r="U3">
        <f>MIN(Q3:S3)</f>
        <v>22.5</v>
      </c>
      <c r="V3">
        <f>T3-U3</f>
        <v>2.5</v>
      </c>
      <c r="W3">
        <f>AVERAGE(Q3:Q4)</f>
        <v>26.75</v>
      </c>
      <c r="X3">
        <f>_xlfn.STDEV.S(Q3:Q4)</f>
        <v>2.4748737341529163</v>
      </c>
      <c r="Y3">
        <f>AVERAGE(R3:R4)</f>
        <v>23.5</v>
      </c>
      <c r="Z3">
        <f>_xlfn.STDEV.S(R3:R4)</f>
        <v>1.4142135623730951</v>
      </c>
      <c r="AA3">
        <f>AVERAGE(S3:S4)</f>
        <v>24</v>
      </c>
      <c r="AB3">
        <f>_xlfn.STDEV.S(S3:S4)</f>
        <v>0</v>
      </c>
      <c r="AC3">
        <f>AVERAGE(T3:T4)</f>
        <v>24.75</v>
      </c>
      <c r="AD3">
        <f>_xlfn.STDEV.S(T3:T4)</f>
        <v>0.35355339059327379</v>
      </c>
      <c r="AE3">
        <f>AVERAGE(V3:V4)</f>
        <v>1.5</v>
      </c>
      <c r="AF3">
        <f>_xlfn.STDEV.S(V3:V4)</f>
        <v>1.4142135623730951</v>
      </c>
      <c r="AH3" t="s">
        <v>43</v>
      </c>
      <c r="AL3" t="s">
        <v>44</v>
      </c>
    </row>
    <row r="4" spans="1:44" x14ac:dyDescent="0.3">
      <c r="B4">
        <v>85</v>
      </c>
      <c r="C4">
        <v>15</v>
      </c>
      <c r="D4">
        <v>35</v>
      </c>
      <c r="E4">
        <v>65</v>
      </c>
      <c r="G4">
        <v>69</v>
      </c>
      <c r="H4">
        <v>31</v>
      </c>
      <c r="I4">
        <v>18</v>
      </c>
      <c r="J4">
        <v>82</v>
      </c>
      <c r="L4">
        <v>78</v>
      </c>
      <c r="M4">
        <v>22</v>
      </c>
      <c r="N4">
        <v>26</v>
      </c>
      <c r="O4">
        <v>74</v>
      </c>
      <c r="Q4">
        <f t="shared" ref="Q4:Q14" si="0">AVERAGE(C4:D4)</f>
        <v>25</v>
      </c>
      <c r="R4">
        <f t="shared" ref="R4:R14" si="1">AVERAGE(H4:I4)</f>
        <v>24.5</v>
      </c>
      <c r="S4">
        <f t="shared" ref="S4:S14" si="2">AVERAGE(M4:N4)</f>
        <v>24</v>
      </c>
      <c r="T4">
        <f t="shared" ref="T4:T14" si="3">AVERAGE(Q4:S4)</f>
        <v>24.5</v>
      </c>
      <c r="U4">
        <f t="shared" ref="U4:U14" si="4">MIN(Q4:S4)</f>
        <v>24</v>
      </c>
      <c r="V4">
        <f t="shared" ref="V4:V14" si="5">T4-U4</f>
        <v>0.5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91</v>
      </c>
      <c r="C6">
        <v>9</v>
      </c>
      <c r="D6">
        <v>45</v>
      </c>
      <c r="E6">
        <v>55</v>
      </c>
      <c r="G6">
        <v>73</v>
      </c>
      <c r="H6">
        <v>27</v>
      </c>
      <c r="I6">
        <v>13</v>
      </c>
      <c r="J6">
        <v>87</v>
      </c>
      <c r="L6">
        <v>75</v>
      </c>
      <c r="M6">
        <v>25</v>
      </c>
      <c r="N6">
        <v>23</v>
      </c>
      <c r="O6">
        <v>77</v>
      </c>
      <c r="Q6">
        <f t="shared" si="0"/>
        <v>27</v>
      </c>
      <c r="R6">
        <f t="shared" si="1"/>
        <v>20</v>
      </c>
      <c r="S6">
        <f t="shared" si="2"/>
        <v>24</v>
      </c>
      <c r="T6">
        <f t="shared" si="3"/>
        <v>23.666666666666668</v>
      </c>
      <c r="U6">
        <f t="shared" si="4"/>
        <v>20</v>
      </c>
      <c r="V6">
        <f t="shared" si="5"/>
        <v>3.6666666666666679</v>
      </c>
      <c r="W6">
        <f>AVERAGE(Q6:Q9)</f>
        <v>25.25</v>
      </c>
      <c r="X6">
        <f>_xlfn.STDEV.S(Q6:Q9)</f>
        <v>1.6583123951776999</v>
      </c>
      <c r="Y6">
        <f>AVERAGE(R6:R9)</f>
        <v>20.75</v>
      </c>
      <c r="Z6">
        <f>_xlfn.STDEV.S(R6:R9)</f>
        <v>1.8484227510682361</v>
      </c>
      <c r="AA6">
        <f>AVERAGE(S6:S9)</f>
        <v>24.875</v>
      </c>
      <c r="AB6">
        <f>_xlfn.STDEV.S(S6:S9)</f>
        <v>5.4524459343185301</v>
      </c>
      <c r="AC6">
        <f>AVERAGE(T6:T9)</f>
        <v>23.625000000000004</v>
      </c>
      <c r="AD6">
        <f>_xlfn.STDEV.S(T6:T9)</f>
        <v>2.4958298553119889</v>
      </c>
      <c r="AE6">
        <f>AVERAGE(V6:V9)</f>
        <v>3.5000000000000009</v>
      </c>
      <c r="AF6">
        <f>_xlfn.STDEV.S(V6:V9)</f>
        <v>1.2247448713915889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84</v>
      </c>
      <c r="C7">
        <v>16</v>
      </c>
      <c r="D7">
        <v>30</v>
      </c>
      <c r="E7">
        <v>70</v>
      </c>
      <c r="G7">
        <v>73</v>
      </c>
      <c r="H7">
        <v>27</v>
      </c>
      <c r="I7">
        <v>13</v>
      </c>
      <c r="J7">
        <v>87</v>
      </c>
      <c r="L7">
        <v>87</v>
      </c>
      <c r="M7">
        <v>13</v>
      </c>
      <c r="N7">
        <v>22</v>
      </c>
      <c r="O7">
        <v>78</v>
      </c>
      <c r="Q7">
        <f t="shared" si="0"/>
        <v>23</v>
      </c>
      <c r="R7">
        <f t="shared" si="1"/>
        <v>20</v>
      </c>
      <c r="S7">
        <f t="shared" si="2"/>
        <v>17.5</v>
      </c>
      <c r="T7">
        <f t="shared" si="3"/>
        <v>20.166666666666668</v>
      </c>
      <c r="U7">
        <f t="shared" si="4"/>
        <v>17.5</v>
      </c>
      <c r="V7">
        <f t="shared" si="5"/>
        <v>2.6666666666666679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90</v>
      </c>
      <c r="C8">
        <v>10</v>
      </c>
      <c r="D8">
        <v>41</v>
      </c>
      <c r="E8">
        <v>59</v>
      </c>
      <c r="G8">
        <v>73</v>
      </c>
      <c r="H8">
        <v>27</v>
      </c>
      <c r="I8">
        <v>20</v>
      </c>
      <c r="J8">
        <v>80</v>
      </c>
      <c r="L8">
        <v>78</v>
      </c>
      <c r="M8">
        <v>22</v>
      </c>
      <c r="N8">
        <v>36</v>
      </c>
      <c r="O8">
        <v>64</v>
      </c>
      <c r="Q8">
        <f t="shared" si="0"/>
        <v>25.5</v>
      </c>
      <c r="R8">
        <f t="shared" si="1"/>
        <v>23.5</v>
      </c>
      <c r="S8">
        <f t="shared" si="2"/>
        <v>29</v>
      </c>
      <c r="T8">
        <f t="shared" si="3"/>
        <v>26</v>
      </c>
      <c r="U8">
        <f t="shared" si="4"/>
        <v>23.5</v>
      </c>
      <c r="V8">
        <f t="shared" si="5"/>
        <v>2.5</v>
      </c>
    </row>
    <row r="9" spans="1:44" x14ac:dyDescent="0.3">
      <c r="B9">
        <v>92</v>
      </c>
      <c r="C9">
        <v>8</v>
      </c>
      <c r="D9">
        <v>43</v>
      </c>
      <c r="E9">
        <v>57</v>
      </c>
      <c r="G9">
        <v>80</v>
      </c>
      <c r="H9">
        <v>20</v>
      </c>
      <c r="I9">
        <v>19</v>
      </c>
      <c r="J9">
        <v>81</v>
      </c>
      <c r="L9">
        <v>68</v>
      </c>
      <c r="M9">
        <v>32</v>
      </c>
      <c r="N9">
        <v>26</v>
      </c>
      <c r="O9">
        <v>74</v>
      </c>
      <c r="Q9">
        <f t="shared" si="0"/>
        <v>25.5</v>
      </c>
      <c r="R9">
        <f t="shared" si="1"/>
        <v>19.5</v>
      </c>
      <c r="S9">
        <f t="shared" si="2"/>
        <v>29</v>
      </c>
      <c r="T9">
        <f t="shared" si="3"/>
        <v>24.666666666666668</v>
      </c>
      <c r="U9">
        <f t="shared" si="4"/>
        <v>19.5</v>
      </c>
      <c r="V9">
        <f t="shared" si="5"/>
        <v>5.1666666666666679</v>
      </c>
    </row>
    <row r="10" spans="1:44" x14ac:dyDescent="0.3">
      <c r="A10" t="s">
        <v>71</v>
      </c>
    </row>
    <row r="11" spans="1:44" x14ac:dyDescent="0.3">
      <c r="B11">
        <v>82</v>
      </c>
      <c r="C11">
        <v>18</v>
      </c>
      <c r="D11">
        <v>29</v>
      </c>
      <c r="E11">
        <v>71</v>
      </c>
      <c r="G11">
        <v>78</v>
      </c>
      <c r="H11">
        <v>22</v>
      </c>
      <c r="I11">
        <v>18</v>
      </c>
      <c r="J11">
        <v>82</v>
      </c>
      <c r="L11">
        <v>75</v>
      </c>
      <c r="M11">
        <v>25</v>
      </c>
      <c r="N11">
        <v>23</v>
      </c>
      <c r="O11">
        <v>77</v>
      </c>
      <c r="Q11">
        <f t="shared" si="0"/>
        <v>23.5</v>
      </c>
      <c r="R11">
        <f t="shared" si="1"/>
        <v>20</v>
      </c>
      <c r="S11">
        <f t="shared" si="2"/>
        <v>24</v>
      </c>
      <c r="T11">
        <f t="shared" si="3"/>
        <v>22.5</v>
      </c>
      <c r="U11">
        <f t="shared" si="4"/>
        <v>20</v>
      </c>
      <c r="V11">
        <f t="shared" si="5"/>
        <v>2.5</v>
      </c>
      <c r="W11">
        <f>AVERAGE(Q11:Q14)</f>
        <v>23</v>
      </c>
      <c r="X11">
        <f>_xlfn.STDEV.S(Q11:Q14)</f>
        <v>1.5811388300841898</v>
      </c>
      <c r="Y11">
        <f>AVERAGE(R11:R14)</f>
        <v>20.75</v>
      </c>
      <c r="Z11">
        <f>_xlfn.STDEV.S(R11:R14)</f>
        <v>2.5</v>
      </c>
      <c r="AA11">
        <f>AVERAGE(S11:S14)</f>
        <v>25.625</v>
      </c>
      <c r="AB11">
        <f>_xlfn.STDEV.S(S11:S14)</f>
        <v>2.1360009363293826</v>
      </c>
      <c r="AC11">
        <f>AVERAGE(T11:T14)</f>
        <v>23.125</v>
      </c>
      <c r="AD11">
        <f>_xlfn.STDEV.S(T11:T14)</f>
        <v>1.2573855886395862</v>
      </c>
      <c r="AE11">
        <f>AVERAGE(V11:V14)</f>
        <v>2.375</v>
      </c>
      <c r="AF11">
        <f>_xlfn.STDEV.S(V11:V14)</f>
        <v>1.6576143053150778</v>
      </c>
    </row>
    <row r="12" spans="1:44" x14ac:dyDescent="0.3">
      <c r="B12">
        <v>83</v>
      </c>
      <c r="C12">
        <v>17</v>
      </c>
      <c r="D12">
        <v>26</v>
      </c>
      <c r="E12">
        <v>74</v>
      </c>
      <c r="G12">
        <v>76</v>
      </c>
      <c r="H12">
        <v>24</v>
      </c>
      <c r="I12">
        <v>12</v>
      </c>
      <c r="J12">
        <v>88</v>
      </c>
      <c r="L12">
        <v>72</v>
      </c>
      <c r="M12">
        <v>28</v>
      </c>
      <c r="N12">
        <v>29</v>
      </c>
      <c r="O12">
        <v>71</v>
      </c>
      <c r="Q12">
        <f t="shared" si="0"/>
        <v>21.5</v>
      </c>
      <c r="R12">
        <f t="shared" si="1"/>
        <v>18</v>
      </c>
      <c r="S12">
        <f t="shared" si="2"/>
        <v>28.5</v>
      </c>
      <c r="T12">
        <f t="shared" si="3"/>
        <v>22.666666666666668</v>
      </c>
      <c r="U12">
        <f t="shared" si="4"/>
        <v>18</v>
      </c>
      <c r="V12">
        <f t="shared" si="5"/>
        <v>4.6666666666666679</v>
      </c>
    </row>
    <row r="13" spans="1:44" x14ac:dyDescent="0.3">
      <c r="B13">
        <v>91</v>
      </c>
      <c r="C13">
        <v>9</v>
      </c>
      <c r="D13">
        <v>35</v>
      </c>
      <c r="E13">
        <v>65</v>
      </c>
      <c r="G13">
        <v>67</v>
      </c>
      <c r="H13">
        <v>33</v>
      </c>
      <c r="I13">
        <v>9</v>
      </c>
      <c r="J13">
        <v>91</v>
      </c>
      <c r="L13">
        <v>74</v>
      </c>
      <c r="M13">
        <v>26</v>
      </c>
      <c r="N13">
        <v>22</v>
      </c>
      <c r="O13">
        <v>78</v>
      </c>
      <c r="Q13">
        <f t="shared" si="0"/>
        <v>22</v>
      </c>
      <c r="R13">
        <f t="shared" si="1"/>
        <v>21</v>
      </c>
      <c r="S13">
        <f t="shared" si="2"/>
        <v>24</v>
      </c>
      <c r="T13">
        <f t="shared" si="3"/>
        <v>22.333333333333332</v>
      </c>
      <c r="U13">
        <f t="shared" si="4"/>
        <v>21</v>
      </c>
      <c r="V13">
        <f t="shared" si="5"/>
        <v>1.3333333333333321</v>
      </c>
    </row>
    <row r="14" spans="1:44" x14ac:dyDescent="0.3">
      <c r="B14">
        <v>95</v>
      </c>
      <c r="C14">
        <v>5</v>
      </c>
      <c r="D14">
        <v>45</v>
      </c>
      <c r="E14">
        <v>55</v>
      </c>
      <c r="G14">
        <v>60</v>
      </c>
      <c r="H14">
        <v>40</v>
      </c>
      <c r="I14">
        <v>8</v>
      </c>
      <c r="J14">
        <v>92</v>
      </c>
      <c r="L14">
        <v>76</v>
      </c>
      <c r="M14">
        <v>24</v>
      </c>
      <c r="N14">
        <v>28</v>
      </c>
      <c r="O14">
        <v>72</v>
      </c>
      <c r="Q14">
        <f t="shared" si="0"/>
        <v>25</v>
      </c>
      <c r="R14">
        <f t="shared" si="1"/>
        <v>24</v>
      </c>
      <c r="S14">
        <f t="shared" si="2"/>
        <v>26</v>
      </c>
      <c r="T14">
        <f t="shared" si="3"/>
        <v>25</v>
      </c>
      <c r="U14">
        <f t="shared" si="4"/>
        <v>24</v>
      </c>
      <c r="V14">
        <f t="shared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O1" workbookViewId="0">
      <selection activeCell="Y15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41</v>
      </c>
      <c r="E3">
        <v>59</v>
      </c>
      <c r="G3">
        <v>74</v>
      </c>
      <c r="H3">
        <v>26</v>
      </c>
      <c r="I3">
        <v>18</v>
      </c>
      <c r="J3">
        <v>82</v>
      </c>
      <c r="L3">
        <v>75</v>
      </c>
      <c r="M3">
        <v>25</v>
      </c>
      <c r="N3">
        <v>25</v>
      </c>
      <c r="O3">
        <v>75</v>
      </c>
      <c r="Q3">
        <f>AVERAGE(C3:D3)</f>
        <v>29</v>
      </c>
      <c r="R3">
        <f>AVERAGE(H3:I3)</f>
        <v>22</v>
      </c>
      <c r="S3">
        <f>AVERAGE(M3:N3)</f>
        <v>25</v>
      </c>
      <c r="T3">
        <f>AVERAGE(Q3:S3)</f>
        <v>25.333333333333332</v>
      </c>
      <c r="U3">
        <f>MIN(Q3:S3)</f>
        <v>22</v>
      </c>
      <c r="V3">
        <f>T3-U3</f>
        <v>3.3333333333333321</v>
      </c>
      <c r="W3">
        <f>AVERAGE(Q3:Q4)</f>
        <v>26.5</v>
      </c>
      <c r="X3">
        <f>_xlfn.STDEV.S(Q3:Q4)</f>
        <v>3.5355339059327378</v>
      </c>
      <c r="Y3">
        <f>AVERAGE(R3:R4)</f>
        <v>22</v>
      </c>
      <c r="Z3">
        <f>_xlfn.STDEV.S(R3:R4)</f>
        <v>0</v>
      </c>
      <c r="AA3">
        <f>AVERAGE(S3:S4)</f>
        <v>28.25</v>
      </c>
      <c r="AB3">
        <f>_xlfn.STDEV.S(S3:S4)</f>
        <v>4.5961940777125587</v>
      </c>
      <c r="AC3">
        <f>AVERAGE(T3:T4)</f>
        <v>25.583333333333332</v>
      </c>
      <c r="AD3">
        <f>_xlfn.STDEV.S(T3:T4)</f>
        <v>0.35355339059327379</v>
      </c>
      <c r="AE3">
        <f>AVERAGE(V3:V4)</f>
        <v>3.5833333333333321</v>
      </c>
      <c r="AF3">
        <f>_xlfn.STDEV.S(V3:V4)</f>
        <v>0.35355339059327379</v>
      </c>
      <c r="AH3" t="s">
        <v>43</v>
      </c>
      <c r="AL3" t="s">
        <v>44</v>
      </c>
    </row>
    <row r="4" spans="1:44" x14ac:dyDescent="0.3">
      <c r="B4">
        <v>88</v>
      </c>
      <c r="C4">
        <v>12</v>
      </c>
      <c r="D4">
        <v>36</v>
      </c>
      <c r="E4">
        <v>64</v>
      </c>
      <c r="G4">
        <v>80</v>
      </c>
      <c r="H4">
        <v>20</v>
      </c>
      <c r="I4">
        <v>24</v>
      </c>
      <c r="J4">
        <v>76</v>
      </c>
      <c r="L4">
        <v>73</v>
      </c>
      <c r="M4">
        <v>27</v>
      </c>
      <c r="N4">
        <v>36</v>
      </c>
      <c r="O4">
        <v>64</v>
      </c>
      <c r="Q4">
        <f t="shared" ref="Q4:Q14" si="0">AVERAGE(C4:D4)</f>
        <v>24</v>
      </c>
      <c r="R4">
        <f t="shared" ref="R4:R14" si="1">AVERAGE(H4:I4)</f>
        <v>22</v>
      </c>
      <c r="S4">
        <f t="shared" ref="S4:S14" si="2">AVERAGE(M4:N4)</f>
        <v>31.5</v>
      </c>
      <c r="T4">
        <f t="shared" ref="T4:T14" si="3">AVERAGE(Q4:S4)</f>
        <v>25.833333333333332</v>
      </c>
      <c r="U4">
        <f t="shared" ref="U4:U14" si="4">MIN(Q4:S4)</f>
        <v>22</v>
      </c>
      <c r="V4">
        <f t="shared" ref="V4:V14" si="5">T4-U4</f>
        <v>3.8333333333333321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83</v>
      </c>
      <c r="C6">
        <v>17</v>
      </c>
      <c r="D6">
        <v>34</v>
      </c>
      <c r="E6">
        <v>66</v>
      </c>
      <c r="G6">
        <v>75</v>
      </c>
      <c r="H6">
        <v>25</v>
      </c>
      <c r="I6">
        <v>7</v>
      </c>
      <c r="J6">
        <v>93</v>
      </c>
      <c r="L6">
        <v>70</v>
      </c>
      <c r="M6">
        <v>30</v>
      </c>
      <c r="N6">
        <v>29</v>
      </c>
      <c r="O6">
        <v>71</v>
      </c>
      <c r="Q6">
        <f t="shared" si="0"/>
        <v>25.5</v>
      </c>
      <c r="R6">
        <f t="shared" si="1"/>
        <v>16</v>
      </c>
      <c r="S6">
        <f t="shared" si="2"/>
        <v>29.5</v>
      </c>
      <c r="T6">
        <f t="shared" si="3"/>
        <v>23.666666666666668</v>
      </c>
      <c r="U6">
        <f t="shared" si="4"/>
        <v>16</v>
      </c>
      <c r="V6">
        <f t="shared" si="5"/>
        <v>7.6666666666666679</v>
      </c>
      <c r="W6">
        <f>AVERAGE(Q6:Q9)</f>
        <v>25</v>
      </c>
      <c r="X6">
        <f>_xlfn.STDEV.S(Q6:Q9)</f>
        <v>3.2914029430219167</v>
      </c>
      <c r="Y6">
        <f>AVERAGE(R6:R9)</f>
        <v>19.375</v>
      </c>
      <c r="Z6">
        <f>_xlfn.STDEV.S(R6:R9)</f>
        <v>3.0379543555930306</v>
      </c>
      <c r="AA6">
        <f>AVERAGE(S6:S9)</f>
        <v>27.375</v>
      </c>
      <c r="AB6">
        <f>_xlfn.STDEV.S(S6:S9)</f>
        <v>2.3584952830141508</v>
      </c>
      <c r="AC6">
        <f>AVERAGE(T6:T9)</f>
        <v>23.916666666666664</v>
      </c>
      <c r="AD6">
        <f>_xlfn.STDEV.S(T6:T9)</f>
        <v>1.4433756729740641</v>
      </c>
      <c r="AE6">
        <f>AVERAGE(V6:V9)</f>
        <v>4.5416666666666661</v>
      </c>
      <c r="AF6">
        <f>_xlfn.STDEV.S(V6:V9)</f>
        <v>2.8394541729001377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81</v>
      </c>
      <c r="C7">
        <v>19</v>
      </c>
      <c r="D7">
        <v>39</v>
      </c>
      <c r="E7">
        <v>61</v>
      </c>
      <c r="G7">
        <v>71</v>
      </c>
      <c r="H7">
        <v>29</v>
      </c>
      <c r="I7">
        <v>12</v>
      </c>
      <c r="J7">
        <v>88</v>
      </c>
      <c r="L7">
        <v>77</v>
      </c>
      <c r="M7">
        <v>23</v>
      </c>
      <c r="N7">
        <v>33</v>
      </c>
      <c r="O7">
        <v>67</v>
      </c>
      <c r="Q7">
        <f t="shared" si="0"/>
        <v>29</v>
      </c>
      <c r="R7">
        <f t="shared" si="1"/>
        <v>20.5</v>
      </c>
      <c r="S7">
        <f t="shared" si="2"/>
        <v>28</v>
      </c>
      <c r="T7">
        <f t="shared" si="3"/>
        <v>25.833333333333332</v>
      </c>
      <c r="U7">
        <f t="shared" si="4"/>
        <v>20.5</v>
      </c>
      <c r="V7">
        <f t="shared" si="5"/>
        <v>5.3333333333333321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87</v>
      </c>
      <c r="C8">
        <v>13</v>
      </c>
      <c r="D8">
        <v>36</v>
      </c>
      <c r="E8">
        <v>64</v>
      </c>
      <c r="G8">
        <v>63</v>
      </c>
      <c r="H8">
        <v>37</v>
      </c>
      <c r="I8">
        <v>9</v>
      </c>
      <c r="J8">
        <v>91</v>
      </c>
      <c r="L8">
        <v>74</v>
      </c>
      <c r="M8">
        <v>26</v>
      </c>
      <c r="N8">
        <v>22</v>
      </c>
      <c r="O8">
        <v>78</v>
      </c>
      <c r="Q8">
        <f t="shared" si="0"/>
        <v>24.5</v>
      </c>
      <c r="R8">
        <f t="shared" si="1"/>
        <v>23</v>
      </c>
      <c r="S8">
        <f t="shared" si="2"/>
        <v>24</v>
      </c>
      <c r="T8">
        <f t="shared" si="3"/>
        <v>23.833333333333332</v>
      </c>
      <c r="U8">
        <f t="shared" si="4"/>
        <v>23</v>
      </c>
      <c r="V8">
        <f t="shared" si="5"/>
        <v>0.83333333333333215</v>
      </c>
    </row>
    <row r="9" spans="1:44" x14ac:dyDescent="0.3">
      <c r="B9">
        <v>93</v>
      </c>
      <c r="C9">
        <v>7</v>
      </c>
      <c r="D9">
        <v>35</v>
      </c>
      <c r="E9">
        <v>65</v>
      </c>
      <c r="G9">
        <v>82</v>
      </c>
      <c r="H9">
        <v>18</v>
      </c>
      <c r="I9">
        <v>18</v>
      </c>
      <c r="J9">
        <v>82</v>
      </c>
      <c r="L9">
        <v>72</v>
      </c>
      <c r="M9">
        <v>28</v>
      </c>
      <c r="N9">
        <v>28</v>
      </c>
      <c r="O9">
        <v>72</v>
      </c>
      <c r="Q9">
        <f t="shared" si="0"/>
        <v>21</v>
      </c>
      <c r="R9">
        <f t="shared" si="1"/>
        <v>18</v>
      </c>
      <c r="S9">
        <f t="shared" si="2"/>
        <v>28</v>
      </c>
      <c r="T9">
        <f t="shared" si="3"/>
        <v>22.333333333333332</v>
      </c>
      <c r="U9">
        <f t="shared" si="4"/>
        <v>18</v>
      </c>
      <c r="V9">
        <f t="shared" si="5"/>
        <v>4.3333333333333321</v>
      </c>
    </row>
    <row r="10" spans="1:44" x14ac:dyDescent="0.3">
      <c r="A10" t="s">
        <v>71</v>
      </c>
    </row>
    <row r="11" spans="1:44" x14ac:dyDescent="0.3">
      <c r="B11">
        <v>84</v>
      </c>
      <c r="C11">
        <v>16</v>
      </c>
      <c r="D11">
        <v>32</v>
      </c>
      <c r="E11">
        <v>68</v>
      </c>
      <c r="G11">
        <v>52</v>
      </c>
      <c r="H11">
        <v>48</v>
      </c>
      <c r="I11">
        <v>14</v>
      </c>
      <c r="J11">
        <v>86</v>
      </c>
      <c r="L11">
        <v>79</v>
      </c>
      <c r="M11">
        <v>21</v>
      </c>
      <c r="N11">
        <v>24</v>
      </c>
      <c r="O11">
        <v>76</v>
      </c>
      <c r="Q11">
        <f t="shared" si="0"/>
        <v>24</v>
      </c>
      <c r="R11">
        <f t="shared" si="1"/>
        <v>31</v>
      </c>
      <c r="S11">
        <f t="shared" si="2"/>
        <v>22.5</v>
      </c>
      <c r="T11">
        <f t="shared" si="3"/>
        <v>25.833333333333332</v>
      </c>
      <c r="U11">
        <f t="shared" si="4"/>
        <v>22.5</v>
      </c>
      <c r="V11">
        <f t="shared" si="5"/>
        <v>3.3333333333333321</v>
      </c>
      <c r="W11">
        <f>AVERAGE(Q11:Q14)</f>
        <v>23.875</v>
      </c>
      <c r="X11">
        <f>_xlfn.STDEV.S(Q11:Q14)</f>
        <v>0.62915286960589578</v>
      </c>
      <c r="Y11">
        <f>AVERAGE(R11:R14)</f>
        <v>22.25</v>
      </c>
      <c r="Z11">
        <f>_xlfn.STDEV.S(R11:R14)</f>
        <v>6.1169164345008555</v>
      </c>
      <c r="AA11">
        <f>AVERAGE(S11:S14)</f>
        <v>25.75</v>
      </c>
      <c r="AB11">
        <f>_xlfn.STDEV.S(S11:S14)</f>
        <v>2.9860788111948193</v>
      </c>
      <c r="AC11">
        <f>AVERAGE(T11:T14)</f>
        <v>23.958333333333332</v>
      </c>
      <c r="AD11">
        <f>_xlfn.STDEV.S(T11:T14)</f>
        <v>1.2720281268728117</v>
      </c>
      <c r="AE11">
        <f>AVERAGE(V11:V14)</f>
        <v>3.833333333333333</v>
      </c>
      <c r="AF11">
        <f>_xlfn.STDEV.S(V11:V14)</f>
        <v>2.0682789409984759</v>
      </c>
    </row>
    <row r="12" spans="1:44" x14ac:dyDescent="0.3">
      <c r="B12">
        <v>84</v>
      </c>
      <c r="C12">
        <v>16</v>
      </c>
      <c r="D12">
        <v>32</v>
      </c>
      <c r="E12">
        <v>68</v>
      </c>
      <c r="G12">
        <v>79</v>
      </c>
      <c r="H12">
        <v>21</v>
      </c>
      <c r="I12">
        <v>13</v>
      </c>
      <c r="J12">
        <v>87</v>
      </c>
      <c r="L12">
        <v>71</v>
      </c>
      <c r="M12">
        <v>29</v>
      </c>
      <c r="N12">
        <v>30</v>
      </c>
      <c r="O12">
        <v>70</v>
      </c>
      <c r="Q12">
        <f t="shared" si="0"/>
        <v>24</v>
      </c>
      <c r="R12">
        <f t="shared" si="1"/>
        <v>17</v>
      </c>
      <c r="S12">
        <f t="shared" si="2"/>
        <v>29.5</v>
      </c>
      <c r="T12">
        <f t="shared" si="3"/>
        <v>23.5</v>
      </c>
      <c r="U12">
        <f t="shared" si="4"/>
        <v>17</v>
      </c>
      <c r="V12">
        <f t="shared" si="5"/>
        <v>6.5</v>
      </c>
    </row>
    <row r="13" spans="1:44" x14ac:dyDescent="0.3">
      <c r="B13">
        <v>83</v>
      </c>
      <c r="C13">
        <v>17</v>
      </c>
      <c r="D13">
        <v>29</v>
      </c>
      <c r="E13">
        <v>71</v>
      </c>
      <c r="G13">
        <v>65</v>
      </c>
      <c r="H13">
        <v>35</v>
      </c>
      <c r="I13">
        <v>8</v>
      </c>
      <c r="J13">
        <v>92</v>
      </c>
      <c r="L13">
        <v>69</v>
      </c>
      <c r="M13">
        <v>31</v>
      </c>
      <c r="N13">
        <v>18</v>
      </c>
      <c r="O13">
        <v>82</v>
      </c>
      <c r="Q13">
        <f t="shared" si="0"/>
        <v>23</v>
      </c>
      <c r="R13">
        <f t="shared" si="1"/>
        <v>21.5</v>
      </c>
      <c r="S13">
        <f t="shared" si="2"/>
        <v>24.5</v>
      </c>
      <c r="T13">
        <f t="shared" si="3"/>
        <v>23</v>
      </c>
      <c r="U13">
        <f t="shared" si="4"/>
        <v>21.5</v>
      </c>
      <c r="V13">
        <f t="shared" si="5"/>
        <v>1.5</v>
      </c>
    </row>
    <row r="14" spans="1:44" x14ac:dyDescent="0.3">
      <c r="B14">
        <v>87</v>
      </c>
      <c r="C14">
        <v>13</v>
      </c>
      <c r="D14">
        <v>36</v>
      </c>
      <c r="E14">
        <v>64</v>
      </c>
      <c r="G14">
        <v>73</v>
      </c>
      <c r="H14">
        <v>27</v>
      </c>
      <c r="I14">
        <v>12</v>
      </c>
      <c r="J14">
        <v>88</v>
      </c>
      <c r="L14">
        <v>81</v>
      </c>
      <c r="M14">
        <v>19</v>
      </c>
      <c r="N14">
        <v>34</v>
      </c>
      <c r="O14">
        <v>66</v>
      </c>
      <c r="Q14">
        <f t="shared" si="0"/>
        <v>24.5</v>
      </c>
      <c r="R14">
        <f t="shared" si="1"/>
        <v>19.5</v>
      </c>
      <c r="S14">
        <f t="shared" si="2"/>
        <v>26.5</v>
      </c>
      <c r="T14">
        <f t="shared" si="3"/>
        <v>23.5</v>
      </c>
      <c r="U14">
        <f t="shared" si="4"/>
        <v>19.5</v>
      </c>
      <c r="V14">
        <f t="shared" si="5"/>
        <v>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47</v>
      </c>
      <c r="AK11" t="s">
        <v>8</v>
      </c>
      <c r="AL11" t="s">
        <v>48</v>
      </c>
      <c r="AM11" t="s">
        <v>10</v>
      </c>
      <c r="AN11" t="s">
        <v>49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47</v>
      </c>
      <c r="Y15" t="s">
        <v>8</v>
      </c>
      <c r="Z15" t="s">
        <v>48</v>
      </c>
      <c r="AA15" t="s">
        <v>10</v>
      </c>
      <c r="AB15" t="s">
        <v>49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47</v>
      </c>
      <c r="Y2" t="s">
        <v>8</v>
      </c>
      <c r="Z2" t="s">
        <v>48</v>
      </c>
      <c r="AA2" t="s">
        <v>10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PARBS_STDAUG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2026-02-02T20:31:15Z</dcterms:modified>
</cp:coreProperties>
</file>