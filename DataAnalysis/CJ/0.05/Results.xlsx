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9628"/>
  <workbookPr/>
  <mc:AlternateContent xmlns:mc="http://schemas.openxmlformats.org/markup-compatibility/2006">
    <mc:Choice Requires="x15">
      <x15ac:absPath xmlns:x15ac="http://schemas.microsoft.com/office/spreadsheetml/2010/11/ac" url="C:\Users\Utente\Desktop\CultureAwarenessTest\DataAnalysis\CJ\0.05\"/>
    </mc:Choice>
  </mc:AlternateContent>
  <xr:revisionPtr revIDLastSave="0" documentId="13_ncr:1_{DD7E4867-5CEB-44D3-8BAD-7908E2B380CB}" xr6:coauthVersionLast="47" xr6:coauthVersionMax="47" xr10:uidLastSave="{00000000-0000-0000-0000-000000000000}"/>
  <bookViews>
    <workbookView xWindow="-96" yWindow="0" windowWidth="11712" windowHeight="12336" xr2:uid="{00000000-000D-0000-FFFF-FFFF00000000}"/>
  </bookViews>
  <sheets>
    <sheet name="Foglio1" sheetId="1" r:id="rId1"/>
    <sheet name="DIFF_ONLYMIN" sheetId="20" r:id="rId2"/>
    <sheet name="MIT_DIFF_ONLYMIN_STDAUG" sheetId="19" r:id="rId3"/>
    <sheet name="MIT_DIFF_ONLYMIN_NOAUG" sheetId="18" r:id="rId4"/>
    <sheet name="MIT_PARBS_DIFF_ONLYMIN_STDAUG" sheetId="17" r:id="rId5"/>
    <sheet name="MIT_DIFF_STDAUG" sheetId="16" r:id="rId6"/>
    <sheet name="MIT_PARBS_STDAUG" sheetId="14" r:id="rId7"/>
    <sheet name="MIT_DIFF_NOAUG" sheetId="15" r:id="rId8"/>
    <sheet name="MIT_PARBS_NOAUG" sheetId="13" r:id="rId9"/>
    <sheet name="MIT_NOAUG" sheetId="11" r:id="rId10"/>
    <sheet name="MIT_STDAUG" sheetId="12" r:id="rId11"/>
    <sheet name="STD_IMB_AUG" sheetId="10" r:id="rId12"/>
    <sheet name="STD_IMB_NOAUG" sheetId="9" r:id="rId13"/>
    <sheet name="DIFF" sheetId="8" r:id="rId14"/>
    <sheet name="STD_BAL_ADV_NOCLSDIV" sheetId="7" r:id="rId15"/>
    <sheet name="STD_BAL_ADV_CLSDIV" sheetId="6" r:id="rId16"/>
    <sheet name="STD_BAL_STDAUG" sheetId="5" r:id="rId17"/>
    <sheet name="STD_BAL_NOAUG" sheetId="2" r:id="rId18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AC3" i="20" l="1"/>
  <c r="AD3" i="20"/>
  <c r="AC4" i="20"/>
  <c r="AD4" i="20"/>
  <c r="AC5" i="20"/>
  <c r="AD5" i="20" s="1"/>
  <c r="Q3" i="20"/>
  <c r="R3" i="20"/>
  <c r="T3" i="20" s="1"/>
  <c r="S3" i="20"/>
  <c r="Q4" i="20"/>
  <c r="T4" i="20" s="1"/>
  <c r="R4" i="20"/>
  <c r="S4" i="20"/>
  <c r="Q5" i="20"/>
  <c r="R5" i="20"/>
  <c r="S5" i="20"/>
  <c r="T5" i="20"/>
  <c r="Q2" i="20"/>
  <c r="AC2" i="20" s="1"/>
  <c r="S2" i="20"/>
  <c r="Z2" i="20" s="1"/>
  <c r="R2" i="20"/>
  <c r="X2" i="20" s="1"/>
  <c r="AF10" i="17"/>
  <c r="AE10" i="17"/>
  <c r="AB10" i="17"/>
  <c r="AA10" i="17"/>
  <c r="Z10" i="17"/>
  <c r="Y10" i="17"/>
  <c r="X10" i="17"/>
  <c r="W10" i="17"/>
  <c r="V10" i="17"/>
  <c r="U10" i="17"/>
  <c r="Q10" i="17"/>
  <c r="AC10" i="17" s="1"/>
  <c r="R10" i="17"/>
  <c r="S10" i="17"/>
  <c r="T10" i="17"/>
  <c r="AD10" i="17" s="1"/>
  <c r="Q11" i="17"/>
  <c r="T11" i="17" s="1"/>
  <c r="R11" i="17"/>
  <c r="S11" i="17"/>
  <c r="AF11" i="14"/>
  <c r="AE11" i="14"/>
  <c r="AB11" i="14"/>
  <c r="AA11" i="14"/>
  <c r="Z11" i="14"/>
  <c r="Y11" i="14"/>
  <c r="X11" i="14"/>
  <c r="W11" i="14"/>
  <c r="V11" i="14"/>
  <c r="U11" i="14"/>
  <c r="U4" i="14"/>
  <c r="Q11" i="14"/>
  <c r="AC11" i="14" s="1"/>
  <c r="R11" i="14"/>
  <c r="S11" i="14"/>
  <c r="T11" i="14"/>
  <c r="AD11" i="14" s="1"/>
  <c r="Q12" i="14"/>
  <c r="R12" i="14"/>
  <c r="S12" i="14"/>
  <c r="T12" i="14"/>
  <c r="AC12" i="14"/>
  <c r="AD12" i="14"/>
  <c r="AF10" i="19"/>
  <c r="AE10" i="19"/>
  <c r="AB10" i="19"/>
  <c r="AA10" i="19"/>
  <c r="Z10" i="19"/>
  <c r="Y10" i="19"/>
  <c r="X10" i="19"/>
  <c r="W10" i="19"/>
  <c r="V10" i="19"/>
  <c r="U10" i="19"/>
  <c r="Q10" i="19"/>
  <c r="AC10" i="19" s="1"/>
  <c r="R10" i="19"/>
  <c r="S10" i="19"/>
  <c r="T10" i="19"/>
  <c r="AD10" i="19" s="1"/>
  <c r="Q11" i="19"/>
  <c r="R11" i="19"/>
  <c r="S11" i="19"/>
  <c r="T11" i="19"/>
  <c r="AC11" i="19"/>
  <c r="AD11" i="19"/>
  <c r="Q12" i="19"/>
  <c r="R12" i="19"/>
  <c r="S12" i="19"/>
  <c r="T12" i="19"/>
  <c r="AC12" i="19"/>
  <c r="AD12" i="19"/>
  <c r="Q13" i="19"/>
  <c r="T13" i="19" s="1"/>
  <c r="R13" i="19"/>
  <c r="S13" i="19"/>
  <c r="U4" i="19"/>
  <c r="AF35" i="16"/>
  <c r="AE35" i="16"/>
  <c r="AB35" i="16"/>
  <c r="AA35" i="16"/>
  <c r="Z35" i="16"/>
  <c r="Y35" i="16"/>
  <c r="X35" i="16"/>
  <c r="W35" i="16"/>
  <c r="V35" i="16"/>
  <c r="U35" i="16"/>
  <c r="Q35" i="16"/>
  <c r="R35" i="16"/>
  <c r="X16" i="16" s="1"/>
  <c r="S35" i="16"/>
  <c r="Z16" i="16" s="1"/>
  <c r="T35" i="16"/>
  <c r="Q36" i="16"/>
  <c r="R36" i="16"/>
  <c r="W16" i="16" s="1"/>
  <c r="S36" i="16"/>
  <c r="T36" i="16"/>
  <c r="Q37" i="16"/>
  <c r="R37" i="16"/>
  <c r="S37" i="16"/>
  <c r="T37" i="16"/>
  <c r="AC37" i="16"/>
  <c r="AD37" i="16"/>
  <c r="Q38" i="16"/>
  <c r="R38" i="16"/>
  <c r="S38" i="16"/>
  <c r="AF9" i="8"/>
  <c r="AE9" i="8"/>
  <c r="AB9" i="8"/>
  <c r="AA9" i="8"/>
  <c r="Z9" i="8"/>
  <c r="Y9" i="8"/>
  <c r="X9" i="8"/>
  <c r="W9" i="8"/>
  <c r="V9" i="8"/>
  <c r="U9" i="8"/>
  <c r="Q9" i="8"/>
  <c r="AC9" i="8" s="1"/>
  <c r="R9" i="8"/>
  <c r="S9" i="8"/>
  <c r="T9" i="8"/>
  <c r="Q10" i="8"/>
  <c r="R10" i="8"/>
  <c r="S10" i="8"/>
  <c r="T10" i="8"/>
  <c r="AC10" i="8"/>
  <c r="AD10" i="8"/>
  <c r="Q11" i="8"/>
  <c r="T11" i="8" s="1"/>
  <c r="R11" i="8"/>
  <c r="S11" i="8"/>
  <c r="Q12" i="8"/>
  <c r="T12" i="8" s="1"/>
  <c r="R12" i="8"/>
  <c r="S12" i="8"/>
  <c r="Q13" i="8"/>
  <c r="R13" i="8"/>
  <c r="S13" i="8"/>
  <c r="T13" i="8"/>
  <c r="AD13" i="8" s="1"/>
  <c r="AC13" i="8"/>
  <c r="AF4" i="17"/>
  <c r="AE4" i="17"/>
  <c r="AB4" i="17"/>
  <c r="AA4" i="17"/>
  <c r="Z4" i="17"/>
  <c r="Y4" i="17"/>
  <c r="X4" i="17"/>
  <c r="W4" i="17"/>
  <c r="V4" i="17"/>
  <c r="U4" i="17"/>
  <c r="Q5" i="17"/>
  <c r="R5" i="17"/>
  <c r="S5" i="17"/>
  <c r="T5" i="17"/>
  <c r="AC5" i="17"/>
  <c r="AD5" i="17"/>
  <c r="Q6" i="17"/>
  <c r="R6" i="17"/>
  <c r="S6" i="17"/>
  <c r="T6" i="17"/>
  <c r="AC6" i="17"/>
  <c r="AD6" i="17"/>
  <c r="Q7" i="17"/>
  <c r="AC7" i="17" s="1"/>
  <c r="R7" i="17"/>
  <c r="S7" i="17"/>
  <c r="T7" i="17"/>
  <c r="AD7" i="17" s="1"/>
  <c r="AD4" i="17"/>
  <c r="AC4" i="17"/>
  <c r="T4" i="17"/>
  <c r="S4" i="17"/>
  <c r="R4" i="17"/>
  <c r="Q4" i="17"/>
  <c r="AF4" i="19"/>
  <c r="AE4" i="19"/>
  <c r="AB4" i="19"/>
  <c r="AA4" i="19"/>
  <c r="Z4" i="19"/>
  <c r="Y4" i="19"/>
  <c r="X4" i="19"/>
  <c r="W4" i="19"/>
  <c r="V4" i="19"/>
  <c r="Q5" i="19"/>
  <c r="T5" i="19" s="1"/>
  <c r="R5" i="19"/>
  <c r="S5" i="19"/>
  <c r="Q6" i="19"/>
  <c r="R6" i="19"/>
  <c r="S6" i="19"/>
  <c r="T6" i="19"/>
  <c r="AC6" i="19"/>
  <c r="AD6" i="19"/>
  <c r="Q7" i="19"/>
  <c r="R7" i="19"/>
  <c r="S7" i="19"/>
  <c r="T7" i="19"/>
  <c r="AC7" i="19"/>
  <c r="AD7" i="19"/>
  <c r="AD4" i="19"/>
  <c r="AC4" i="19"/>
  <c r="T4" i="19"/>
  <c r="S4" i="19"/>
  <c r="R4" i="19"/>
  <c r="Q4" i="19"/>
  <c r="AF4" i="16"/>
  <c r="AB4" i="16"/>
  <c r="Z4" i="16"/>
  <c r="Y4" i="16"/>
  <c r="X4" i="16"/>
  <c r="W4" i="16"/>
  <c r="V4" i="16"/>
  <c r="U4" i="16"/>
  <c r="Q16" i="16"/>
  <c r="R16" i="16"/>
  <c r="S16" i="16"/>
  <c r="T16" i="16"/>
  <c r="AC16" i="16"/>
  <c r="AD16" i="16"/>
  <c r="Q17" i="16"/>
  <c r="R17" i="16"/>
  <c r="S17" i="16"/>
  <c r="T17" i="16"/>
  <c r="AC17" i="16"/>
  <c r="AD17" i="16"/>
  <c r="Q18" i="16"/>
  <c r="R18" i="16"/>
  <c r="S18" i="16"/>
  <c r="T18" i="16"/>
  <c r="AC18" i="16"/>
  <c r="AD18" i="16"/>
  <c r="Q19" i="16"/>
  <c r="R19" i="16"/>
  <c r="S19" i="16"/>
  <c r="T19" i="16"/>
  <c r="AC19" i="16"/>
  <c r="AD19" i="16"/>
  <c r="AE4" i="16"/>
  <c r="AA4" i="16"/>
  <c r="Q5" i="16"/>
  <c r="R5" i="16"/>
  <c r="T5" i="16" s="1"/>
  <c r="AD5" i="16" s="1"/>
  <c r="S5" i="16"/>
  <c r="AC5" i="16"/>
  <c r="Q6" i="16"/>
  <c r="T6" i="16" s="1"/>
  <c r="R6" i="16"/>
  <c r="S6" i="16"/>
  <c r="Q7" i="16"/>
  <c r="AC7" i="16" s="1"/>
  <c r="R7" i="16"/>
  <c r="S7" i="16"/>
  <c r="T7" i="16"/>
  <c r="Q8" i="16"/>
  <c r="R8" i="16"/>
  <c r="S8" i="16"/>
  <c r="T8" i="16"/>
  <c r="AC8" i="16"/>
  <c r="AD8" i="16"/>
  <c r="Q9" i="16"/>
  <c r="R9" i="16"/>
  <c r="S9" i="16"/>
  <c r="T9" i="16"/>
  <c r="AC9" i="16"/>
  <c r="AD9" i="16"/>
  <c r="Q10" i="16"/>
  <c r="T10" i="16" s="1"/>
  <c r="R10" i="16"/>
  <c r="S10" i="16"/>
  <c r="Q11" i="16"/>
  <c r="AC11" i="16" s="1"/>
  <c r="R11" i="16"/>
  <c r="S11" i="16"/>
  <c r="T11" i="16"/>
  <c r="AD11" i="16" s="1"/>
  <c r="Q12" i="16"/>
  <c r="R12" i="16"/>
  <c r="S12" i="16"/>
  <c r="T12" i="16"/>
  <c r="AC12" i="16"/>
  <c r="AD12" i="16"/>
  <c r="Q13" i="16"/>
  <c r="R13" i="16"/>
  <c r="T13" i="16" s="1"/>
  <c r="AD13" i="16" s="1"/>
  <c r="S13" i="16"/>
  <c r="AC13" i="16"/>
  <c r="AD4" i="16"/>
  <c r="AC4" i="16"/>
  <c r="T4" i="16"/>
  <c r="S4" i="16"/>
  <c r="R4" i="16"/>
  <c r="Q4" i="16"/>
  <c r="AB15" i="10"/>
  <c r="AA15" i="10"/>
  <c r="Z15" i="10"/>
  <c r="Y15" i="10"/>
  <c r="X15" i="10"/>
  <c r="W15" i="10"/>
  <c r="AE3" i="9"/>
  <c r="AE4" i="9"/>
  <c r="AE5" i="9"/>
  <c r="AE6" i="9"/>
  <c r="AE7" i="9"/>
  <c r="AE8" i="9"/>
  <c r="AE9" i="9"/>
  <c r="AE10" i="9"/>
  <c r="AE11" i="9"/>
  <c r="AE2" i="9"/>
  <c r="AF4" i="8"/>
  <c r="AE4" i="8"/>
  <c r="AB4" i="8"/>
  <c r="AA4" i="8"/>
  <c r="Z4" i="8"/>
  <c r="Y4" i="8"/>
  <c r="X4" i="8"/>
  <c r="W4" i="8"/>
  <c r="V4" i="8"/>
  <c r="U4" i="8"/>
  <c r="Q5" i="8"/>
  <c r="R5" i="8"/>
  <c r="S5" i="8"/>
  <c r="T5" i="8"/>
  <c r="AC5" i="8"/>
  <c r="AD5" i="8"/>
  <c r="Q6" i="8"/>
  <c r="T6" i="8" s="1"/>
  <c r="R6" i="8"/>
  <c r="S6" i="8"/>
  <c r="Q7" i="8"/>
  <c r="R7" i="8"/>
  <c r="S7" i="8"/>
  <c r="T7" i="8"/>
  <c r="AC7" i="8"/>
  <c r="AD7" i="8"/>
  <c r="AD4" i="8"/>
  <c r="AC4" i="8"/>
  <c r="T4" i="8"/>
  <c r="S4" i="8"/>
  <c r="R4" i="8"/>
  <c r="Q4" i="8"/>
  <c r="V7" i="6"/>
  <c r="V8" i="6"/>
  <c r="V9" i="6"/>
  <c r="AF7" i="6" s="1"/>
  <c r="V10" i="6"/>
  <c r="V12" i="6"/>
  <c r="V13" i="6"/>
  <c r="V14" i="6"/>
  <c r="V15" i="6"/>
  <c r="V8" i="7"/>
  <c r="V9" i="7"/>
  <c r="V10" i="7"/>
  <c r="V12" i="7"/>
  <c r="V13" i="7"/>
  <c r="V14" i="7"/>
  <c r="V15" i="7"/>
  <c r="V7" i="7"/>
  <c r="AF12" i="7"/>
  <c r="AE12" i="7"/>
  <c r="AD12" i="7"/>
  <c r="AC12" i="7"/>
  <c r="AB12" i="7"/>
  <c r="AA12" i="7"/>
  <c r="Z12" i="7"/>
  <c r="Y12" i="7"/>
  <c r="X12" i="7"/>
  <c r="W12" i="7"/>
  <c r="S36" i="7"/>
  <c r="R36" i="7"/>
  <c r="Q36" i="7"/>
  <c r="U36" i="7" s="1"/>
  <c r="S35" i="7"/>
  <c r="R35" i="7"/>
  <c r="Q35" i="7"/>
  <c r="U35" i="7" s="1"/>
  <c r="U34" i="7"/>
  <c r="T34" i="7"/>
  <c r="V34" i="7" s="1"/>
  <c r="S34" i="7"/>
  <c r="R34" i="7"/>
  <c r="Q34" i="7"/>
  <c r="S33" i="7"/>
  <c r="R33" i="7"/>
  <c r="Q33" i="7"/>
  <c r="U33" i="7" s="1"/>
  <c r="S32" i="7"/>
  <c r="R32" i="7"/>
  <c r="Q32" i="7"/>
  <c r="T32" i="7" s="1"/>
  <c r="S31" i="7"/>
  <c r="R31" i="7"/>
  <c r="Q31" i="7"/>
  <c r="U31" i="7" s="1"/>
  <c r="S27" i="7"/>
  <c r="R27" i="7"/>
  <c r="Q27" i="7"/>
  <c r="T27" i="7" s="1"/>
  <c r="U26" i="7"/>
  <c r="S26" i="7"/>
  <c r="R26" i="7"/>
  <c r="Q26" i="7"/>
  <c r="T26" i="7" s="1"/>
  <c r="V26" i="7" s="1"/>
  <c r="S25" i="7"/>
  <c r="R25" i="7"/>
  <c r="Q25" i="7"/>
  <c r="U25" i="7" s="1"/>
  <c r="U24" i="7"/>
  <c r="S24" i="7"/>
  <c r="R24" i="7"/>
  <c r="Q24" i="7"/>
  <c r="T24" i="7" s="1"/>
  <c r="S15" i="7"/>
  <c r="R15" i="7"/>
  <c r="Q15" i="7"/>
  <c r="U15" i="7" s="1"/>
  <c r="S14" i="7"/>
  <c r="R14" i="7"/>
  <c r="Q14" i="7"/>
  <c r="T14" i="7" s="1"/>
  <c r="S13" i="7"/>
  <c r="R13" i="7"/>
  <c r="Q13" i="7"/>
  <c r="U13" i="7" s="1"/>
  <c r="S12" i="7"/>
  <c r="R12" i="7"/>
  <c r="Q12" i="7"/>
  <c r="U12" i="7" s="1"/>
  <c r="S10" i="7"/>
  <c r="R10" i="7"/>
  <c r="Q10" i="7"/>
  <c r="S9" i="7"/>
  <c r="R9" i="7"/>
  <c r="Q9" i="7"/>
  <c r="U9" i="7" s="1"/>
  <c r="S8" i="7"/>
  <c r="R8" i="7"/>
  <c r="Q8" i="7"/>
  <c r="AN7" i="7"/>
  <c r="AM7" i="7"/>
  <c r="AL7" i="7"/>
  <c r="AK7" i="7"/>
  <c r="AJ7" i="7"/>
  <c r="AI7" i="7"/>
  <c r="S7" i="7"/>
  <c r="R7" i="7"/>
  <c r="Q7" i="7"/>
  <c r="U7" i="7" s="1"/>
  <c r="S4" i="7"/>
  <c r="R4" i="7"/>
  <c r="Q4" i="7"/>
  <c r="S3" i="7"/>
  <c r="R3" i="7"/>
  <c r="Z3" i="7" s="1"/>
  <c r="Q3" i="7"/>
  <c r="X3" i="7" s="1"/>
  <c r="AD7" i="6"/>
  <c r="AB7" i="6"/>
  <c r="AA7" i="6"/>
  <c r="Z7" i="6"/>
  <c r="Y7" i="6"/>
  <c r="X7" i="6"/>
  <c r="AC7" i="6"/>
  <c r="AE7" i="6"/>
  <c r="AE12" i="6"/>
  <c r="AC12" i="6"/>
  <c r="Q13" i="6"/>
  <c r="R13" i="6"/>
  <c r="S13" i="6"/>
  <c r="T13" i="6"/>
  <c r="U13" i="6"/>
  <c r="Q14" i="6"/>
  <c r="R14" i="6"/>
  <c r="S14" i="6"/>
  <c r="T14" i="6"/>
  <c r="U14" i="6"/>
  <c r="Q15" i="6"/>
  <c r="U15" i="6" s="1"/>
  <c r="R15" i="6"/>
  <c r="S15" i="6"/>
  <c r="T15" i="6"/>
  <c r="S12" i="6"/>
  <c r="R12" i="6"/>
  <c r="Q12" i="6"/>
  <c r="U12" i="6" s="1"/>
  <c r="W7" i="6"/>
  <c r="Q8" i="6"/>
  <c r="T8" i="6" s="1"/>
  <c r="R8" i="6"/>
  <c r="S8" i="6"/>
  <c r="Q9" i="6"/>
  <c r="R9" i="6"/>
  <c r="S9" i="6"/>
  <c r="T9" i="6"/>
  <c r="U9" i="6"/>
  <c r="Q10" i="6"/>
  <c r="R10" i="6"/>
  <c r="S10" i="6"/>
  <c r="T10" i="6"/>
  <c r="U10" i="6"/>
  <c r="S7" i="6"/>
  <c r="R7" i="6"/>
  <c r="Q7" i="6"/>
  <c r="U7" i="6" s="1"/>
  <c r="V4" i="6"/>
  <c r="V3" i="6"/>
  <c r="AB3" i="6"/>
  <c r="AA3" i="6"/>
  <c r="Z3" i="6"/>
  <c r="Y3" i="6"/>
  <c r="X3" i="6"/>
  <c r="W3" i="6"/>
  <c r="AF4" i="14"/>
  <c r="AE4" i="14"/>
  <c r="AB4" i="14"/>
  <c r="AA4" i="14"/>
  <c r="Z4" i="14"/>
  <c r="Y4" i="14"/>
  <c r="X4" i="14"/>
  <c r="W4" i="14"/>
  <c r="V4" i="14"/>
  <c r="Q5" i="14"/>
  <c r="R5" i="14"/>
  <c r="S5" i="14"/>
  <c r="T5" i="14"/>
  <c r="AC5" i="14"/>
  <c r="AD5" i="14"/>
  <c r="Q6" i="14"/>
  <c r="R6" i="14"/>
  <c r="S6" i="14"/>
  <c r="T6" i="14"/>
  <c r="AC6" i="14"/>
  <c r="AD6" i="14"/>
  <c r="Q7" i="14"/>
  <c r="R7" i="14"/>
  <c r="S7" i="14"/>
  <c r="T7" i="14"/>
  <c r="AC7" i="14"/>
  <c r="AD7" i="14"/>
  <c r="Q8" i="14"/>
  <c r="AC8" i="14" s="1"/>
  <c r="R8" i="14"/>
  <c r="S8" i="14"/>
  <c r="T8" i="14"/>
  <c r="AD8" i="14" s="1"/>
  <c r="AD4" i="14"/>
  <c r="AC4" i="14"/>
  <c r="T4" i="14"/>
  <c r="S4" i="14"/>
  <c r="R4" i="14"/>
  <c r="Q4" i="14"/>
  <c r="AF4" i="13"/>
  <c r="AE4" i="13"/>
  <c r="AB4" i="13"/>
  <c r="AA4" i="13"/>
  <c r="Z4" i="13"/>
  <c r="Y4" i="13"/>
  <c r="X4" i="13"/>
  <c r="W4" i="13"/>
  <c r="V4" i="13"/>
  <c r="U4" i="13"/>
  <c r="Q5" i="13"/>
  <c r="R5" i="13"/>
  <c r="S5" i="13"/>
  <c r="T5" i="13"/>
  <c r="AC5" i="13"/>
  <c r="AD5" i="13"/>
  <c r="Q6" i="13"/>
  <c r="AC6" i="13" s="1"/>
  <c r="R6" i="13"/>
  <c r="S6" i="13"/>
  <c r="T6" i="13"/>
  <c r="AD6" i="13" s="1"/>
  <c r="Q7" i="13"/>
  <c r="R7" i="13"/>
  <c r="S7" i="13"/>
  <c r="T7" i="13"/>
  <c r="AC7" i="13"/>
  <c r="AD7" i="13"/>
  <c r="Q8" i="13"/>
  <c r="R8" i="13"/>
  <c r="S8" i="13"/>
  <c r="T8" i="13"/>
  <c r="AC8" i="13"/>
  <c r="AD8" i="13"/>
  <c r="Q9" i="13"/>
  <c r="T9" i="13" s="1"/>
  <c r="R9" i="13"/>
  <c r="S9" i="13"/>
  <c r="AD4" i="13"/>
  <c r="AC4" i="13"/>
  <c r="AF4" i="12"/>
  <c r="AE4" i="12"/>
  <c r="AB4" i="12"/>
  <c r="AA4" i="12"/>
  <c r="Z4" i="12"/>
  <c r="Y4" i="12"/>
  <c r="X4" i="12"/>
  <c r="W4" i="12"/>
  <c r="V4" i="12"/>
  <c r="U4" i="12"/>
  <c r="Q5" i="12"/>
  <c r="R5" i="12"/>
  <c r="T5" i="12" s="1"/>
  <c r="S5" i="12"/>
  <c r="Q6" i="12"/>
  <c r="R6" i="12"/>
  <c r="T6" i="12" s="1"/>
  <c r="AD6" i="12" s="1"/>
  <c r="S6" i="12"/>
  <c r="AC6" i="12"/>
  <c r="Q7" i="12"/>
  <c r="AC7" i="12" s="1"/>
  <c r="R7" i="12"/>
  <c r="S7" i="12"/>
  <c r="T7" i="12"/>
  <c r="AD7" i="12" s="1"/>
  <c r="Q8" i="12"/>
  <c r="R8" i="12"/>
  <c r="T8" i="12" s="1"/>
  <c r="AD8" i="12" s="1"/>
  <c r="S8" i="12"/>
  <c r="AC8" i="12"/>
  <c r="Q9" i="12"/>
  <c r="R9" i="12"/>
  <c r="S9" i="12"/>
  <c r="AC9" i="12" s="1"/>
  <c r="AD9" i="12" s="1"/>
  <c r="T9" i="12"/>
  <c r="AD4" i="12"/>
  <c r="AF4" i="11"/>
  <c r="AE4" i="11"/>
  <c r="AB4" i="11"/>
  <c r="AA4" i="11"/>
  <c r="Z4" i="11"/>
  <c r="Y4" i="11"/>
  <c r="X4" i="11"/>
  <c r="W4" i="11"/>
  <c r="V4" i="11"/>
  <c r="U4" i="11"/>
  <c r="Q5" i="11"/>
  <c r="T5" i="11" s="1"/>
  <c r="R5" i="11"/>
  <c r="S5" i="11"/>
  <c r="Q6" i="11"/>
  <c r="R6" i="11"/>
  <c r="S6" i="11"/>
  <c r="T6" i="11"/>
  <c r="AC6" i="11"/>
  <c r="AD6" i="11"/>
  <c r="Q7" i="11"/>
  <c r="R7" i="11"/>
  <c r="S7" i="11"/>
  <c r="T7" i="11"/>
  <c r="AC7" i="11"/>
  <c r="AD7" i="11"/>
  <c r="Q8" i="11"/>
  <c r="T8" i="11" s="1"/>
  <c r="R8" i="11"/>
  <c r="S8" i="11"/>
  <c r="Q9" i="11"/>
  <c r="R9" i="11"/>
  <c r="S9" i="11"/>
  <c r="T9" i="11"/>
  <c r="AC9" i="11"/>
  <c r="AD9" i="11"/>
  <c r="Q10" i="11"/>
  <c r="R10" i="11"/>
  <c r="S10" i="11"/>
  <c r="T10" i="11"/>
  <c r="AD10" i="11" s="1"/>
  <c r="AC10" i="11"/>
  <c r="AD4" i="11"/>
  <c r="AC4" i="11"/>
  <c r="AF16" i="5"/>
  <c r="AE16" i="5"/>
  <c r="AB16" i="5"/>
  <c r="AA16" i="5"/>
  <c r="Z16" i="5"/>
  <c r="Y16" i="5"/>
  <c r="X16" i="5"/>
  <c r="W16" i="5"/>
  <c r="V16" i="5"/>
  <c r="U16" i="5"/>
  <c r="Q17" i="5"/>
  <c r="R17" i="5"/>
  <c r="S17" i="5"/>
  <c r="T17" i="5"/>
  <c r="AC17" i="5"/>
  <c r="AD17" i="5"/>
  <c r="Q18" i="5"/>
  <c r="R18" i="5"/>
  <c r="S18" i="5"/>
  <c r="T18" i="5"/>
  <c r="AC18" i="5"/>
  <c r="AD18" i="5"/>
  <c r="AD16" i="5"/>
  <c r="AC16" i="5"/>
  <c r="T16" i="5"/>
  <c r="S16" i="5"/>
  <c r="R16" i="5"/>
  <c r="Q16" i="5"/>
  <c r="AE3" i="2"/>
  <c r="AD3" i="2"/>
  <c r="AA3" i="2"/>
  <c r="Z3" i="2"/>
  <c r="Y3" i="2"/>
  <c r="X3" i="2"/>
  <c r="W3" i="2"/>
  <c r="V3" i="2"/>
  <c r="U3" i="2"/>
  <c r="T3" i="2"/>
  <c r="P4" i="2"/>
  <c r="Q4" i="2"/>
  <c r="R4" i="2"/>
  <c r="S4" i="2"/>
  <c r="AB4" i="2"/>
  <c r="AC4" i="2"/>
  <c r="P5" i="2"/>
  <c r="AB5" i="2" s="1"/>
  <c r="Q5" i="2"/>
  <c r="R5" i="2"/>
  <c r="S5" i="2" s="1"/>
  <c r="AC5" i="2" s="1"/>
  <c r="AC3" i="2"/>
  <c r="AB3" i="2"/>
  <c r="S3" i="2"/>
  <c r="R3" i="2"/>
  <c r="Q3" i="2"/>
  <c r="P3" i="2"/>
  <c r="Z4" i="18"/>
  <c r="Y4" i="18"/>
  <c r="X4" i="18"/>
  <c r="W4" i="18"/>
  <c r="V4" i="18"/>
  <c r="U4" i="18"/>
  <c r="Q5" i="18"/>
  <c r="T5" i="18" s="1"/>
  <c r="R5" i="18"/>
  <c r="S5" i="18"/>
  <c r="S4" i="18"/>
  <c r="R4" i="18"/>
  <c r="Q4" i="18"/>
  <c r="AC4" i="18" s="1"/>
  <c r="AF4" i="15"/>
  <c r="Z4" i="15"/>
  <c r="X4" i="15"/>
  <c r="Y4" i="15"/>
  <c r="W4" i="15"/>
  <c r="V4" i="15"/>
  <c r="Q5" i="15"/>
  <c r="R5" i="15"/>
  <c r="S5" i="15"/>
  <c r="T5" i="15"/>
  <c r="AC5" i="15"/>
  <c r="AD5" i="15"/>
  <c r="S4" i="15"/>
  <c r="R4" i="15"/>
  <c r="Q4" i="15"/>
  <c r="U4" i="15" s="1"/>
  <c r="S4" i="13"/>
  <c r="R4" i="13"/>
  <c r="Q4" i="13"/>
  <c r="T4" i="13" s="1"/>
  <c r="S4" i="12"/>
  <c r="R4" i="12"/>
  <c r="Q4" i="12"/>
  <c r="AC4" i="12" s="1"/>
  <c r="S4" i="11"/>
  <c r="R4" i="11"/>
  <c r="Q4" i="11"/>
  <c r="Q4" i="10"/>
  <c r="T4" i="10" s="1"/>
  <c r="R4" i="10"/>
  <c r="S4" i="10"/>
  <c r="Q5" i="10"/>
  <c r="R5" i="10"/>
  <c r="S5" i="10"/>
  <c r="T5" i="10"/>
  <c r="U5" i="10"/>
  <c r="V5" i="10"/>
  <c r="Q6" i="10"/>
  <c r="U6" i="10" s="1"/>
  <c r="R6" i="10"/>
  <c r="S6" i="10"/>
  <c r="Q7" i="10"/>
  <c r="T7" i="10" s="1"/>
  <c r="R7" i="10"/>
  <c r="S7" i="10"/>
  <c r="Q8" i="10"/>
  <c r="T8" i="10" s="1"/>
  <c r="R8" i="10"/>
  <c r="S8" i="10"/>
  <c r="Q9" i="10"/>
  <c r="T9" i="10" s="1"/>
  <c r="R9" i="10"/>
  <c r="S9" i="10"/>
  <c r="Q10" i="10"/>
  <c r="T10" i="10" s="1"/>
  <c r="R10" i="10"/>
  <c r="S10" i="10"/>
  <c r="Q11" i="10"/>
  <c r="U11" i="10" s="1"/>
  <c r="R11" i="10"/>
  <c r="S11" i="10"/>
  <c r="Q12" i="10"/>
  <c r="T12" i="10" s="1"/>
  <c r="R12" i="10"/>
  <c r="S12" i="10"/>
  <c r="Q15" i="10"/>
  <c r="R15" i="10"/>
  <c r="S15" i="10"/>
  <c r="Q16" i="10"/>
  <c r="R16" i="10"/>
  <c r="S16" i="10"/>
  <c r="Q17" i="10"/>
  <c r="R17" i="10"/>
  <c r="S17" i="10"/>
  <c r="Q18" i="10"/>
  <c r="R18" i="10"/>
  <c r="S18" i="10"/>
  <c r="Q19" i="10"/>
  <c r="R19" i="10"/>
  <c r="S19" i="10"/>
  <c r="Q20" i="10"/>
  <c r="R20" i="10"/>
  <c r="S20" i="10"/>
  <c r="Q21" i="10"/>
  <c r="R21" i="10"/>
  <c r="S21" i="10"/>
  <c r="Q22" i="10"/>
  <c r="R22" i="10"/>
  <c r="S22" i="10"/>
  <c r="Q26" i="10"/>
  <c r="T26" i="10" s="1"/>
  <c r="R26" i="10"/>
  <c r="S26" i="10"/>
  <c r="Q27" i="10"/>
  <c r="T27" i="10" s="1"/>
  <c r="R27" i="10"/>
  <c r="S27" i="10"/>
  <c r="Q28" i="10"/>
  <c r="U28" i="10" s="1"/>
  <c r="R28" i="10"/>
  <c r="S28" i="10"/>
  <c r="Q31" i="10"/>
  <c r="R31" i="10"/>
  <c r="S31" i="10"/>
  <c r="T31" i="10"/>
  <c r="AC31" i="10" s="1"/>
  <c r="U31" i="10"/>
  <c r="Q32" i="10"/>
  <c r="T32" i="10" s="1"/>
  <c r="R32" i="10"/>
  <c r="S32" i="10"/>
  <c r="Q33" i="10"/>
  <c r="T33" i="10" s="1"/>
  <c r="R33" i="10"/>
  <c r="S33" i="10"/>
  <c r="Q34" i="10"/>
  <c r="T34" i="10" s="1"/>
  <c r="R34" i="10"/>
  <c r="S34" i="10"/>
  <c r="Q35" i="10"/>
  <c r="T35" i="10" s="1"/>
  <c r="R35" i="10"/>
  <c r="S35" i="10"/>
  <c r="Q36" i="10"/>
  <c r="T36" i="10" s="1"/>
  <c r="R36" i="10"/>
  <c r="S36" i="10"/>
  <c r="Q37" i="10"/>
  <c r="U37" i="10" s="1"/>
  <c r="R37" i="10"/>
  <c r="S37" i="10"/>
  <c r="Q38" i="10"/>
  <c r="U38" i="10" s="1"/>
  <c r="R38" i="10"/>
  <c r="S38" i="10"/>
  <c r="Q39" i="10"/>
  <c r="T39" i="10" s="1"/>
  <c r="R39" i="10"/>
  <c r="S39" i="10"/>
  <c r="U39" i="10"/>
  <c r="Q42" i="10"/>
  <c r="R42" i="10"/>
  <c r="S42" i="10"/>
  <c r="T42" i="10"/>
  <c r="AD42" i="10" s="1"/>
  <c r="U42" i="10"/>
  <c r="V42" i="10"/>
  <c r="AE42" i="10" s="1"/>
  <c r="Q43" i="10"/>
  <c r="T43" i="10" s="1"/>
  <c r="R43" i="10"/>
  <c r="S43" i="10"/>
  <c r="Q44" i="10"/>
  <c r="T44" i="10" s="1"/>
  <c r="R44" i="10"/>
  <c r="S44" i="10"/>
  <c r="Q45" i="10"/>
  <c r="U45" i="10" s="1"/>
  <c r="R45" i="10"/>
  <c r="S45" i="10"/>
  <c r="Q46" i="10"/>
  <c r="U46" i="10" s="1"/>
  <c r="R46" i="10"/>
  <c r="S46" i="10"/>
  <c r="Q47" i="10"/>
  <c r="T47" i="10" s="1"/>
  <c r="R47" i="10"/>
  <c r="S47" i="10"/>
  <c r="Q48" i="10"/>
  <c r="T48" i="10" s="1"/>
  <c r="R48" i="10"/>
  <c r="S48" i="10"/>
  <c r="Q49" i="10"/>
  <c r="T49" i="10" s="1"/>
  <c r="R49" i="10"/>
  <c r="S49" i="10"/>
  <c r="Q50" i="10"/>
  <c r="T50" i="10" s="1"/>
  <c r="R50" i="10"/>
  <c r="S50" i="10"/>
  <c r="Q53" i="10"/>
  <c r="T53" i="10" s="1"/>
  <c r="R53" i="10"/>
  <c r="S53" i="10"/>
  <c r="Q54" i="10"/>
  <c r="U54" i="10" s="1"/>
  <c r="R54" i="10"/>
  <c r="S54" i="10"/>
  <c r="Q57" i="10"/>
  <c r="T57" i="10" s="1"/>
  <c r="AD57" i="10" s="1"/>
  <c r="R57" i="10"/>
  <c r="S57" i="10"/>
  <c r="Q58" i="10"/>
  <c r="T58" i="10" s="1"/>
  <c r="R58" i="10"/>
  <c r="S58" i="10"/>
  <c r="Q59" i="10"/>
  <c r="T59" i="10" s="1"/>
  <c r="R59" i="10"/>
  <c r="S59" i="10"/>
  <c r="Q60" i="10"/>
  <c r="T60" i="10" s="1"/>
  <c r="R60" i="10"/>
  <c r="S60" i="10"/>
  <c r="Q61" i="10"/>
  <c r="T61" i="10" s="1"/>
  <c r="R61" i="10"/>
  <c r="S61" i="10"/>
  <c r="Q62" i="10"/>
  <c r="U62" i="10" s="1"/>
  <c r="R62" i="10"/>
  <c r="S62" i="10"/>
  <c r="Q63" i="10"/>
  <c r="T63" i="10" s="1"/>
  <c r="R63" i="10"/>
  <c r="S63" i="10"/>
  <c r="Q66" i="10"/>
  <c r="T66" i="10" s="1"/>
  <c r="AC66" i="10" s="1"/>
  <c r="R66" i="10"/>
  <c r="S66" i="10"/>
  <c r="Q67" i="10"/>
  <c r="T67" i="10" s="1"/>
  <c r="R67" i="10"/>
  <c r="S67" i="10"/>
  <c r="Q68" i="10"/>
  <c r="T68" i="10" s="1"/>
  <c r="R68" i="10"/>
  <c r="S68" i="10"/>
  <c r="Q71" i="10"/>
  <c r="T71" i="10" s="1"/>
  <c r="AD71" i="10" s="1"/>
  <c r="R71" i="10"/>
  <c r="S71" i="10"/>
  <c r="Q72" i="10"/>
  <c r="T72" i="10" s="1"/>
  <c r="R72" i="10"/>
  <c r="S72" i="10"/>
  <c r="Q73" i="10"/>
  <c r="T73" i="10" s="1"/>
  <c r="R73" i="10"/>
  <c r="S73" i="10"/>
  <c r="Q74" i="10"/>
  <c r="T74" i="10" s="1"/>
  <c r="R74" i="10"/>
  <c r="S74" i="10"/>
  <c r="Q75" i="10"/>
  <c r="T75" i="10" s="1"/>
  <c r="R75" i="10"/>
  <c r="S75" i="10"/>
  <c r="Q76" i="10"/>
  <c r="T76" i="10" s="1"/>
  <c r="R76" i="10"/>
  <c r="S76" i="10"/>
  <c r="Q77" i="10"/>
  <c r="U77" i="10" s="1"/>
  <c r="R77" i="10"/>
  <c r="S77" i="10"/>
  <c r="T77" i="10"/>
  <c r="V77" i="10" s="1"/>
  <c r="Q78" i="10"/>
  <c r="U78" i="10" s="1"/>
  <c r="R78" i="10"/>
  <c r="S78" i="10"/>
  <c r="Q79" i="10"/>
  <c r="T79" i="10" s="1"/>
  <c r="R79" i="10"/>
  <c r="S79" i="10"/>
  <c r="Q80" i="10"/>
  <c r="R80" i="10"/>
  <c r="S80" i="10"/>
  <c r="T80" i="10"/>
  <c r="U80" i="10"/>
  <c r="Q83" i="10"/>
  <c r="U83" i="10" s="1"/>
  <c r="R83" i="10"/>
  <c r="S83" i="10"/>
  <c r="Q84" i="10"/>
  <c r="T84" i="10" s="1"/>
  <c r="R84" i="10"/>
  <c r="S84" i="10"/>
  <c r="Q85" i="10"/>
  <c r="U85" i="10" s="1"/>
  <c r="R85" i="10"/>
  <c r="S85" i="10"/>
  <c r="Q86" i="10"/>
  <c r="U86" i="10" s="1"/>
  <c r="R86" i="10"/>
  <c r="S86" i="10"/>
  <c r="Q87" i="10"/>
  <c r="T87" i="10" s="1"/>
  <c r="R87" i="10"/>
  <c r="S87" i="10"/>
  <c r="Q88" i="10"/>
  <c r="U88" i="10" s="1"/>
  <c r="R88" i="10"/>
  <c r="S88" i="10"/>
  <c r="Q91" i="10"/>
  <c r="T91" i="10" s="1"/>
  <c r="R91" i="10"/>
  <c r="S91" i="10"/>
  <c r="Q92" i="10"/>
  <c r="T92" i="10" s="1"/>
  <c r="R92" i="10"/>
  <c r="S92" i="10"/>
  <c r="Q93" i="10"/>
  <c r="T93" i="10" s="1"/>
  <c r="R93" i="10"/>
  <c r="S93" i="10"/>
  <c r="Q94" i="10"/>
  <c r="U94" i="10" s="1"/>
  <c r="R94" i="10"/>
  <c r="S94" i="10"/>
  <c r="Q95" i="10"/>
  <c r="T95" i="10" s="1"/>
  <c r="R95" i="10"/>
  <c r="S95" i="10"/>
  <c r="Q96" i="10"/>
  <c r="T96" i="10" s="1"/>
  <c r="R96" i="10"/>
  <c r="S96" i="10"/>
  <c r="Q97" i="10"/>
  <c r="T97" i="10" s="1"/>
  <c r="R97" i="10"/>
  <c r="S97" i="10"/>
  <c r="Q98" i="10"/>
  <c r="T98" i="10" s="1"/>
  <c r="R98" i="10"/>
  <c r="S98" i="10"/>
  <c r="Q99" i="10"/>
  <c r="T99" i="10" s="1"/>
  <c r="R99" i="10"/>
  <c r="S99" i="10"/>
  <c r="S3" i="10"/>
  <c r="R3" i="10"/>
  <c r="Q3" i="10"/>
  <c r="U3" i="10" s="1"/>
  <c r="R3" i="9"/>
  <c r="S3" i="9"/>
  <c r="X2" i="9" s="1"/>
  <c r="T3" i="9"/>
  <c r="R4" i="9"/>
  <c r="S4" i="9"/>
  <c r="T4" i="9"/>
  <c r="R5" i="9"/>
  <c r="S5" i="9"/>
  <c r="T5" i="9"/>
  <c r="U5" i="9"/>
  <c r="R6" i="9"/>
  <c r="S6" i="9"/>
  <c r="T6" i="9"/>
  <c r="R7" i="9"/>
  <c r="S7" i="9"/>
  <c r="T7" i="9"/>
  <c r="R8" i="9"/>
  <c r="S8" i="9"/>
  <c r="T8" i="9"/>
  <c r="R9" i="9"/>
  <c r="S9" i="9"/>
  <c r="T9" i="9"/>
  <c r="R10" i="9"/>
  <c r="S10" i="9"/>
  <c r="T10" i="9"/>
  <c r="U10" i="9"/>
  <c r="R11" i="9"/>
  <c r="S11" i="9"/>
  <c r="T11" i="9"/>
  <c r="T2" i="9"/>
  <c r="AA2" i="9" s="1"/>
  <c r="S2" i="9"/>
  <c r="Y2" i="9" s="1"/>
  <c r="R2" i="9"/>
  <c r="Q4" i="6"/>
  <c r="R4" i="6"/>
  <c r="S4" i="6"/>
  <c r="AL7" i="6"/>
  <c r="AN7" i="6"/>
  <c r="Q24" i="6"/>
  <c r="U24" i="6" s="1"/>
  <c r="R24" i="6"/>
  <c r="S24" i="6"/>
  <c r="Q25" i="6"/>
  <c r="R25" i="6"/>
  <c r="S25" i="6"/>
  <c r="Q26" i="6"/>
  <c r="T26" i="6" s="1"/>
  <c r="R26" i="6"/>
  <c r="S26" i="6"/>
  <c r="Q27" i="6"/>
  <c r="T27" i="6" s="1"/>
  <c r="R27" i="6"/>
  <c r="U27" i="6" s="1"/>
  <c r="S27" i="6"/>
  <c r="Q31" i="6"/>
  <c r="T31" i="6" s="1"/>
  <c r="AD31" i="6" s="1"/>
  <c r="R31" i="6"/>
  <c r="U31" i="6" s="1"/>
  <c r="S31" i="6"/>
  <c r="Q32" i="6"/>
  <c r="U32" i="6" s="1"/>
  <c r="R32" i="6"/>
  <c r="S32" i="6"/>
  <c r="Q33" i="6"/>
  <c r="T33" i="6" s="1"/>
  <c r="R33" i="6"/>
  <c r="S33" i="6"/>
  <c r="Q34" i="6"/>
  <c r="T34" i="6" s="1"/>
  <c r="R34" i="6"/>
  <c r="S34" i="6"/>
  <c r="Q35" i="6"/>
  <c r="U35" i="6" s="1"/>
  <c r="R35" i="6"/>
  <c r="S35" i="6"/>
  <c r="Q36" i="6"/>
  <c r="U36" i="6" s="1"/>
  <c r="R36" i="6"/>
  <c r="S36" i="6"/>
  <c r="S3" i="6"/>
  <c r="R3" i="6"/>
  <c r="Q3" i="6"/>
  <c r="X92" i="5"/>
  <c r="Z46" i="5"/>
  <c r="X46" i="5"/>
  <c r="X34" i="5"/>
  <c r="V85" i="5"/>
  <c r="U34" i="5"/>
  <c r="U35" i="5"/>
  <c r="V35" i="5" s="1"/>
  <c r="U36" i="5"/>
  <c r="V36" i="5" s="1"/>
  <c r="U37" i="5"/>
  <c r="V37" i="5" s="1"/>
  <c r="U38" i="5"/>
  <c r="V38" i="5" s="1"/>
  <c r="U39" i="5"/>
  <c r="U40" i="5"/>
  <c r="U41" i="5"/>
  <c r="U59" i="5"/>
  <c r="U63" i="5"/>
  <c r="U64" i="5"/>
  <c r="U65" i="5"/>
  <c r="U66" i="5"/>
  <c r="U81" i="5"/>
  <c r="U82" i="5"/>
  <c r="V82" i="5" s="1"/>
  <c r="U83" i="5"/>
  <c r="V83" i="5" s="1"/>
  <c r="U84" i="5"/>
  <c r="V84" i="5" s="1"/>
  <c r="U85" i="5"/>
  <c r="U86" i="5"/>
  <c r="U87" i="5"/>
  <c r="U88" i="5"/>
  <c r="U106" i="5"/>
  <c r="U107" i="5"/>
  <c r="U108" i="5"/>
  <c r="U109" i="5"/>
  <c r="T37" i="5"/>
  <c r="T38" i="5"/>
  <c r="T39" i="5"/>
  <c r="T40" i="5"/>
  <c r="V40" i="5" s="1"/>
  <c r="T41" i="5"/>
  <c r="V41" i="5" s="1"/>
  <c r="T42" i="5"/>
  <c r="V42" i="5" s="1"/>
  <c r="T46" i="5"/>
  <c r="V46" i="5" s="1"/>
  <c r="Y46" i="5" s="1"/>
  <c r="T47" i="5"/>
  <c r="V47" i="5" s="1"/>
  <c r="T59" i="5"/>
  <c r="V59" i="5" s="1"/>
  <c r="T63" i="5"/>
  <c r="T64" i="5"/>
  <c r="V64" i="5" s="1"/>
  <c r="T65" i="5"/>
  <c r="V65" i="5" s="1"/>
  <c r="T66" i="5"/>
  <c r="T67" i="5"/>
  <c r="T68" i="5"/>
  <c r="T69" i="5"/>
  <c r="T84" i="5"/>
  <c r="T85" i="5"/>
  <c r="T86" i="5"/>
  <c r="V86" i="5" s="1"/>
  <c r="T87" i="5"/>
  <c r="T88" i="5"/>
  <c r="V88" i="5" s="1"/>
  <c r="T92" i="5"/>
  <c r="T93" i="5"/>
  <c r="V93" i="5" s="1"/>
  <c r="T94" i="5"/>
  <c r="V94" i="5" s="1"/>
  <c r="T106" i="5"/>
  <c r="V106" i="5" s="1"/>
  <c r="T107" i="5"/>
  <c r="V107" i="5" s="1"/>
  <c r="T108" i="5"/>
  <c r="V108" i="5" s="1"/>
  <c r="T109" i="5"/>
  <c r="V109" i="5" s="1"/>
  <c r="S28" i="5"/>
  <c r="S29" i="5"/>
  <c r="S30" i="5"/>
  <c r="S34" i="5"/>
  <c r="S35" i="5"/>
  <c r="S36" i="5"/>
  <c r="S37" i="5"/>
  <c r="S38" i="5"/>
  <c r="S39" i="5"/>
  <c r="S40" i="5"/>
  <c r="S41" i="5"/>
  <c r="S42" i="5"/>
  <c r="S46" i="5"/>
  <c r="S47" i="5"/>
  <c r="S48" i="5"/>
  <c r="S49" i="5"/>
  <c r="S50" i="5"/>
  <c r="S51" i="5"/>
  <c r="S52" i="5"/>
  <c r="S53" i="5"/>
  <c r="S54" i="5"/>
  <c r="S58" i="5"/>
  <c r="S59" i="5"/>
  <c r="S63" i="5"/>
  <c r="S64" i="5"/>
  <c r="S65" i="5"/>
  <c r="S66" i="5"/>
  <c r="S67" i="5"/>
  <c r="S68" i="5"/>
  <c r="S69" i="5"/>
  <c r="S73" i="5"/>
  <c r="S74" i="5"/>
  <c r="S75" i="5"/>
  <c r="S79" i="5"/>
  <c r="S80" i="5"/>
  <c r="S81" i="5"/>
  <c r="S82" i="5"/>
  <c r="S83" i="5"/>
  <c r="S84" i="5"/>
  <c r="S85" i="5"/>
  <c r="S86" i="5"/>
  <c r="S87" i="5"/>
  <c r="S88" i="5"/>
  <c r="S92" i="5"/>
  <c r="S93" i="5"/>
  <c r="S94" i="5"/>
  <c r="S95" i="5"/>
  <c r="S96" i="5"/>
  <c r="S97" i="5"/>
  <c r="S101" i="5"/>
  <c r="S102" i="5"/>
  <c r="S103" i="5"/>
  <c r="S104" i="5"/>
  <c r="S105" i="5"/>
  <c r="S106" i="5"/>
  <c r="S107" i="5"/>
  <c r="S108" i="5"/>
  <c r="S109" i="5"/>
  <c r="R28" i="5"/>
  <c r="R29" i="5"/>
  <c r="R30" i="5"/>
  <c r="R34" i="5"/>
  <c r="R35" i="5"/>
  <c r="R36" i="5"/>
  <c r="R37" i="5"/>
  <c r="R38" i="5"/>
  <c r="R39" i="5"/>
  <c r="R40" i="5"/>
  <c r="R41" i="5"/>
  <c r="R42" i="5"/>
  <c r="R46" i="5"/>
  <c r="R47" i="5"/>
  <c r="R48" i="5"/>
  <c r="R49" i="5"/>
  <c r="R50" i="5"/>
  <c r="R51" i="5"/>
  <c r="R52" i="5"/>
  <c r="R53" i="5"/>
  <c r="R54" i="5"/>
  <c r="R58" i="5"/>
  <c r="R59" i="5"/>
  <c r="R63" i="5"/>
  <c r="R64" i="5"/>
  <c r="R65" i="5"/>
  <c r="R66" i="5"/>
  <c r="R67" i="5"/>
  <c r="R68" i="5"/>
  <c r="R69" i="5"/>
  <c r="R73" i="5"/>
  <c r="R74" i="5"/>
  <c r="R75" i="5"/>
  <c r="R79" i="5"/>
  <c r="R80" i="5"/>
  <c r="R81" i="5"/>
  <c r="R82" i="5"/>
  <c r="R83" i="5"/>
  <c r="R84" i="5"/>
  <c r="R85" i="5"/>
  <c r="R86" i="5"/>
  <c r="R87" i="5"/>
  <c r="R88" i="5"/>
  <c r="R92" i="5"/>
  <c r="R93" i="5"/>
  <c r="R94" i="5"/>
  <c r="R95" i="5"/>
  <c r="R96" i="5"/>
  <c r="R97" i="5"/>
  <c r="R101" i="5"/>
  <c r="R102" i="5"/>
  <c r="R103" i="5"/>
  <c r="R104" i="5"/>
  <c r="R105" i="5"/>
  <c r="R106" i="5"/>
  <c r="R107" i="5"/>
  <c r="R108" i="5"/>
  <c r="R109" i="5"/>
  <c r="Q28" i="5"/>
  <c r="Q29" i="5"/>
  <c r="Q30" i="5"/>
  <c r="Q34" i="5"/>
  <c r="T34" i="5" s="1"/>
  <c r="V34" i="5" s="1"/>
  <c r="Q35" i="5"/>
  <c r="T35" i="5" s="1"/>
  <c r="Q36" i="5"/>
  <c r="T36" i="5" s="1"/>
  <c r="Q37" i="5"/>
  <c r="Q38" i="5"/>
  <c r="Q39" i="5"/>
  <c r="Q40" i="5"/>
  <c r="Q41" i="5"/>
  <c r="Q42" i="5"/>
  <c r="U42" i="5" s="1"/>
  <c r="Q46" i="5"/>
  <c r="U46" i="5" s="1"/>
  <c r="Q47" i="5"/>
  <c r="U47" i="5" s="1"/>
  <c r="Q48" i="5"/>
  <c r="T48" i="5" s="1"/>
  <c r="Q49" i="5"/>
  <c r="Q50" i="5"/>
  <c r="Q51" i="5"/>
  <c r="Q52" i="5"/>
  <c r="Q53" i="5"/>
  <c r="T53" i="5" s="1"/>
  <c r="Q54" i="5"/>
  <c r="T54" i="5" s="1"/>
  <c r="Q58" i="5"/>
  <c r="T58" i="5" s="1"/>
  <c r="X58" i="5" s="1"/>
  <c r="Q59" i="5"/>
  <c r="Q63" i="5"/>
  <c r="Q64" i="5"/>
  <c r="Q65" i="5"/>
  <c r="Q66" i="5"/>
  <c r="Q67" i="5"/>
  <c r="U67" i="5" s="1"/>
  <c r="Q68" i="5"/>
  <c r="U68" i="5" s="1"/>
  <c r="Q69" i="5"/>
  <c r="U69" i="5" s="1"/>
  <c r="Q73" i="5"/>
  <c r="T73" i="5" s="1"/>
  <c r="Q74" i="5"/>
  <c r="Q75" i="5"/>
  <c r="Q79" i="5"/>
  <c r="Q80" i="5"/>
  <c r="T80" i="5" s="1"/>
  <c r="Q81" i="5"/>
  <c r="T81" i="5" s="1"/>
  <c r="V81" i="5" s="1"/>
  <c r="Q82" i="5"/>
  <c r="T82" i="5" s="1"/>
  <c r="Q83" i="5"/>
  <c r="T83" i="5" s="1"/>
  <c r="Q84" i="5"/>
  <c r="Q85" i="5"/>
  <c r="Q86" i="5"/>
  <c r="Q87" i="5"/>
  <c r="Q88" i="5"/>
  <c r="Q92" i="5"/>
  <c r="U92" i="5" s="1"/>
  <c r="Q93" i="5"/>
  <c r="U93" i="5" s="1"/>
  <c r="Q94" i="5"/>
  <c r="U94" i="5" s="1"/>
  <c r="Q95" i="5"/>
  <c r="T95" i="5" s="1"/>
  <c r="Q96" i="5"/>
  <c r="Q97" i="5"/>
  <c r="Q101" i="5"/>
  <c r="Q102" i="5"/>
  <c r="Q103" i="5"/>
  <c r="T103" i="5" s="1"/>
  <c r="Q104" i="5"/>
  <c r="T104" i="5" s="1"/>
  <c r="Q105" i="5"/>
  <c r="T105" i="5" s="1"/>
  <c r="Q106" i="5"/>
  <c r="Q107" i="5"/>
  <c r="Q108" i="5"/>
  <c r="Q109" i="5"/>
  <c r="T2" i="20" l="1"/>
  <c r="U2" i="20"/>
  <c r="V2" i="20"/>
  <c r="W2" i="20"/>
  <c r="Y2" i="20"/>
  <c r="AC11" i="17"/>
  <c r="AD11" i="17" s="1"/>
  <c r="AC13" i="19"/>
  <c r="AD13" i="19" s="1"/>
  <c r="AC36" i="16"/>
  <c r="AD36" i="16" s="1"/>
  <c r="V16" i="16"/>
  <c r="AC35" i="16"/>
  <c r="AD35" i="16" s="1"/>
  <c r="Y16" i="16"/>
  <c r="AC38" i="16"/>
  <c r="U16" i="16"/>
  <c r="T38" i="16"/>
  <c r="AD38" i="16" s="1"/>
  <c r="AD11" i="8"/>
  <c r="AD9" i="8"/>
  <c r="AD12" i="8"/>
  <c r="AC12" i="8"/>
  <c r="AC11" i="8"/>
  <c r="AC5" i="19"/>
  <c r="AD5" i="19" s="1"/>
  <c r="AD7" i="16"/>
  <c r="AC6" i="16"/>
  <c r="AD6" i="16" s="1"/>
  <c r="AC10" i="16"/>
  <c r="AD10" i="16" s="1"/>
  <c r="U8" i="10"/>
  <c r="V8" i="10" s="1"/>
  <c r="U60" i="10"/>
  <c r="T28" i="10"/>
  <c r="U66" i="10"/>
  <c r="V66" i="10" s="1"/>
  <c r="U19" i="10"/>
  <c r="U27" i="10"/>
  <c r="V27" i="10" s="1"/>
  <c r="U71" i="10"/>
  <c r="V71" i="10" s="1"/>
  <c r="U63" i="10"/>
  <c r="V63" i="10" s="1"/>
  <c r="V80" i="10"/>
  <c r="T45" i="10"/>
  <c r="V45" i="10" s="1"/>
  <c r="U98" i="10"/>
  <c r="V98" i="10"/>
  <c r="U92" i="10"/>
  <c r="V92" i="10" s="1"/>
  <c r="T85" i="10"/>
  <c r="V85" i="10" s="1"/>
  <c r="T37" i="10"/>
  <c r="V37" i="10" s="1"/>
  <c r="T11" i="10"/>
  <c r="V11" i="10"/>
  <c r="T3" i="10"/>
  <c r="AD3" i="10" s="1"/>
  <c r="U95" i="10"/>
  <c r="V95" i="10" s="1"/>
  <c r="U36" i="10"/>
  <c r="V36" i="10" s="1"/>
  <c r="U84" i="10"/>
  <c r="V84" i="10" s="1"/>
  <c r="T88" i="10"/>
  <c r="V88" i="10" s="1"/>
  <c r="V31" i="10"/>
  <c r="AE31" i="10" s="1"/>
  <c r="AD66" i="10"/>
  <c r="U16" i="10"/>
  <c r="U35" i="10"/>
  <c r="V35" i="10" s="1"/>
  <c r="T83" i="10"/>
  <c r="V83" i="10" s="1"/>
  <c r="U61" i="10"/>
  <c r="V61" i="10" s="1"/>
  <c r="U48" i="10"/>
  <c r="V48" i="10" s="1"/>
  <c r="T16" i="10"/>
  <c r="AC53" i="10"/>
  <c r="AD53" i="10"/>
  <c r="V28" i="10"/>
  <c r="V3" i="10"/>
  <c r="AE3" i="10" s="1"/>
  <c r="V60" i="10"/>
  <c r="AM15" i="10"/>
  <c r="V39" i="10"/>
  <c r="T19" i="10"/>
  <c r="V19" i="10" s="1"/>
  <c r="T18" i="10"/>
  <c r="AD31" i="10"/>
  <c r="U87" i="10"/>
  <c r="V87" i="10" s="1"/>
  <c r="T78" i="10"/>
  <c r="V78" i="10" s="1"/>
  <c r="U53" i="10"/>
  <c r="V53" i="10" s="1"/>
  <c r="AC42" i="10"/>
  <c r="U74" i="10"/>
  <c r="V74" i="10" s="1"/>
  <c r="U59" i="10"/>
  <c r="V59" i="10" s="1"/>
  <c r="U34" i="10"/>
  <c r="V34" i="10" s="1"/>
  <c r="AF42" i="10"/>
  <c r="AL15" i="10"/>
  <c r="U22" i="10"/>
  <c r="T21" i="10"/>
  <c r="T20" i="10"/>
  <c r="AK15" i="10"/>
  <c r="T17" i="10"/>
  <c r="AI15" i="10"/>
  <c r="T22" i="10"/>
  <c r="AD4" i="9"/>
  <c r="AD11" i="9"/>
  <c r="AD10" i="9"/>
  <c r="AD5" i="9"/>
  <c r="AD9" i="9"/>
  <c r="AD2" i="9"/>
  <c r="U7" i="9"/>
  <c r="U11" i="9"/>
  <c r="AD6" i="9"/>
  <c r="U9" i="9"/>
  <c r="U4" i="9"/>
  <c r="U8" i="9"/>
  <c r="U3" i="9"/>
  <c r="V2" i="9"/>
  <c r="W2" i="9"/>
  <c r="U2" i="9"/>
  <c r="AD8" i="9"/>
  <c r="AC6" i="8"/>
  <c r="AD6" i="8" s="1"/>
  <c r="AB3" i="7"/>
  <c r="T4" i="7"/>
  <c r="Z7" i="7"/>
  <c r="U8" i="7"/>
  <c r="T10" i="7"/>
  <c r="W7" i="7"/>
  <c r="U10" i="7"/>
  <c r="AB7" i="7"/>
  <c r="AC24" i="7"/>
  <c r="AD24" i="7"/>
  <c r="V24" i="7"/>
  <c r="X7" i="7"/>
  <c r="Y7" i="7"/>
  <c r="AA7" i="7"/>
  <c r="U14" i="7"/>
  <c r="T12" i="7"/>
  <c r="U27" i="7"/>
  <c r="V27" i="7" s="1"/>
  <c r="U32" i="7"/>
  <c r="V32" i="7" s="1"/>
  <c r="T35" i="7"/>
  <c r="V35" i="7" s="1"/>
  <c r="U4" i="7"/>
  <c r="V4" i="7" s="1"/>
  <c r="W3" i="7"/>
  <c r="T33" i="7"/>
  <c r="V33" i="7" s="1"/>
  <c r="T36" i="7"/>
  <c r="V36" i="7" s="1"/>
  <c r="T8" i="7"/>
  <c r="T3" i="7"/>
  <c r="U3" i="7"/>
  <c r="T9" i="7"/>
  <c r="T15" i="7"/>
  <c r="T25" i="7"/>
  <c r="V25" i="7" s="1"/>
  <c r="T31" i="7"/>
  <c r="Y3" i="7"/>
  <c r="T7" i="7"/>
  <c r="T13" i="7"/>
  <c r="AA3" i="7"/>
  <c r="T12" i="6"/>
  <c r="U8" i="6"/>
  <c r="T7" i="6"/>
  <c r="U3" i="6"/>
  <c r="T32" i="6"/>
  <c r="V32" i="6" s="1"/>
  <c r="U34" i="6"/>
  <c r="V34" i="6" s="1"/>
  <c r="AI7" i="6"/>
  <c r="U26" i="6"/>
  <c r="V26" i="6" s="1"/>
  <c r="T25" i="6"/>
  <c r="U33" i="6"/>
  <c r="T24" i="6"/>
  <c r="AC31" i="6"/>
  <c r="T4" i="6"/>
  <c r="T3" i="6"/>
  <c r="AC9" i="13"/>
  <c r="AD9" i="13" s="1"/>
  <c r="AC5" i="12"/>
  <c r="AD5" i="12" s="1"/>
  <c r="AC8" i="11"/>
  <c r="AD8" i="11" s="1"/>
  <c r="AC5" i="11"/>
  <c r="AD5" i="11" s="1"/>
  <c r="Y34" i="5"/>
  <c r="Z34" i="5"/>
  <c r="V80" i="5"/>
  <c r="T30" i="5"/>
  <c r="U30" i="5"/>
  <c r="T102" i="5"/>
  <c r="U102" i="5"/>
  <c r="T79" i="5"/>
  <c r="U79" i="5"/>
  <c r="T51" i="5"/>
  <c r="U51" i="5"/>
  <c r="T75" i="5"/>
  <c r="U75" i="5"/>
  <c r="T50" i="5"/>
  <c r="U50" i="5"/>
  <c r="W63" i="5"/>
  <c r="X63" i="5"/>
  <c r="T49" i="5"/>
  <c r="U49" i="5"/>
  <c r="V95" i="5"/>
  <c r="V48" i="5"/>
  <c r="W92" i="5"/>
  <c r="V92" i="5"/>
  <c r="W34" i="5"/>
  <c r="V87" i="5"/>
  <c r="V39" i="5"/>
  <c r="U105" i="5"/>
  <c r="V105" i="5" s="1"/>
  <c r="W46" i="5"/>
  <c r="U104" i="5"/>
  <c r="V104" i="5" s="1"/>
  <c r="U58" i="5"/>
  <c r="V58" i="5" s="1"/>
  <c r="U103" i="5"/>
  <c r="V103" i="5" s="1"/>
  <c r="U54" i="5"/>
  <c r="V54" i="5" s="1"/>
  <c r="W58" i="5"/>
  <c r="V69" i="5"/>
  <c r="U53" i="5"/>
  <c r="V53" i="5" s="1"/>
  <c r="U52" i="5"/>
  <c r="T52" i="5"/>
  <c r="V52" i="5" s="1"/>
  <c r="T29" i="5"/>
  <c r="V29" i="5" s="1"/>
  <c r="U29" i="5"/>
  <c r="T97" i="5"/>
  <c r="U97" i="5"/>
  <c r="T74" i="5"/>
  <c r="U74" i="5"/>
  <c r="X73" i="5"/>
  <c r="W73" i="5"/>
  <c r="V73" i="5"/>
  <c r="U80" i="5"/>
  <c r="V68" i="5"/>
  <c r="V63" i="5"/>
  <c r="V67" i="5"/>
  <c r="T101" i="5"/>
  <c r="U101" i="5"/>
  <c r="T28" i="5"/>
  <c r="U28" i="5"/>
  <c r="T96" i="5"/>
  <c r="U96" i="5"/>
  <c r="V66" i="5"/>
  <c r="U95" i="5"/>
  <c r="U73" i="5"/>
  <c r="U48" i="5"/>
  <c r="V27" i="6"/>
  <c r="AJ7" i="6"/>
  <c r="AK7" i="6"/>
  <c r="V33" i="6"/>
  <c r="V24" i="6"/>
  <c r="AM7" i="6"/>
  <c r="Z2" i="9"/>
  <c r="AD7" i="9"/>
  <c r="AD3" i="9"/>
  <c r="U6" i="9"/>
  <c r="AD91" i="10"/>
  <c r="AC91" i="10"/>
  <c r="AD26" i="10"/>
  <c r="AC26" i="10"/>
  <c r="V12" i="10"/>
  <c r="V68" i="10"/>
  <c r="AD83" i="10"/>
  <c r="AC57" i="10"/>
  <c r="U58" i="10"/>
  <c r="V58" i="10" s="1"/>
  <c r="U26" i="10"/>
  <c r="V26" i="10" s="1"/>
  <c r="U21" i="10"/>
  <c r="U79" i="10"/>
  <c r="V79" i="10" s="1"/>
  <c r="U76" i="10"/>
  <c r="V76" i="10" s="1"/>
  <c r="U15" i="10"/>
  <c r="T94" i="10"/>
  <c r="V94" i="10" s="1"/>
  <c r="U68" i="10"/>
  <c r="U47" i="10"/>
  <c r="V47" i="10" s="1"/>
  <c r="U44" i="10"/>
  <c r="V44" i="10" s="1"/>
  <c r="U18" i="10"/>
  <c r="T15" i="10"/>
  <c r="U7" i="10"/>
  <c r="V7" i="10" s="1"/>
  <c r="U4" i="10"/>
  <c r="V4" i="10" s="1"/>
  <c r="U91" i="10"/>
  <c r="V91" i="10" s="1"/>
  <c r="U50" i="10"/>
  <c r="V50" i="10" s="1"/>
  <c r="U10" i="10"/>
  <c r="V10" i="10" s="1"/>
  <c r="AH15" i="10"/>
  <c r="T86" i="10"/>
  <c r="V86" i="10" s="1"/>
  <c r="AJ15" i="10"/>
  <c r="U72" i="10"/>
  <c r="V72" i="10" s="1"/>
  <c r="U20" i="10"/>
  <c r="U96" i="10"/>
  <c r="V96" i="10" s="1"/>
  <c r="U93" i="10"/>
  <c r="V93" i="10" s="1"/>
  <c r="U75" i="10"/>
  <c r="V75" i="10" s="1"/>
  <c r="T46" i="10"/>
  <c r="V46" i="10" s="1"/>
  <c r="U12" i="10"/>
  <c r="T6" i="10"/>
  <c r="V6" i="10" s="1"/>
  <c r="AC71" i="10"/>
  <c r="U99" i="10"/>
  <c r="V99" i="10" s="1"/>
  <c r="U67" i="10"/>
  <c r="V67" i="10" s="1"/>
  <c r="T54" i="10"/>
  <c r="V54" i="10" s="1"/>
  <c r="U43" i="10"/>
  <c r="V43" i="10" s="1"/>
  <c r="U32" i="10"/>
  <c r="V32" i="10" s="1"/>
  <c r="T62" i="10"/>
  <c r="V62" i="10" s="1"/>
  <c r="T38" i="10"/>
  <c r="V38" i="10" s="1"/>
  <c r="T4" i="12"/>
  <c r="T4" i="11"/>
  <c r="T4" i="15"/>
  <c r="AC4" i="15"/>
  <c r="T4" i="18"/>
  <c r="AC5" i="18"/>
  <c r="AD5" i="18" s="1"/>
  <c r="U97" i="10"/>
  <c r="V97" i="10" s="1"/>
  <c r="U73" i="10"/>
  <c r="V73" i="10" s="1"/>
  <c r="U57" i="10"/>
  <c r="V57" i="10" s="1"/>
  <c r="U49" i="10"/>
  <c r="V49" i="10" s="1"/>
  <c r="U33" i="10"/>
  <c r="V33" i="10" s="1"/>
  <c r="U17" i="10"/>
  <c r="U9" i="10"/>
  <c r="V9" i="10" s="1"/>
  <c r="V31" i="6"/>
  <c r="T36" i="6"/>
  <c r="V36" i="6" s="1"/>
  <c r="T35" i="6"/>
  <c r="V35" i="6" s="1"/>
  <c r="U25" i="6"/>
  <c r="U4" i="6"/>
  <c r="AD2" i="20" l="1"/>
  <c r="AB2" i="20"/>
  <c r="AA2" i="20"/>
  <c r="AB16" i="16"/>
  <c r="AA16" i="16"/>
  <c r="AF16" i="16"/>
  <c r="AE16" i="16"/>
  <c r="AE71" i="10"/>
  <c r="AF71" i="10"/>
  <c r="V15" i="10"/>
  <c r="V16" i="10"/>
  <c r="AC83" i="10"/>
  <c r="AC3" i="10"/>
  <c r="AE83" i="10"/>
  <c r="AF83" i="10"/>
  <c r="AF31" i="10"/>
  <c r="AE66" i="10"/>
  <c r="AF66" i="10"/>
  <c r="V21" i="10"/>
  <c r="AF53" i="10"/>
  <c r="AE53" i="10"/>
  <c r="AF3" i="10"/>
  <c r="V22" i="10"/>
  <c r="V17" i="10"/>
  <c r="V18" i="10"/>
  <c r="V20" i="10"/>
  <c r="AG2" i="9"/>
  <c r="AC2" i="9"/>
  <c r="AB2" i="9"/>
  <c r="AF2" i="9"/>
  <c r="AD31" i="7"/>
  <c r="AC31" i="7"/>
  <c r="V31" i="7"/>
  <c r="AC7" i="7"/>
  <c r="AD7" i="7"/>
  <c r="AE24" i="7"/>
  <c r="AF24" i="7"/>
  <c r="V3" i="7"/>
  <c r="AD3" i="7"/>
  <c r="AC3" i="7"/>
  <c r="V25" i="6"/>
  <c r="AC24" i="6"/>
  <c r="AD24" i="6"/>
  <c r="AD3" i="6"/>
  <c r="AC3" i="6"/>
  <c r="V50" i="5"/>
  <c r="Y92" i="5"/>
  <c r="Z92" i="5"/>
  <c r="V75" i="5"/>
  <c r="Z63" i="5"/>
  <c r="Y63" i="5"/>
  <c r="V51" i="5"/>
  <c r="Z73" i="5"/>
  <c r="Y73" i="5"/>
  <c r="X79" i="5"/>
  <c r="W79" i="5"/>
  <c r="V79" i="5"/>
  <c r="V96" i="5"/>
  <c r="X28" i="5"/>
  <c r="V28" i="5"/>
  <c r="W28" i="5"/>
  <c r="V49" i="5"/>
  <c r="V74" i="5"/>
  <c r="Z58" i="5"/>
  <c r="Y58" i="5"/>
  <c r="V102" i="5"/>
  <c r="V97" i="5"/>
  <c r="W101" i="5"/>
  <c r="X101" i="5"/>
  <c r="V101" i="5"/>
  <c r="V30" i="5"/>
  <c r="AF31" i="6"/>
  <c r="AE31" i="6"/>
  <c r="AE24" i="6"/>
  <c r="AF24" i="6"/>
  <c r="AF26" i="10"/>
  <c r="AE26" i="10"/>
  <c r="AF91" i="10"/>
  <c r="AE91" i="10"/>
  <c r="AF57" i="10"/>
  <c r="AE57" i="10"/>
  <c r="AD15" i="10"/>
  <c r="AC15" i="10"/>
  <c r="AD4" i="15"/>
  <c r="AE4" i="15" s="1"/>
  <c r="AB4" i="15"/>
  <c r="AA4" i="15"/>
  <c r="AD4" i="18"/>
  <c r="AB4" i="18"/>
  <c r="AA4" i="18"/>
  <c r="AE2" i="20" l="1"/>
  <c r="AF2" i="20"/>
  <c r="AF3" i="7"/>
  <c r="AE3" i="7"/>
  <c r="AF7" i="7"/>
  <c r="AE7" i="7"/>
  <c r="AF31" i="7"/>
  <c r="AE31" i="7"/>
  <c r="AE3" i="6"/>
  <c r="AF3" i="6"/>
  <c r="Z79" i="5"/>
  <c r="Y79" i="5"/>
  <c r="Y101" i="5"/>
  <c r="Z101" i="5"/>
  <c r="Y28" i="5"/>
  <c r="Z28" i="5"/>
  <c r="AE15" i="10"/>
  <c r="AF15" i="10"/>
  <c r="AF4" i="18"/>
  <c r="AE4" i="18"/>
</calcChain>
</file>

<file path=xl/sharedStrings.xml><?xml version="1.0" encoding="utf-8"?>
<sst xmlns="http://schemas.openxmlformats.org/spreadsheetml/2006/main" count="485" uniqueCount="72">
  <si>
    <t>Dati originali</t>
  </si>
  <si>
    <t>ERR</t>
  </si>
  <si>
    <t>STD</t>
  </si>
  <si>
    <t>BAL</t>
  </si>
  <si>
    <t>NOAUG</t>
  </si>
  <si>
    <t>CULTURE0</t>
  </si>
  <si>
    <t>ERR0</t>
  </si>
  <si>
    <t>STD0</t>
  </si>
  <si>
    <t>ERR1</t>
  </si>
  <si>
    <t>STD1</t>
  </si>
  <si>
    <t>ERR2</t>
  </si>
  <si>
    <t>STD2</t>
  </si>
  <si>
    <t>COPIO LE COSE QUI</t>
  </si>
  <si>
    <t>ERR_i_0</t>
  </si>
  <si>
    <t>ERR_i_1</t>
  </si>
  <si>
    <t>ERR_i_2</t>
  </si>
  <si>
    <t>CIC_i</t>
  </si>
  <si>
    <t>ERR_i</t>
  </si>
  <si>
    <t>ERR_STD</t>
  </si>
  <si>
    <t>MIN_ERR_i</t>
  </si>
  <si>
    <t>CIC</t>
  </si>
  <si>
    <t>CIC_STD</t>
  </si>
  <si>
    <t>g=0.0001</t>
  </si>
  <si>
    <t>g=0.1</t>
  </si>
  <si>
    <t>c0</t>
  </si>
  <si>
    <t>c1</t>
  </si>
  <si>
    <t>c2</t>
  </si>
  <si>
    <t>g=0.05</t>
  </si>
  <si>
    <t>g=0.006</t>
  </si>
  <si>
    <t>g=0.00158</t>
  </si>
  <si>
    <t>g=0.00079</t>
  </si>
  <si>
    <t>g=0.012</t>
  </si>
  <si>
    <t>g=0.000199</t>
  </si>
  <si>
    <t>g=0.025</t>
  </si>
  <si>
    <t>g=0.003</t>
  </si>
  <si>
    <t>g=0.00039</t>
  </si>
  <si>
    <t>ERR_0_i</t>
  </si>
  <si>
    <t>ERR_1_i</t>
  </si>
  <si>
    <t>ERR_2_i</t>
  </si>
  <si>
    <t>LIST of Best ERR 10%</t>
  </si>
  <si>
    <t>LIST of BEST ERR 20%</t>
  </si>
  <si>
    <t>n=5 -&gt; 0.5 -&gt; 1</t>
  </si>
  <si>
    <t>n=5 -&gt; 1 -&gt; 1</t>
  </si>
  <si>
    <t>eps=0.003</t>
  </si>
  <si>
    <t>ADV</t>
  </si>
  <si>
    <t>ERR0_STD</t>
  </si>
  <si>
    <t>ERR1_STD</t>
  </si>
  <si>
    <t>ERR2_STD</t>
  </si>
  <si>
    <t>DIFF</t>
  </si>
  <si>
    <t>CLSDIV</t>
  </si>
  <si>
    <t>NOCLSDIV</t>
  </si>
  <si>
    <t>DIFF Without retest</t>
  </si>
  <si>
    <t>ERR_0</t>
  </si>
  <si>
    <t>ERR_1</t>
  </si>
  <si>
    <t>ERR_2</t>
  </si>
  <si>
    <t>IMB</t>
  </si>
  <si>
    <t>g=0.0063</t>
  </si>
  <si>
    <t>g=0.00078</t>
  </si>
  <si>
    <t>g=0.0125</t>
  </si>
  <si>
    <t>g=0.0003</t>
  </si>
  <si>
    <t>n = 11 -&gt; 1.1 -&gt; 2</t>
  </si>
  <si>
    <t>n = 11 -&gt; 2.2 -&gt; 3</t>
  </si>
  <si>
    <t>MIT</t>
  </si>
  <si>
    <t xml:space="preserve">c1 </t>
  </si>
  <si>
    <t>STDAUG</t>
  </si>
  <si>
    <t>PARBS</t>
  </si>
  <si>
    <t>ONLYMIN</t>
  </si>
  <si>
    <t>ep=0.0001</t>
  </si>
  <si>
    <t>ep=0.01</t>
  </si>
  <si>
    <t>ep=0.1</t>
  </si>
  <si>
    <t>try3</t>
  </si>
  <si>
    <t>try: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</si>
</sst>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e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worksheet" Target="worksheets/sheet13.xml"/><Relationship Id="rId18" Type="http://schemas.openxmlformats.org/officeDocument/2006/relationships/worksheet" Target="worksheets/sheet18.xml"/><Relationship Id="rId3" Type="http://schemas.openxmlformats.org/officeDocument/2006/relationships/worksheet" Target="worksheets/sheet3.xml"/><Relationship Id="rId21" Type="http://schemas.openxmlformats.org/officeDocument/2006/relationships/sharedStrings" Target="sharedStrings.xml"/><Relationship Id="rId7" Type="http://schemas.openxmlformats.org/officeDocument/2006/relationships/worksheet" Target="worksheets/sheet7.xml"/><Relationship Id="rId12" Type="http://schemas.openxmlformats.org/officeDocument/2006/relationships/worksheet" Target="worksheets/sheet12.xml"/><Relationship Id="rId17" Type="http://schemas.openxmlformats.org/officeDocument/2006/relationships/worksheet" Target="worksheets/sheet17.xml"/><Relationship Id="rId2" Type="http://schemas.openxmlformats.org/officeDocument/2006/relationships/worksheet" Target="worksheets/sheet2.xml"/><Relationship Id="rId16" Type="http://schemas.openxmlformats.org/officeDocument/2006/relationships/worksheet" Target="worksheets/sheet16.xml"/><Relationship Id="rId20" Type="http://schemas.openxmlformats.org/officeDocument/2006/relationships/styles" Target="styles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5" Type="http://schemas.openxmlformats.org/officeDocument/2006/relationships/worksheet" Target="worksheets/sheet5.xml"/><Relationship Id="rId15" Type="http://schemas.openxmlformats.org/officeDocument/2006/relationships/worksheet" Target="worksheets/sheet15.xml"/><Relationship Id="rId10" Type="http://schemas.openxmlformats.org/officeDocument/2006/relationships/worksheet" Target="worksheets/sheet10.xml"/><Relationship Id="rId19" Type="http://schemas.openxmlformats.org/officeDocument/2006/relationships/theme" Target="theme/theme1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worksheet" Target="worksheets/sheet14.xml"/><Relationship Id="rId22" Type="http://schemas.openxmlformats.org/officeDocument/2006/relationships/calcChain" Target="calcChain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Yu Gothic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Yu Gothic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6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16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_rels/sheet18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4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P36"/>
  <sheetViews>
    <sheetView tabSelected="1" topLeftCell="F1" workbookViewId="0">
      <selection activeCell="O13" sqref="O13"/>
    </sheetView>
  </sheetViews>
  <sheetFormatPr defaultRowHeight="14.4" x14ac:dyDescent="0.3"/>
  <cols>
    <col min="1" max="1" width="9.88671875" customWidth="1"/>
  </cols>
  <sheetData>
    <row r="1" spans="1:16" x14ac:dyDescent="0.3">
      <c r="A1" t="s">
        <v>2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</v>
      </c>
      <c r="N1" t="s">
        <v>18</v>
      </c>
      <c r="O1" t="s">
        <v>20</v>
      </c>
      <c r="P1" t="s">
        <v>21</v>
      </c>
    </row>
    <row r="2" spans="1:16" x14ac:dyDescent="0.3">
      <c r="B2" t="s">
        <v>3</v>
      </c>
    </row>
    <row r="3" spans="1:16" x14ac:dyDescent="0.3">
      <c r="C3" t="s">
        <v>4</v>
      </c>
      <c r="G3">
        <v>27</v>
      </c>
      <c r="H3">
        <v>0.5</v>
      </c>
      <c r="I3">
        <v>13</v>
      </c>
      <c r="J3">
        <v>0.5</v>
      </c>
      <c r="K3">
        <v>40.5</v>
      </c>
      <c r="L3">
        <v>3.4641016151377544</v>
      </c>
      <c r="M3">
        <v>26.833333333333332</v>
      </c>
      <c r="N3">
        <v>1.0408329997330663</v>
      </c>
      <c r="O3">
        <v>13.833333333333334</v>
      </c>
      <c r="P3">
        <v>1.0408329997330665</v>
      </c>
    </row>
    <row r="4" spans="1:16" x14ac:dyDescent="0.3">
      <c r="C4" t="s">
        <v>2</v>
      </c>
      <c r="F4" t="s">
        <v>22</v>
      </c>
      <c r="G4">
        <v>29.5</v>
      </c>
      <c r="H4">
        <v>1.5</v>
      </c>
      <c r="I4">
        <v>10.5</v>
      </c>
      <c r="J4">
        <v>0.5</v>
      </c>
      <c r="K4">
        <v>34.333333333333336</v>
      </c>
      <c r="L4">
        <v>1.2583057392117916</v>
      </c>
      <c r="M4">
        <v>24.777777777777775</v>
      </c>
      <c r="N4">
        <v>1.2583057392117916</v>
      </c>
      <c r="O4">
        <v>14.277777777777777</v>
      </c>
      <c r="P4">
        <v>9.6225044864936257E-2</v>
      </c>
    </row>
    <row r="5" spans="1:16" x14ac:dyDescent="0.3">
      <c r="C5" t="s">
        <v>44</v>
      </c>
    </row>
    <row r="6" spans="1:16" x14ac:dyDescent="0.3">
      <c r="D6" t="s">
        <v>49</v>
      </c>
    </row>
    <row r="7" spans="1:16" x14ac:dyDescent="0.3">
      <c r="F7" t="s">
        <v>68</v>
      </c>
      <c r="G7">
        <v>26.625</v>
      </c>
      <c r="H7">
        <v>3.1721443851123801</v>
      </c>
      <c r="I7">
        <v>11.625</v>
      </c>
      <c r="J7">
        <v>2.7801378862687129</v>
      </c>
      <c r="K7">
        <v>38.375</v>
      </c>
      <c r="L7">
        <v>1.8874586088176875</v>
      </c>
      <c r="M7">
        <v>25.541666666666668</v>
      </c>
      <c r="N7">
        <v>1.8327019114674095</v>
      </c>
      <c r="O7">
        <v>13.916666666666668</v>
      </c>
      <c r="P7">
        <v>0.9670497325294003</v>
      </c>
    </row>
    <row r="8" spans="1:16" x14ac:dyDescent="0.3">
      <c r="D8" t="s">
        <v>50</v>
      </c>
    </row>
    <row r="9" spans="1:16" x14ac:dyDescent="0.3">
      <c r="F9" t="s">
        <v>67</v>
      </c>
      <c r="G9">
        <v>23.25</v>
      </c>
      <c r="H9">
        <v>6.7175144212722016</v>
      </c>
      <c r="I9">
        <v>15.25</v>
      </c>
      <c r="J9">
        <v>1.0606601717798212</v>
      </c>
      <c r="K9">
        <v>39.25</v>
      </c>
      <c r="L9">
        <v>0.35355339059327379</v>
      </c>
      <c r="M9">
        <v>25.916666666666664</v>
      </c>
      <c r="N9">
        <v>2.7105759945484316</v>
      </c>
      <c r="O9">
        <v>10.666666666666666</v>
      </c>
      <c r="P9">
        <v>1.6499158227686042</v>
      </c>
    </row>
    <row r="10" spans="1:16" x14ac:dyDescent="0.3">
      <c r="C10" t="s">
        <v>48</v>
      </c>
    </row>
    <row r="11" spans="1:16" x14ac:dyDescent="0.3">
      <c r="G11">
        <v>28.125</v>
      </c>
      <c r="H11">
        <v>2.75</v>
      </c>
      <c r="I11">
        <v>12.5</v>
      </c>
      <c r="J11">
        <v>1.8708286933869707</v>
      </c>
      <c r="K11">
        <v>35</v>
      </c>
      <c r="L11">
        <v>1</v>
      </c>
      <c r="M11">
        <v>25.208333333333336</v>
      </c>
      <c r="N11">
        <v>1.2200106253332086</v>
      </c>
      <c r="O11">
        <v>12.708333333333336</v>
      </c>
      <c r="P11">
        <v>1.1735905652376444</v>
      </c>
    </row>
    <row r="12" spans="1:16" x14ac:dyDescent="0.3">
      <c r="C12" t="s">
        <v>70</v>
      </c>
      <c r="G12">
        <v>27.3</v>
      </c>
      <c r="H12">
        <v>0.90829510622924747</v>
      </c>
      <c r="I12">
        <v>14.4</v>
      </c>
      <c r="J12">
        <v>2.9240383034426913</v>
      </c>
      <c r="K12">
        <v>37.700000000000003</v>
      </c>
      <c r="L12">
        <v>1.5247950681976905</v>
      </c>
      <c r="M12">
        <v>26.466666666666669</v>
      </c>
      <c r="N12">
        <v>0.96752835157999939</v>
      </c>
      <c r="O12">
        <v>12.066666666666666</v>
      </c>
      <c r="P12">
        <v>2.0702925182473915</v>
      </c>
    </row>
    <row r="13" spans="1:16" x14ac:dyDescent="0.3">
      <c r="D13" t="s">
        <v>66</v>
      </c>
      <c r="F13" t="s">
        <v>70</v>
      </c>
      <c r="G13">
        <v>23</v>
      </c>
      <c r="H13">
        <v>1.8708286933869707</v>
      </c>
      <c r="I13">
        <v>13.5</v>
      </c>
      <c r="J13">
        <v>2.4494897427831779</v>
      </c>
      <c r="K13">
        <v>35.625</v>
      </c>
      <c r="L13">
        <v>0.8539125638299665</v>
      </c>
      <c r="M13">
        <v>24.041666666666668</v>
      </c>
      <c r="N13">
        <v>1.1656741810198499</v>
      </c>
      <c r="O13">
        <v>10.541666666666668</v>
      </c>
      <c r="P13">
        <v>1.4231876063832671</v>
      </c>
    </row>
    <row r="15" spans="1:16" x14ac:dyDescent="0.3">
      <c r="B15" t="s">
        <v>55</v>
      </c>
    </row>
    <row r="16" spans="1:16" x14ac:dyDescent="0.3">
      <c r="C16" t="s">
        <v>4</v>
      </c>
      <c r="G16">
        <v>25.75</v>
      </c>
      <c r="H16">
        <v>3.0299431604496405</v>
      </c>
      <c r="I16">
        <v>13.6</v>
      </c>
      <c r="J16">
        <v>1.663329993316623</v>
      </c>
      <c r="K16">
        <v>38.1</v>
      </c>
      <c r="L16">
        <v>2.9135697844549542</v>
      </c>
      <c r="M16">
        <v>25.816666666666663</v>
      </c>
      <c r="N16">
        <v>1.1849102690410829</v>
      </c>
      <c r="O16">
        <v>12.216666666666669</v>
      </c>
      <c r="P16">
        <v>1.0716607626126173</v>
      </c>
    </row>
    <row r="17" spans="1:16" x14ac:dyDescent="0.3">
      <c r="C17" t="s">
        <v>2</v>
      </c>
      <c r="F17" t="s">
        <v>22</v>
      </c>
      <c r="G17">
        <v>24.5</v>
      </c>
      <c r="H17">
        <v>2.4053511772118195</v>
      </c>
      <c r="I17">
        <v>12.5625</v>
      </c>
      <c r="J17">
        <v>1.9353386562267894</v>
      </c>
      <c r="K17">
        <v>34.4375</v>
      </c>
      <c r="L17">
        <v>2.9932960810069273</v>
      </c>
      <c r="M17">
        <v>23.833333333333332</v>
      </c>
      <c r="N17">
        <v>1.9189944456771324</v>
      </c>
      <c r="O17">
        <v>11.270833333333332</v>
      </c>
      <c r="P17">
        <v>1.3271807450979474</v>
      </c>
    </row>
    <row r="18" spans="1:16" x14ac:dyDescent="0.3">
      <c r="A18" t="s">
        <v>62</v>
      </c>
    </row>
    <row r="19" spans="1:16" x14ac:dyDescent="0.3">
      <c r="B19" t="s">
        <v>3</v>
      </c>
    </row>
    <row r="20" spans="1:16" x14ac:dyDescent="0.3">
      <c r="C20" t="s">
        <v>4</v>
      </c>
      <c r="G20">
        <v>23.714285714285715</v>
      </c>
      <c r="H20">
        <v>2.6276913640612221</v>
      </c>
      <c r="I20">
        <v>12.285714285714286</v>
      </c>
      <c r="J20">
        <v>2.4127636791506446</v>
      </c>
      <c r="K20">
        <v>37.214285714285715</v>
      </c>
      <c r="L20">
        <v>3.4139071318303174</v>
      </c>
      <c r="M20">
        <v>24.404761904761905</v>
      </c>
      <c r="N20">
        <v>2.0634768009203559</v>
      </c>
      <c r="O20">
        <v>12.11904761904762</v>
      </c>
      <c r="P20">
        <v>1.8148418095390031</v>
      </c>
    </row>
    <row r="21" spans="1:16" x14ac:dyDescent="0.3">
      <c r="C21" t="s">
        <v>64</v>
      </c>
      <c r="F21" t="s">
        <v>22</v>
      </c>
      <c r="G21">
        <v>25.666666666666668</v>
      </c>
      <c r="H21">
        <v>3.9958311609309392</v>
      </c>
      <c r="I21">
        <v>14.166666666666666</v>
      </c>
      <c r="J21">
        <v>2.089657069154327</v>
      </c>
      <c r="K21">
        <v>36.833333333333336</v>
      </c>
      <c r="L21">
        <v>1.5705625319186327</v>
      </c>
      <c r="M21">
        <v>25.555555555555554</v>
      </c>
      <c r="N21">
        <v>1.4631270419005795</v>
      </c>
      <c r="O21">
        <v>11.388888888888891</v>
      </c>
      <c r="P21">
        <v>1.8519259244444917</v>
      </c>
    </row>
    <row r="22" spans="1:16" x14ac:dyDescent="0.3">
      <c r="C22" t="s">
        <v>48</v>
      </c>
    </row>
    <row r="23" spans="1:16" x14ac:dyDescent="0.3">
      <c r="D23" t="s">
        <v>64</v>
      </c>
      <c r="G23">
        <v>25.125</v>
      </c>
      <c r="H23">
        <v>4.9560569003997523</v>
      </c>
      <c r="I23">
        <v>10.875</v>
      </c>
      <c r="J23">
        <v>2.0966242709015206</v>
      </c>
      <c r="K23">
        <v>35.75</v>
      </c>
      <c r="L23">
        <v>2.9011491975882016</v>
      </c>
      <c r="M23">
        <v>23.916666666666668</v>
      </c>
      <c r="N23">
        <v>2.2709926039966328</v>
      </c>
      <c r="O23">
        <v>13.041666666666668</v>
      </c>
      <c r="P23">
        <v>2.1142155536764347</v>
      </c>
    </row>
    <row r="24" spans="1:16" x14ac:dyDescent="0.3">
      <c r="F24" t="s">
        <v>70</v>
      </c>
      <c r="G24">
        <v>23.25</v>
      </c>
      <c r="H24">
        <v>4.8733971724044816</v>
      </c>
      <c r="I24">
        <v>11.125</v>
      </c>
      <c r="J24">
        <v>1.75</v>
      </c>
      <c r="K24">
        <v>35.375</v>
      </c>
      <c r="L24">
        <v>2.6887109674836132</v>
      </c>
      <c r="M24">
        <v>23.249999999999996</v>
      </c>
      <c r="N24">
        <v>2.5549516194593154</v>
      </c>
      <c r="O24">
        <v>12.125</v>
      </c>
      <c r="P24">
        <v>1.7179606773406884</v>
      </c>
    </row>
    <row r="25" spans="1:16" x14ac:dyDescent="0.3">
      <c r="D25" t="s">
        <v>66</v>
      </c>
    </row>
    <row r="26" spans="1:16" x14ac:dyDescent="0.3">
      <c r="E26" t="s">
        <v>64</v>
      </c>
      <c r="G26">
        <v>27.125</v>
      </c>
      <c r="H26">
        <v>4.2695628191498329</v>
      </c>
      <c r="I26">
        <v>13.5</v>
      </c>
      <c r="J26">
        <v>2.1984843263788196</v>
      </c>
      <c r="K26">
        <v>36.75</v>
      </c>
      <c r="L26">
        <v>4.1932485418030412</v>
      </c>
      <c r="M26">
        <v>25.791666666666668</v>
      </c>
      <c r="N26">
        <v>2.0877730471237275</v>
      </c>
      <c r="O26">
        <v>12.291666666666668</v>
      </c>
      <c r="P26">
        <v>4.0377271751247248</v>
      </c>
    </row>
    <row r="27" spans="1:16" x14ac:dyDescent="0.3">
      <c r="F27" t="s">
        <v>70</v>
      </c>
      <c r="G27">
        <v>26.625</v>
      </c>
      <c r="H27">
        <v>1.4361406616345072</v>
      </c>
      <c r="I27">
        <v>12.25</v>
      </c>
      <c r="J27">
        <v>1.8929694486000912</v>
      </c>
      <c r="K27">
        <v>31.875</v>
      </c>
      <c r="L27">
        <v>2.8686524130097508</v>
      </c>
      <c r="M27">
        <v>23.583333333333336</v>
      </c>
      <c r="N27">
        <v>1.158702978589679</v>
      </c>
      <c r="O27">
        <v>11.333333333333336</v>
      </c>
      <c r="P27">
        <v>2.3293616992485018</v>
      </c>
    </row>
    <row r="29" spans="1:16" x14ac:dyDescent="0.3">
      <c r="B29" t="s">
        <v>65</v>
      </c>
    </row>
    <row r="30" spans="1:16" x14ac:dyDescent="0.3">
      <c r="C30" t="s">
        <v>4</v>
      </c>
      <c r="G30">
        <v>24.75</v>
      </c>
      <c r="H30">
        <v>1.7535677916750183</v>
      </c>
      <c r="I30">
        <v>15.083333333333334</v>
      </c>
      <c r="J30">
        <v>2.0103896803024659</v>
      </c>
      <c r="K30">
        <v>36</v>
      </c>
      <c r="L30">
        <v>2.9325756597230361</v>
      </c>
      <c r="M30">
        <v>25.277777777777782</v>
      </c>
      <c r="N30">
        <v>1.455513146116695</v>
      </c>
      <c r="O30">
        <v>10.194444444444445</v>
      </c>
      <c r="P30">
        <v>0.97420432870834284</v>
      </c>
    </row>
    <row r="31" spans="1:16" x14ac:dyDescent="0.3">
      <c r="C31" t="s">
        <v>64</v>
      </c>
      <c r="F31" t="s">
        <v>22</v>
      </c>
      <c r="G31">
        <v>21.5</v>
      </c>
      <c r="H31">
        <v>2.6925824035672519</v>
      </c>
      <c r="I31">
        <v>13.7</v>
      </c>
      <c r="J31">
        <v>0.83666002653407556</v>
      </c>
      <c r="K31">
        <v>35.4</v>
      </c>
      <c r="L31">
        <v>4.5607017003965469</v>
      </c>
      <c r="M31">
        <v>23.533333333333335</v>
      </c>
      <c r="N31">
        <v>2.4163792932585908</v>
      </c>
      <c r="O31">
        <v>9.8333333333333339</v>
      </c>
      <c r="P31">
        <v>2.0241596335818479</v>
      </c>
    </row>
    <row r="32" spans="1:16" x14ac:dyDescent="0.3">
      <c r="C32" t="s">
        <v>48</v>
      </c>
    </row>
    <row r="33" spans="4:16" x14ac:dyDescent="0.3">
      <c r="D33" t="s">
        <v>2</v>
      </c>
      <c r="E33" t="s">
        <v>70</v>
      </c>
      <c r="G33">
        <v>23.25</v>
      </c>
      <c r="H33">
        <v>2.4748737341529163</v>
      </c>
      <c r="I33">
        <v>12.5</v>
      </c>
      <c r="J33">
        <v>0</v>
      </c>
      <c r="K33">
        <v>30.5</v>
      </c>
      <c r="L33">
        <v>0</v>
      </c>
      <c r="M33">
        <v>22.083333333333336</v>
      </c>
      <c r="N33">
        <v>0.8249579113843063</v>
      </c>
      <c r="O33">
        <v>9.5833333333333339</v>
      </c>
      <c r="P33">
        <v>0.8249579113843063</v>
      </c>
    </row>
    <row r="34" spans="4:16" x14ac:dyDescent="0.3">
      <c r="D34" t="s">
        <v>66</v>
      </c>
    </row>
    <row r="35" spans="4:16" x14ac:dyDescent="0.3">
      <c r="E35" t="s">
        <v>64</v>
      </c>
      <c r="G35">
        <v>25</v>
      </c>
      <c r="H35">
        <v>1.7795130420052185</v>
      </c>
      <c r="I35">
        <v>13.625</v>
      </c>
      <c r="J35">
        <v>1.5478479684172259</v>
      </c>
      <c r="K35">
        <v>32.75</v>
      </c>
      <c r="L35">
        <v>6.9821200218844703</v>
      </c>
      <c r="M35">
        <v>23.791666666666664</v>
      </c>
      <c r="N35">
        <v>2.5032386429790709</v>
      </c>
      <c r="O35">
        <v>10.166666666666666</v>
      </c>
      <c r="P35">
        <v>2.3174059571793588</v>
      </c>
    </row>
    <row r="36" spans="4:16" x14ac:dyDescent="0.3">
      <c r="E36" t="s">
        <v>70</v>
      </c>
      <c r="G36">
        <v>25.25</v>
      </c>
      <c r="H36">
        <v>0.35355339059327379</v>
      </c>
      <c r="I36">
        <v>13.5</v>
      </c>
      <c r="J36">
        <v>0</v>
      </c>
      <c r="K36">
        <v>33.75</v>
      </c>
      <c r="L36">
        <v>1.0606601717798212</v>
      </c>
      <c r="M36">
        <v>24.166666666666664</v>
      </c>
      <c r="N36">
        <v>0.47140452079103251</v>
      </c>
      <c r="O36">
        <v>10.666666666666666</v>
      </c>
      <c r="P36">
        <v>0.47140452079103251</v>
      </c>
    </row>
  </sheetData>
  <pageMargins left="0.7" right="0.7" top="0.75" bottom="0.75" header="0.3" footer="0.3"/>
  <pageSetup paperSize="9"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22D1C46-6714-46BD-8134-0C2B2014CB79}">
  <dimension ref="B1:AF5"/>
  <sheetViews>
    <sheetView topLeftCell="L1" workbookViewId="0">
      <selection activeCell="AF2" activeCellId="2" sqref="U2:AB2 AE2 AF2"/>
    </sheetView>
  </sheetViews>
  <sheetFormatPr defaultRowHeight="14.4" x14ac:dyDescent="0.3"/>
  <sheetData>
    <row r="1" spans="2:32" x14ac:dyDescent="0.3">
      <c r="Q1" t="s">
        <v>13</v>
      </c>
      <c r="R1" t="s">
        <v>14</v>
      </c>
      <c r="S1" t="s">
        <v>15</v>
      </c>
      <c r="T1" t="s">
        <v>17</v>
      </c>
      <c r="U1" t="s">
        <v>52</v>
      </c>
      <c r="V1" t="s">
        <v>45</v>
      </c>
      <c r="W1" t="s">
        <v>53</v>
      </c>
      <c r="X1" t="s">
        <v>46</v>
      </c>
      <c r="Y1" t="s">
        <v>54</v>
      </c>
      <c r="Z1" t="s">
        <v>47</v>
      </c>
      <c r="AA1" t="s">
        <v>1</v>
      </c>
      <c r="AB1" t="s">
        <v>18</v>
      </c>
      <c r="AC1" t="s">
        <v>19</v>
      </c>
      <c r="AD1" t="s">
        <v>16</v>
      </c>
      <c r="AE1" t="s">
        <v>20</v>
      </c>
      <c r="AF1" t="s">
        <v>21</v>
      </c>
    </row>
    <row r="2" spans="2:32" x14ac:dyDescent="0.3">
      <c r="B2">
        <v>81</v>
      </c>
      <c r="C2">
        <v>19</v>
      </c>
      <c r="D2">
        <v>28</v>
      </c>
      <c r="E2">
        <v>72</v>
      </c>
      <c r="G2">
        <v>83</v>
      </c>
      <c r="H2">
        <v>17</v>
      </c>
      <c r="I2">
        <v>10</v>
      </c>
      <c r="J2">
        <v>90</v>
      </c>
      <c r="L2">
        <v>75</v>
      </c>
      <c r="M2">
        <v>25</v>
      </c>
      <c r="N2">
        <v>44</v>
      </c>
      <c r="O2">
        <v>56</v>
      </c>
      <c r="Q2">
        <f>AVERAGE(C2:D2)</f>
        <v>23.5</v>
      </c>
      <c r="R2">
        <f>AVERAGE(H2:I2)</f>
        <v>13.5</v>
      </c>
      <c r="S2">
        <f>AVERAGE(M2:N2)</f>
        <v>34.5</v>
      </c>
      <c r="T2">
        <f>AVERAGE(Q2:S2)</f>
        <v>23.833333333333332</v>
      </c>
      <c r="U2">
        <f>AVERAGE(Q2:Q5)</f>
        <v>23</v>
      </c>
      <c r="V2">
        <f>_xlfn.STDEV.S(Q2:Q5)</f>
        <v>1.8708286933869707</v>
      </c>
      <c r="W2">
        <f>AVERAGE(R2:R5)</f>
        <v>13.5</v>
      </c>
      <c r="X2">
        <f>_xlfn.STDEV.S(R2:R5)</f>
        <v>2.4494897427831779</v>
      </c>
      <c r="Y2">
        <f>AVERAGE(S2:S5)</f>
        <v>35.625</v>
      </c>
      <c r="Z2">
        <f>_xlfn.STDEV.S(S2:S5)</f>
        <v>0.8539125638299665</v>
      </c>
      <c r="AA2">
        <f>AVERAGE(T2:T5)</f>
        <v>24.041666666666668</v>
      </c>
      <c r="AB2">
        <f>_xlfn.STDEV.S(T2:T5)</f>
        <v>1.1656741810198499</v>
      </c>
      <c r="AC2">
        <f>MIN(Q2:S2)</f>
        <v>13.5</v>
      </c>
      <c r="AD2">
        <f>T2-AC2</f>
        <v>10.333333333333332</v>
      </c>
      <c r="AE2">
        <f>AVERAGE(AD2:AD5)</f>
        <v>10.541666666666668</v>
      </c>
      <c r="AF2">
        <f>_xlfn.STDEV.S(AD2:AD5)</f>
        <v>1.4231876063832671</v>
      </c>
    </row>
    <row r="3" spans="2:32" x14ac:dyDescent="0.3">
      <c r="B3">
        <v>93</v>
      </c>
      <c r="C3">
        <v>7</v>
      </c>
      <c r="D3">
        <v>34</v>
      </c>
      <c r="E3">
        <v>66</v>
      </c>
      <c r="G3">
        <v>87</v>
      </c>
      <c r="H3">
        <v>13</v>
      </c>
      <c r="I3">
        <v>8</v>
      </c>
      <c r="J3">
        <v>92</v>
      </c>
      <c r="L3">
        <v>80</v>
      </c>
      <c r="M3">
        <v>20</v>
      </c>
      <c r="N3">
        <v>53</v>
      </c>
      <c r="O3">
        <v>47</v>
      </c>
      <c r="Q3">
        <f t="shared" ref="Q3:Q5" si="0">AVERAGE(C3:D3)</f>
        <v>20.5</v>
      </c>
      <c r="R3">
        <f t="shared" ref="R3:R5" si="1">AVERAGE(H3:I3)</f>
        <v>10.5</v>
      </c>
      <c r="S3">
        <f t="shared" ref="S3:S5" si="2">AVERAGE(M3:N3)</f>
        <v>36.5</v>
      </c>
      <c r="T3">
        <f t="shared" ref="T3:T5" si="3">AVERAGE(Q3:S3)</f>
        <v>22.5</v>
      </c>
      <c r="AC3">
        <f t="shared" ref="AC3:AC5" si="4">MIN(Q3:S3)</f>
        <v>10.5</v>
      </c>
      <c r="AD3">
        <f t="shared" ref="AD3:AD5" si="5">T3-AC3</f>
        <v>12</v>
      </c>
    </row>
    <row r="4" spans="2:32" x14ac:dyDescent="0.3">
      <c r="B4">
        <v>81</v>
      </c>
      <c r="C4">
        <v>19</v>
      </c>
      <c r="D4">
        <v>31</v>
      </c>
      <c r="E4">
        <v>69</v>
      </c>
      <c r="G4">
        <v>86</v>
      </c>
      <c r="H4">
        <v>14</v>
      </c>
      <c r="I4">
        <v>13</v>
      </c>
      <c r="J4">
        <v>87</v>
      </c>
      <c r="L4">
        <v>64</v>
      </c>
      <c r="M4">
        <v>36</v>
      </c>
      <c r="N4">
        <v>35</v>
      </c>
      <c r="O4">
        <v>65</v>
      </c>
      <c r="Q4">
        <f t="shared" si="0"/>
        <v>25</v>
      </c>
      <c r="R4">
        <f t="shared" si="1"/>
        <v>13.5</v>
      </c>
      <c r="S4">
        <f t="shared" si="2"/>
        <v>35.5</v>
      </c>
      <c r="T4">
        <f t="shared" si="3"/>
        <v>24.666666666666668</v>
      </c>
      <c r="AC4">
        <f t="shared" si="4"/>
        <v>13.5</v>
      </c>
      <c r="AD4">
        <f t="shared" si="5"/>
        <v>11.166666666666668</v>
      </c>
    </row>
    <row r="5" spans="2:32" x14ac:dyDescent="0.3">
      <c r="B5">
        <v>80</v>
      </c>
      <c r="C5">
        <v>20</v>
      </c>
      <c r="D5">
        <v>26</v>
      </c>
      <c r="E5">
        <v>74</v>
      </c>
      <c r="G5">
        <v>79</v>
      </c>
      <c r="H5">
        <v>21</v>
      </c>
      <c r="I5">
        <v>12</v>
      </c>
      <c r="J5">
        <v>88</v>
      </c>
      <c r="L5">
        <v>76</v>
      </c>
      <c r="M5">
        <v>24</v>
      </c>
      <c r="N5">
        <v>48</v>
      </c>
      <c r="O5">
        <v>52</v>
      </c>
      <c r="Q5">
        <f t="shared" si="0"/>
        <v>23</v>
      </c>
      <c r="R5">
        <f t="shared" si="1"/>
        <v>16.5</v>
      </c>
      <c r="S5">
        <f t="shared" si="2"/>
        <v>36</v>
      </c>
      <c r="T5">
        <f t="shared" si="3"/>
        <v>25.166666666666668</v>
      </c>
      <c r="AC5">
        <f t="shared" si="4"/>
        <v>16.5</v>
      </c>
      <c r="AD5">
        <f t="shared" si="5"/>
        <v>8.6666666666666679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D0CE18A-8B26-4E93-B497-B59E55EFEC0E}">
  <dimension ref="A2:AF13"/>
  <sheetViews>
    <sheetView topLeftCell="O1" workbookViewId="0">
      <selection activeCell="Q2" sqref="Q2:AF2"/>
    </sheetView>
  </sheetViews>
  <sheetFormatPr defaultRowHeight="14.4" x14ac:dyDescent="0.3"/>
  <sheetData>
    <row r="2" spans="1:32" x14ac:dyDescent="0.3">
      <c r="A2" t="s">
        <v>51</v>
      </c>
      <c r="Q2" t="s">
        <v>13</v>
      </c>
      <c r="R2" t="s">
        <v>14</v>
      </c>
      <c r="S2" t="s">
        <v>15</v>
      </c>
      <c r="T2" t="s">
        <v>17</v>
      </c>
      <c r="U2" t="s">
        <v>52</v>
      </c>
      <c r="V2" t="s">
        <v>45</v>
      </c>
      <c r="W2" t="s">
        <v>53</v>
      </c>
      <c r="X2" t="s">
        <v>46</v>
      </c>
      <c r="Y2" t="s">
        <v>54</v>
      </c>
      <c r="Z2" t="s">
        <v>47</v>
      </c>
      <c r="AA2" t="s">
        <v>1</v>
      </c>
      <c r="AB2" t="s">
        <v>18</v>
      </c>
      <c r="AC2" t="s">
        <v>19</v>
      </c>
      <c r="AD2" t="s">
        <v>16</v>
      </c>
      <c r="AE2" t="s">
        <v>20</v>
      </c>
      <c r="AF2" t="s">
        <v>21</v>
      </c>
    </row>
    <row r="3" spans="1:32" x14ac:dyDescent="0.3">
      <c r="A3" t="s">
        <v>24</v>
      </c>
      <c r="F3" t="s">
        <v>63</v>
      </c>
      <c r="K3" t="s">
        <v>26</v>
      </c>
    </row>
    <row r="4" spans="1:32" x14ac:dyDescent="0.3">
      <c r="B4">
        <v>71</v>
      </c>
      <c r="C4">
        <v>29</v>
      </c>
      <c r="D4">
        <v>34</v>
      </c>
      <c r="E4">
        <v>66</v>
      </c>
      <c r="G4">
        <v>90</v>
      </c>
      <c r="H4">
        <v>10</v>
      </c>
      <c r="I4">
        <v>12</v>
      </c>
      <c r="J4">
        <v>88</v>
      </c>
      <c r="L4">
        <v>68</v>
      </c>
      <c r="M4">
        <v>32</v>
      </c>
      <c r="N4">
        <v>45</v>
      </c>
      <c r="O4">
        <v>55</v>
      </c>
      <c r="Q4">
        <f>AVERAGE(C4:D4)</f>
        <v>31.5</v>
      </c>
      <c r="R4">
        <f>AVERAGE(H4:I4)</f>
        <v>11</v>
      </c>
      <c r="S4">
        <f>AVERAGE(M4:N4)</f>
        <v>38.5</v>
      </c>
      <c r="T4">
        <f>AVERAGE(Q4:S4)</f>
        <v>27</v>
      </c>
      <c r="U4">
        <f>AVERAGE(Q4:Q7)</f>
        <v>27.125</v>
      </c>
      <c r="V4">
        <f>_xlfn.STDEV.S(Q4:Q7)</f>
        <v>4.2695628191498329</v>
      </c>
      <c r="W4">
        <f>AVERAGE(R4:R7)</f>
        <v>13.5</v>
      </c>
      <c r="X4">
        <f>_xlfn.STDEV.S(R4:R7)</f>
        <v>2.1984843263788196</v>
      </c>
      <c r="Y4">
        <f>AVERAGE(S4:S7)</f>
        <v>36.75</v>
      </c>
      <c r="Z4">
        <f>_xlfn.STDEV.S(S4:S7)</f>
        <v>4.1932485418030412</v>
      </c>
      <c r="AA4">
        <f>AVERAGE(T4:T7)</f>
        <v>25.791666666666668</v>
      </c>
      <c r="AB4">
        <f>_xlfn.STDEV.S(T4:T7)</f>
        <v>2.0877730471237275</v>
      </c>
      <c r="AC4">
        <f>MIN(Q4:S4)</f>
        <v>11</v>
      </c>
      <c r="AD4">
        <f>T4-AC4</f>
        <v>16</v>
      </c>
      <c r="AE4">
        <f>AVERAGE(AD4:AD7)</f>
        <v>12.291666666666668</v>
      </c>
      <c r="AF4">
        <f>_xlfn.STDEV.S(AD4:AD7)</f>
        <v>4.0377271751247248</v>
      </c>
    </row>
    <row r="5" spans="1:32" x14ac:dyDescent="0.3">
      <c r="B5">
        <v>82</v>
      </c>
      <c r="C5">
        <v>18</v>
      </c>
      <c r="D5">
        <v>35</v>
      </c>
      <c r="E5">
        <v>65</v>
      </c>
      <c r="G5">
        <v>84</v>
      </c>
      <c r="H5">
        <v>16</v>
      </c>
      <c r="I5">
        <v>13</v>
      </c>
      <c r="J5">
        <v>87</v>
      </c>
      <c r="L5">
        <v>77</v>
      </c>
      <c r="M5">
        <v>23</v>
      </c>
      <c r="N5">
        <v>56</v>
      </c>
      <c r="O5">
        <v>44</v>
      </c>
      <c r="Q5">
        <f t="shared" ref="Q5:Q7" si="0">AVERAGE(C5:D5)</f>
        <v>26.5</v>
      </c>
      <c r="R5">
        <f t="shared" ref="R5:R7" si="1">AVERAGE(H5:I5)</f>
        <v>14.5</v>
      </c>
      <c r="S5">
        <f t="shared" ref="S5:S7" si="2">AVERAGE(M5:N5)</f>
        <v>39.5</v>
      </c>
      <c r="T5">
        <f t="shared" ref="T5:T7" si="3">AVERAGE(Q5:S5)</f>
        <v>26.833333333333332</v>
      </c>
      <c r="AC5">
        <f t="shared" ref="AC5:AC7" si="4">MIN(Q5:S5)</f>
        <v>14.5</v>
      </c>
      <c r="AD5">
        <f t="shared" ref="AD5:AD7" si="5">T5-AC5</f>
        <v>12.333333333333332</v>
      </c>
    </row>
    <row r="6" spans="1:32" x14ac:dyDescent="0.3">
      <c r="B6">
        <v>87</v>
      </c>
      <c r="C6">
        <v>13</v>
      </c>
      <c r="D6">
        <v>30</v>
      </c>
      <c r="E6">
        <v>70</v>
      </c>
      <c r="G6">
        <v>81</v>
      </c>
      <c r="H6">
        <v>19</v>
      </c>
      <c r="I6">
        <v>13</v>
      </c>
      <c r="J6">
        <v>87</v>
      </c>
      <c r="L6">
        <v>87</v>
      </c>
      <c r="M6">
        <v>13</v>
      </c>
      <c r="N6">
        <v>48</v>
      </c>
      <c r="O6">
        <v>52</v>
      </c>
      <c r="Q6">
        <f t="shared" si="0"/>
        <v>21.5</v>
      </c>
      <c r="R6">
        <f t="shared" si="1"/>
        <v>16</v>
      </c>
      <c r="S6">
        <f t="shared" si="2"/>
        <v>30.5</v>
      </c>
      <c r="T6">
        <f t="shared" si="3"/>
        <v>22.666666666666668</v>
      </c>
      <c r="AC6">
        <f t="shared" si="4"/>
        <v>16</v>
      </c>
      <c r="AD6">
        <f t="shared" si="5"/>
        <v>6.6666666666666679</v>
      </c>
    </row>
    <row r="7" spans="1:32" x14ac:dyDescent="0.3">
      <c r="A7" t="s">
        <v>24</v>
      </c>
      <c r="B7">
        <v>76</v>
      </c>
      <c r="C7">
        <v>24</v>
      </c>
      <c r="D7">
        <v>34</v>
      </c>
      <c r="E7">
        <v>66</v>
      </c>
      <c r="G7">
        <v>90</v>
      </c>
      <c r="H7">
        <v>10</v>
      </c>
      <c r="I7">
        <v>15</v>
      </c>
      <c r="J7">
        <v>85</v>
      </c>
      <c r="L7">
        <v>83</v>
      </c>
      <c r="M7">
        <v>17</v>
      </c>
      <c r="N7">
        <v>60</v>
      </c>
      <c r="O7">
        <v>40</v>
      </c>
      <c r="Q7">
        <f t="shared" si="0"/>
        <v>29</v>
      </c>
      <c r="R7">
        <f t="shared" si="1"/>
        <v>12.5</v>
      </c>
      <c r="S7">
        <f t="shared" si="2"/>
        <v>38.5</v>
      </c>
      <c r="T7">
        <f t="shared" si="3"/>
        <v>26.666666666666668</v>
      </c>
      <c r="AC7">
        <f t="shared" si="4"/>
        <v>12.5</v>
      </c>
      <c r="AD7">
        <f t="shared" si="5"/>
        <v>14.166666666666668</v>
      </c>
    </row>
    <row r="9" spans="1:32" x14ac:dyDescent="0.3">
      <c r="A9" t="s">
        <v>70</v>
      </c>
    </row>
    <row r="10" spans="1:32" x14ac:dyDescent="0.3">
      <c r="B10">
        <v>86</v>
      </c>
      <c r="C10">
        <v>14</v>
      </c>
      <c r="D10">
        <v>36</v>
      </c>
      <c r="E10">
        <v>64</v>
      </c>
      <c r="G10">
        <v>83</v>
      </c>
      <c r="H10">
        <v>17</v>
      </c>
      <c r="I10">
        <v>7</v>
      </c>
      <c r="J10">
        <v>93</v>
      </c>
      <c r="L10">
        <v>86</v>
      </c>
      <c r="M10">
        <v>14</v>
      </c>
      <c r="N10">
        <v>47</v>
      </c>
      <c r="O10">
        <v>53</v>
      </c>
      <c r="Q10">
        <f t="shared" ref="Q10:Q13" si="6">AVERAGE(C10:D10)</f>
        <v>25</v>
      </c>
      <c r="R10">
        <f t="shared" ref="R10:R13" si="7">AVERAGE(H10:I10)</f>
        <v>12</v>
      </c>
      <c r="S10">
        <f t="shared" ref="S10:S13" si="8">AVERAGE(M10:N10)</f>
        <v>30.5</v>
      </c>
      <c r="T10">
        <f t="shared" ref="T10:T13" si="9">AVERAGE(Q10:S10)</f>
        <v>22.5</v>
      </c>
      <c r="U10">
        <f>AVERAGE(Q10:Q13)</f>
        <v>26.625</v>
      </c>
      <c r="V10">
        <f>_xlfn.STDEV.S(Q10:Q13)</f>
        <v>1.4361406616345072</v>
      </c>
      <c r="W10">
        <f>AVERAGE(R10:R13)</f>
        <v>12.25</v>
      </c>
      <c r="X10">
        <f>_xlfn.STDEV.S(R10:R13)</f>
        <v>1.8929694486000912</v>
      </c>
      <c r="Y10">
        <f>AVERAGE(S10:S13)</f>
        <v>31.875</v>
      </c>
      <c r="Z10">
        <f>_xlfn.STDEV.S(S10:S13)</f>
        <v>2.8686524130097508</v>
      </c>
      <c r="AA10">
        <f>AVERAGE(T10:T13)</f>
        <v>23.583333333333336</v>
      </c>
      <c r="AB10">
        <f>_xlfn.STDEV.S(T10:T13)</f>
        <v>1.158702978589679</v>
      </c>
      <c r="AC10">
        <f t="shared" ref="AC10:AC13" si="10">MIN(Q10:S10)</f>
        <v>12</v>
      </c>
      <c r="AD10">
        <f t="shared" ref="AD10:AD13" si="11">T10-AC10</f>
        <v>10.5</v>
      </c>
      <c r="AE10">
        <f>AVERAGE(AD10:AD13)</f>
        <v>11.333333333333336</v>
      </c>
      <c r="AF10">
        <f>_xlfn.STDEV.S(AD10:AD13)</f>
        <v>2.3293616992485018</v>
      </c>
    </row>
    <row r="11" spans="1:32" x14ac:dyDescent="0.3">
      <c r="B11">
        <v>85</v>
      </c>
      <c r="C11">
        <v>15</v>
      </c>
      <c r="D11">
        <v>38</v>
      </c>
      <c r="E11">
        <v>62</v>
      </c>
      <c r="G11">
        <v>91</v>
      </c>
      <c r="H11">
        <v>9</v>
      </c>
      <c r="I11">
        <v>13</v>
      </c>
      <c r="J11">
        <v>87</v>
      </c>
      <c r="L11">
        <v>86</v>
      </c>
      <c r="M11">
        <v>14</v>
      </c>
      <c r="N11">
        <v>49</v>
      </c>
      <c r="O11">
        <v>51</v>
      </c>
      <c r="Q11">
        <f t="shared" si="6"/>
        <v>26.5</v>
      </c>
      <c r="R11">
        <f t="shared" si="7"/>
        <v>11</v>
      </c>
      <c r="S11">
        <f t="shared" si="8"/>
        <v>31.5</v>
      </c>
      <c r="T11">
        <f t="shared" si="9"/>
        <v>23</v>
      </c>
      <c r="AC11">
        <f t="shared" si="10"/>
        <v>11</v>
      </c>
      <c r="AD11">
        <f t="shared" si="11"/>
        <v>12</v>
      </c>
    </row>
    <row r="12" spans="1:32" x14ac:dyDescent="0.3">
      <c r="B12">
        <v>83</v>
      </c>
      <c r="C12">
        <v>17</v>
      </c>
      <c r="D12">
        <v>40</v>
      </c>
      <c r="E12">
        <v>60</v>
      </c>
      <c r="G12">
        <v>89</v>
      </c>
      <c r="H12">
        <v>11</v>
      </c>
      <c r="I12">
        <v>11</v>
      </c>
      <c r="J12">
        <v>89</v>
      </c>
      <c r="L12">
        <v>81</v>
      </c>
      <c r="M12">
        <v>19</v>
      </c>
      <c r="N12">
        <v>53</v>
      </c>
      <c r="O12">
        <v>47</v>
      </c>
      <c r="Q12">
        <f t="shared" si="6"/>
        <v>28.5</v>
      </c>
      <c r="R12">
        <f t="shared" si="7"/>
        <v>11</v>
      </c>
      <c r="S12">
        <f t="shared" si="8"/>
        <v>36</v>
      </c>
      <c r="T12">
        <f t="shared" si="9"/>
        <v>25.166666666666668</v>
      </c>
      <c r="AC12">
        <f t="shared" si="10"/>
        <v>11</v>
      </c>
      <c r="AD12">
        <f t="shared" si="11"/>
        <v>14.166666666666668</v>
      </c>
    </row>
    <row r="13" spans="1:32" x14ac:dyDescent="0.3">
      <c r="B13">
        <v>82</v>
      </c>
      <c r="C13">
        <v>18</v>
      </c>
      <c r="D13">
        <v>35</v>
      </c>
      <c r="E13">
        <v>65</v>
      </c>
      <c r="G13">
        <v>79</v>
      </c>
      <c r="H13">
        <v>21</v>
      </c>
      <c r="I13">
        <v>9</v>
      </c>
      <c r="J13">
        <v>91</v>
      </c>
      <c r="L13">
        <v>73</v>
      </c>
      <c r="M13">
        <v>27</v>
      </c>
      <c r="N13">
        <v>32</v>
      </c>
      <c r="O13">
        <v>68</v>
      </c>
      <c r="Q13">
        <f t="shared" si="6"/>
        <v>26.5</v>
      </c>
      <c r="R13">
        <f t="shared" si="7"/>
        <v>15</v>
      </c>
      <c r="S13">
        <f t="shared" si="8"/>
        <v>29.5</v>
      </c>
      <c r="T13">
        <f t="shared" si="9"/>
        <v>23.666666666666668</v>
      </c>
      <c r="AC13">
        <f t="shared" si="10"/>
        <v>15</v>
      </c>
      <c r="AD13">
        <f t="shared" si="11"/>
        <v>8.6666666666666679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E557A7D-364E-47EE-A0F3-0D888512E587}">
  <dimension ref="A2:AF5"/>
  <sheetViews>
    <sheetView workbookViewId="0">
      <selection activeCell="B4" sqref="B4:O5"/>
    </sheetView>
  </sheetViews>
  <sheetFormatPr defaultRowHeight="14.4" x14ac:dyDescent="0.3"/>
  <sheetData>
    <row r="2" spans="1:32" x14ac:dyDescent="0.3">
      <c r="A2" t="s">
        <v>51</v>
      </c>
      <c r="Q2" t="s">
        <v>13</v>
      </c>
      <c r="R2" t="s">
        <v>14</v>
      </c>
      <c r="S2" t="s">
        <v>15</v>
      </c>
      <c r="T2" t="s">
        <v>17</v>
      </c>
      <c r="U2" t="s">
        <v>52</v>
      </c>
      <c r="V2" t="s">
        <v>45</v>
      </c>
      <c r="W2" t="s">
        <v>53</v>
      </c>
      <c r="X2" t="s">
        <v>46</v>
      </c>
      <c r="Y2" t="s">
        <v>54</v>
      </c>
      <c r="Z2" t="s">
        <v>47</v>
      </c>
      <c r="AA2" t="s">
        <v>1</v>
      </c>
      <c r="AB2" t="s">
        <v>18</v>
      </c>
      <c r="AC2" t="s">
        <v>19</v>
      </c>
      <c r="AD2" t="s">
        <v>16</v>
      </c>
      <c r="AE2" t="s">
        <v>20</v>
      </c>
      <c r="AF2" t="s">
        <v>21</v>
      </c>
    </row>
    <row r="3" spans="1:32" x14ac:dyDescent="0.3">
      <c r="A3" t="s">
        <v>24</v>
      </c>
      <c r="F3" t="s">
        <v>63</v>
      </c>
      <c r="K3" t="s">
        <v>26</v>
      </c>
    </row>
    <row r="4" spans="1:32" x14ac:dyDescent="0.3">
      <c r="Q4" t="e">
        <f>AVERAGE(C4,D4)</f>
        <v>#DIV/0!</v>
      </c>
      <c r="R4" t="e">
        <f>AVERAGE(H4,I4)</f>
        <v>#DIV/0!</v>
      </c>
      <c r="S4" t="e">
        <f>AVERAGE(M4,N4)</f>
        <v>#DIV/0!</v>
      </c>
      <c r="T4" t="e">
        <f>AVERAGE(Q4:S4)</f>
        <v>#DIV/0!</v>
      </c>
      <c r="U4" t="e">
        <f>AVERAGE(Q4,Q5)</f>
        <v>#DIV/0!</v>
      </c>
      <c r="V4" t="e">
        <f>_xlfn.STDEV.S(Q4,Q5)</f>
        <v>#DIV/0!</v>
      </c>
      <c r="W4" t="e">
        <f>AVERAGE(R4,R5)</f>
        <v>#DIV/0!</v>
      </c>
      <c r="X4" t="e">
        <f>_xlfn.STDEV.S(R4,R5)</f>
        <v>#DIV/0!</v>
      </c>
      <c r="Y4" t="e">
        <f>AVERAGE(S4,S5)</f>
        <v>#DIV/0!</v>
      </c>
      <c r="Z4" t="e">
        <f>_xlfn.STDEV.S(S4,S5)</f>
        <v>#DIV/0!</v>
      </c>
      <c r="AA4" t="e">
        <f>AVERAGE(T4,T5)</f>
        <v>#DIV/0!</v>
      </c>
      <c r="AB4" t="e">
        <f>_xlfn.STDEV.S(T4,T5)</f>
        <v>#DIV/0!</v>
      </c>
      <c r="AC4" t="e">
        <f>MIN(Q4:S4)</f>
        <v>#DIV/0!</v>
      </c>
      <c r="AD4" t="e">
        <f>(1/3)*(T4-AC4)</f>
        <v>#DIV/0!</v>
      </c>
      <c r="AE4" t="e">
        <f>AVERAGE(AD4,AD5)</f>
        <v>#DIV/0!</v>
      </c>
      <c r="AF4" t="e">
        <f>_xlfn.STDEV.S(AD4,AD5)</f>
        <v>#DIV/0!</v>
      </c>
    </row>
    <row r="5" spans="1:32" x14ac:dyDescent="0.3">
      <c r="Q5" t="e">
        <f>AVERAGE(C5,D5)</f>
        <v>#DIV/0!</v>
      </c>
      <c r="R5" t="e">
        <f>AVERAGE(H5,I5)</f>
        <v>#DIV/0!</v>
      </c>
      <c r="S5" t="e">
        <f>AVERAGE(M5,N5)</f>
        <v>#DIV/0!</v>
      </c>
      <c r="T5" t="e">
        <f>AVERAGE(Q5:S5)</f>
        <v>#DIV/0!</v>
      </c>
      <c r="AC5" t="e">
        <f>MIN(Q5:S5)</f>
        <v>#DIV/0!</v>
      </c>
      <c r="AD5" t="e">
        <f>(1/3)*(T5-AC5)</f>
        <v>#DIV/0!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1B67D71-588A-4985-8ACA-35F7A9B1AF58}">
  <dimension ref="A2:AF11"/>
  <sheetViews>
    <sheetView topLeftCell="M1" workbookViewId="0">
      <selection activeCell="AF10" activeCellId="2" sqref="U10:AB10 AE10 AF10"/>
    </sheetView>
  </sheetViews>
  <sheetFormatPr defaultRowHeight="14.4" x14ac:dyDescent="0.3"/>
  <sheetData>
    <row r="2" spans="1:32" x14ac:dyDescent="0.3">
      <c r="A2" t="s">
        <v>51</v>
      </c>
      <c r="Q2" t="s">
        <v>13</v>
      </c>
      <c r="R2" t="s">
        <v>14</v>
      </c>
      <c r="S2" t="s">
        <v>15</v>
      </c>
      <c r="T2" t="s">
        <v>17</v>
      </c>
      <c r="U2" t="s">
        <v>52</v>
      </c>
      <c r="V2" t="s">
        <v>45</v>
      </c>
      <c r="W2" t="s">
        <v>53</v>
      </c>
      <c r="X2" t="s">
        <v>46</v>
      </c>
      <c r="Y2" t="s">
        <v>54</v>
      </c>
      <c r="Z2" t="s">
        <v>47</v>
      </c>
      <c r="AA2" t="s">
        <v>1</v>
      </c>
      <c r="AB2" t="s">
        <v>18</v>
      </c>
      <c r="AC2" t="s">
        <v>19</v>
      </c>
      <c r="AD2" t="s">
        <v>16</v>
      </c>
      <c r="AE2" t="s">
        <v>20</v>
      </c>
      <c r="AF2" t="s">
        <v>21</v>
      </c>
    </row>
    <row r="3" spans="1:32" x14ac:dyDescent="0.3">
      <c r="A3" t="s">
        <v>24</v>
      </c>
      <c r="F3" t="s">
        <v>63</v>
      </c>
      <c r="K3" t="s">
        <v>26</v>
      </c>
    </row>
    <row r="4" spans="1:32" x14ac:dyDescent="0.3">
      <c r="B4">
        <v>93</v>
      </c>
      <c r="C4">
        <v>7</v>
      </c>
      <c r="D4">
        <v>43</v>
      </c>
      <c r="E4">
        <v>57</v>
      </c>
      <c r="G4">
        <v>87</v>
      </c>
      <c r="H4">
        <v>13</v>
      </c>
      <c r="I4">
        <v>16</v>
      </c>
      <c r="J4">
        <v>84</v>
      </c>
      <c r="L4">
        <v>81</v>
      </c>
      <c r="M4">
        <v>19</v>
      </c>
      <c r="N4">
        <v>63</v>
      </c>
      <c r="O4">
        <v>37</v>
      </c>
      <c r="Q4">
        <f>AVERAGE(C4:D4)</f>
        <v>25</v>
      </c>
      <c r="R4">
        <f>AVERAGE(H4:I4)</f>
        <v>14.5</v>
      </c>
      <c r="S4">
        <f>AVERAGE(M4:N4)</f>
        <v>41</v>
      </c>
      <c r="T4">
        <f>AVERAGE(Q4:S4)</f>
        <v>26.833333333333332</v>
      </c>
      <c r="U4">
        <f>AVERAGE(Q4:Q7)</f>
        <v>25</v>
      </c>
      <c r="V4">
        <f>_xlfn.STDEV.S(Q4:Q7)</f>
        <v>1.7795130420052185</v>
      </c>
      <c r="W4">
        <f>AVERAGE(R4:R7)</f>
        <v>13.625</v>
      </c>
      <c r="X4">
        <f>_xlfn.STDEV.S(R4:R7)</f>
        <v>1.5478479684172259</v>
      </c>
      <c r="Y4">
        <f>AVERAGE(S4:S7)</f>
        <v>32.75</v>
      </c>
      <c r="Z4">
        <f>_xlfn.STDEV.S(S4:S6,S7)</f>
        <v>6.9821200218844703</v>
      </c>
      <c r="AA4">
        <f>AVERAGE(T4:T7)</f>
        <v>23.791666666666664</v>
      </c>
      <c r="AB4">
        <f>_xlfn.STDEV.S(T4:T7)</f>
        <v>2.5032386429790709</v>
      </c>
      <c r="AC4">
        <f>MIN(Q4:S4)</f>
        <v>14.5</v>
      </c>
      <c r="AD4">
        <f>T4-AC4</f>
        <v>12.333333333333332</v>
      </c>
      <c r="AE4">
        <f>AVERAGE(AD4:AD7)</f>
        <v>10.166666666666666</v>
      </c>
      <c r="AF4">
        <f>_xlfn.STDEV.S(AD4:AD7)</f>
        <v>2.3174059571793588</v>
      </c>
    </row>
    <row r="5" spans="1:32" x14ac:dyDescent="0.3">
      <c r="B5">
        <v>80</v>
      </c>
      <c r="C5">
        <v>20</v>
      </c>
      <c r="D5">
        <v>33</v>
      </c>
      <c r="E5">
        <v>67</v>
      </c>
      <c r="G5">
        <v>84</v>
      </c>
      <c r="H5">
        <v>16</v>
      </c>
      <c r="I5">
        <v>14</v>
      </c>
      <c r="J5">
        <v>86</v>
      </c>
      <c r="L5">
        <v>87</v>
      </c>
      <c r="M5">
        <v>13</v>
      </c>
      <c r="N5">
        <v>36</v>
      </c>
      <c r="O5">
        <v>64</v>
      </c>
      <c r="Q5">
        <f t="shared" ref="Q5:Q7" si="0">AVERAGE(C5:D5)</f>
        <v>26.5</v>
      </c>
      <c r="R5">
        <f t="shared" ref="R5:R7" si="1">AVERAGE(H5:I5)</f>
        <v>15</v>
      </c>
      <c r="S5">
        <f t="shared" ref="S5:S7" si="2">AVERAGE(M5:N5)</f>
        <v>24.5</v>
      </c>
      <c r="T5">
        <f t="shared" ref="T5:T7" si="3">AVERAGE(Q5:S5)</f>
        <v>22</v>
      </c>
      <c r="AC5">
        <f t="shared" ref="AC5:AC7" si="4">MIN(Q5:S5)</f>
        <v>15</v>
      </c>
      <c r="AD5">
        <f t="shared" ref="AD5:AD7" si="5">T5-AC5</f>
        <v>7</v>
      </c>
    </row>
    <row r="6" spans="1:32" x14ac:dyDescent="0.3">
      <c r="B6">
        <v>79</v>
      </c>
      <c r="C6">
        <v>21</v>
      </c>
      <c r="D6">
        <v>24</v>
      </c>
      <c r="E6">
        <v>76</v>
      </c>
      <c r="G6">
        <v>87</v>
      </c>
      <c r="H6">
        <v>13</v>
      </c>
      <c r="I6">
        <v>10</v>
      </c>
      <c r="J6">
        <v>90</v>
      </c>
      <c r="L6">
        <v>87</v>
      </c>
      <c r="M6">
        <v>13</v>
      </c>
      <c r="N6">
        <v>48</v>
      </c>
      <c r="O6">
        <v>52</v>
      </c>
      <c r="Q6">
        <f t="shared" si="0"/>
        <v>22.5</v>
      </c>
      <c r="R6">
        <f t="shared" si="1"/>
        <v>11.5</v>
      </c>
      <c r="S6">
        <f t="shared" si="2"/>
        <v>30.5</v>
      </c>
      <c r="T6">
        <f t="shared" si="3"/>
        <v>21.5</v>
      </c>
      <c r="AC6">
        <f t="shared" si="4"/>
        <v>11.5</v>
      </c>
      <c r="AD6">
        <f t="shared" si="5"/>
        <v>10</v>
      </c>
    </row>
    <row r="7" spans="1:32" x14ac:dyDescent="0.3">
      <c r="A7" t="s">
        <v>24</v>
      </c>
      <c r="B7">
        <v>89</v>
      </c>
      <c r="C7">
        <v>11</v>
      </c>
      <c r="D7">
        <v>41</v>
      </c>
      <c r="E7">
        <v>59</v>
      </c>
      <c r="G7">
        <v>88</v>
      </c>
      <c r="H7">
        <v>12</v>
      </c>
      <c r="I7">
        <v>15</v>
      </c>
      <c r="J7">
        <v>85</v>
      </c>
      <c r="L7">
        <v>73</v>
      </c>
      <c r="M7">
        <v>27</v>
      </c>
      <c r="N7">
        <v>43</v>
      </c>
      <c r="O7">
        <v>57</v>
      </c>
      <c r="Q7">
        <f t="shared" si="0"/>
        <v>26</v>
      </c>
      <c r="R7">
        <f t="shared" si="1"/>
        <v>13.5</v>
      </c>
      <c r="S7">
        <f t="shared" si="2"/>
        <v>35</v>
      </c>
      <c r="T7">
        <f t="shared" si="3"/>
        <v>24.833333333333332</v>
      </c>
      <c r="AC7">
        <f t="shared" si="4"/>
        <v>13.5</v>
      </c>
      <c r="AD7">
        <f t="shared" si="5"/>
        <v>11.333333333333332</v>
      </c>
    </row>
    <row r="9" spans="1:32" x14ac:dyDescent="0.3">
      <c r="A9" t="s">
        <v>70</v>
      </c>
    </row>
    <row r="10" spans="1:32" x14ac:dyDescent="0.3">
      <c r="B10">
        <v>82</v>
      </c>
      <c r="C10">
        <v>18</v>
      </c>
      <c r="D10">
        <v>33</v>
      </c>
      <c r="E10">
        <v>67</v>
      </c>
      <c r="G10">
        <v>85</v>
      </c>
      <c r="H10">
        <v>15</v>
      </c>
      <c r="I10">
        <v>12</v>
      </c>
      <c r="J10">
        <v>88</v>
      </c>
      <c r="L10">
        <v>59</v>
      </c>
      <c r="M10">
        <v>41</v>
      </c>
      <c r="N10">
        <v>28</v>
      </c>
      <c r="O10">
        <v>72</v>
      </c>
      <c r="Q10">
        <f t="shared" ref="Q10:Q11" si="6">AVERAGE(C10:D10)</f>
        <v>25.5</v>
      </c>
      <c r="R10">
        <f t="shared" ref="R10:R11" si="7">AVERAGE(H10:I10)</f>
        <v>13.5</v>
      </c>
      <c r="S10">
        <f t="shared" ref="S10:S11" si="8">AVERAGE(M10:N10)</f>
        <v>34.5</v>
      </c>
      <c r="T10">
        <f t="shared" ref="T10:T11" si="9">AVERAGE(Q10:S10)</f>
        <v>24.5</v>
      </c>
      <c r="U10">
        <f>AVERAGE(Q10:Q13)</f>
        <v>25.25</v>
      </c>
      <c r="V10">
        <f>_xlfn.STDEV.S(Q10:Q13)</f>
        <v>0.35355339059327379</v>
      </c>
      <c r="W10">
        <f>AVERAGE(R10:R13)</f>
        <v>13.5</v>
      </c>
      <c r="X10">
        <f>_xlfn.STDEV.S(R10:R13)</f>
        <v>0</v>
      </c>
      <c r="Y10">
        <f>AVERAGE(S10:S13)</f>
        <v>33.75</v>
      </c>
      <c r="Z10">
        <f>_xlfn.STDEV.S(S10:S12,S13)</f>
        <v>1.0606601717798212</v>
      </c>
      <c r="AA10">
        <f>AVERAGE(T10:T13)</f>
        <v>24.166666666666664</v>
      </c>
      <c r="AB10">
        <f>_xlfn.STDEV.S(T10:T13)</f>
        <v>0.47140452079103251</v>
      </c>
      <c r="AC10">
        <f t="shared" ref="AC10:AC11" si="10">MIN(Q10:S10)</f>
        <v>13.5</v>
      </c>
      <c r="AD10">
        <f t="shared" ref="AD10:AD11" si="11">T10-AC10</f>
        <v>11</v>
      </c>
      <c r="AE10">
        <f>AVERAGE(AD10:AD13)</f>
        <v>10.666666666666666</v>
      </c>
      <c r="AF10">
        <f>_xlfn.STDEV.S(AD10:AD13)</f>
        <v>0.47140452079103251</v>
      </c>
    </row>
    <row r="11" spans="1:32" x14ac:dyDescent="0.3">
      <c r="B11">
        <v>91</v>
      </c>
      <c r="C11">
        <v>9</v>
      </c>
      <c r="D11">
        <v>41</v>
      </c>
      <c r="E11">
        <v>59</v>
      </c>
      <c r="G11">
        <v>91</v>
      </c>
      <c r="H11">
        <v>9</v>
      </c>
      <c r="I11">
        <v>18</v>
      </c>
      <c r="J11">
        <v>82</v>
      </c>
      <c r="L11">
        <v>86</v>
      </c>
      <c r="M11">
        <v>14</v>
      </c>
      <c r="N11">
        <v>52</v>
      </c>
      <c r="O11">
        <v>48</v>
      </c>
      <c r="Q11">
        <f t="shared" si="6"/>
        <v>25</v>
      </c>
      <c r="R11">
        <f t="shared" si="7"/>
        <v>13.5</v>
      </c>
      <c r="S11">
        <f t="shared" si="8"/>
        <v>33</v>
      </c>
      <c r="T11">
        <f t="shared" si="9"/>
        <v>23.833333333333332</v>
      </c>
      <c r="AC11">
        <f t="shared" si="10"/>
        <v>13.5</v>
      </c>
      <c r="AD11">
        <f t="shared" si="11"/>
        <v>10.333333333333332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A4C68C5-0EAB-4233-98F5-D346BC512EB4}">
  <dimension ref="A2:AF38"/>
  <sheetViews>
    <sheetView topLeftCell="M31" workbookViewId="0">
      <selection activeCell="AF35" activeCellId="2" sqref="U35:AB35 AE35 AF35"/>
    </sheetView>
  </sheetViews>
  <sheetFormatPr defaultRowHeight="14.4" x14ac:dyDescent="0.3"/>
  <sheetData>
    <row r="2" spans="1:32" x14ac:dyDescent="0.3">
      <c r="A2" t="s">
        <v>51</v>
      </c>
      <c r="Q2" t="s">
        <v>13</v>
      </c>
      <c r="R2" t="s">
        <v>14</v>
      </c>
      <c r="S2" t="s">
        <v>15</v>
      </c>
      <c r="T2" t="s">
        <v>17</v>
      </c>
      <c r="U2" t="s">
        <v>52</v>
      </c>
      <c r="V2" t="s">
        <v>45</v>
      </c>
      <c r="W2" t="s">
        <v>53</v>
      </c>
      <c r="X2" t="s">
        <v>46</v>
      </c>
      <c r="Y2" t="s">
        <v>54</v>
      </c>
      <c r="Z2" t="s">
        <v>47</v>
      </c>
      <c r="AA2" t="s">
        <v>1</v>
      </c>
      <c r="AB2" t="s">
        <v>18</v>
      </c>
      <c r="AC2" t="s">
        <v>19</v>
      </c>
      <c r="AD2" t="s">
        <v>16</v>
      </c>
      <c r="AE2" t="s">
        <v>20</v>
      </c>
      <c r="AF2" t="s">
        <v>21</v>
      </c>
    </row>
    <row r="3" spans="1:32" x14ac:dyDescent="0.3">
      <c r="A3" t="s">
        <v>24</v>
      </c>
      <c r="F3" t="s">
        <v>63</v>
      </c>
      <c r="K3" t="s">
        <v>26</v>
      </c>
    </row>
    <row r="4" spans="1:32" x14ac:dyDescent="0.3">
      <c r="B4">
        <v>78</v>
      </c>
      <c r="C4">
        <v>22</v>
      </c>
      <c r="D4">
        <v>31</v>
      </c>
      <c r="E4">
        <v>69</v>
      </c>
      <c r="G4">
        <v>82</v>
      </c>
      <c r="H4">
        <v>18</v>
      </c>
      <c r="I4">
        <v>14</v>
      </c>
      <c r="J4">
        <v>86</v>
      </c>
      <c r="L4">
        <v>73</v>
      </c>
      <c r="M4">
        <v>27</v>
      </c>
      <c r="N4">
        <v>43</v>
      </c>
      <c r="O4">
        <v>57</v>
      </c>
      <c r="Q4">
        <f>AVERAGE(C4:D4)</f>
        <v>26.5</v>
      </c>
      <c r="R4">
        <f>AVERAGE(H4:I4)</f>
        <v>16</v>
      </c>
      <c r="S4">
        <f>AVERAGE(M4:N4)</f>
        <v>35</v>
      </c>
      <c r="T4">
        <f>AVERAGE(Q4:S4)</f>
        <v>25.833333333333332</v>
      </c>
      <c r="U4">
        <f>AVERAGE(Q4:Q13)</f>
        <v>25.85</v>
      </c>
      <c r="V4">
        <f>_xlfn.STDEV.S(Q4:Q13)</f>
        <v>3.605936463358407</v>
      </c>
      <c r="W4">
        <f>AVERAGE(R4:R13)</f>
        <v>13.2</v>
      </c>
      <c r="X4">
        <f>_xlfn.STDEV.S(R4:R13)</f>
        <v>2.1108186931983393</v>
      </c>
      <c r="Y4">
        <f>AVERAGE(S4:S13)</f>
        <v>34.700000000000003</v>
      </c>
      <c r="Z4">
        <f>_xlfn.STDEV.S(S4:S13)</f>
        <v>3.301514803843836</v>
      </c>
      <c r="AA4">
        <f>AVERAGE(T4:T13)</f>
        <v>24.583333333333332</v>
      </c>
      <c r="AB4">
        <f>_xlfn.STDEV.S(T4:T13)</f>
        <v>1.842988046155374</v>
      </c>
      <c r="AC4">
        <f>MIN(Q4:S4)</f>
        <v>16</v>
      </c>
      <c r="AD4">
        <f>T4-AC4</f>
        <v>9.8333333333333321</v>
      </c>
      <c r="AE4">
        <f>AVERAGE(AD4:AD13)</f>
        <v>11.383333333333333</v>
      </c>
      <c r="AF4">
        <f>_xlfn.STDEV.S(AD4:AD13)</f>
        <v>1.6667592566873919</v>
      </c>
    </row>
    <row r="5" spans="1:32" x14ac:dyDescent="0.3">
      <c r="B5">
        <v>86</v>
      </c>
      <c r="C5">
        <v>14</v>
      </c>
      <c r="D5">
        <v>29</v>
      </c>
      <c r="E5">
        <v>71</v>
      </c>
      <c r="G5">
        <v>92</v>
      </c>
      <c r="H5">
        <v>8</v>
      </c>
      <c r="I5">
        <v>12</v>
      </c>
      <c r="J5">
        <v>88</v>
      </c>
      <c r="L5">
        <v>72</v>
      </c>
      <c r="M5">
        <v>28</v>
      </c>
      <c r="N5">
        <v>47</v>
      </c>
      <c r="O5">
        <v>53</v>
      </c>
      <c r="Q5">
        <f t="shared" ref="Q5:Q13" si="0">AVERAGE(C5:D5)</f>
        <v>21.5</v>
      </c>
      <c r="R5">
        <f t="shared" ref="R5:R13" si="1">AVERAGE(H5:I5)</f>
        <v>10</v>
      </c>
      <c r="S5">
        <f t="shared" ref="S5:S13" si="2">AVERAGE(M5:N5)</f>
        <v>37.5</v>
      </c>
      <c r="T5">
        <f t="shared" ref="T5:T13" si="3">AVERAGE(Q5:S5)</f>
        <v>23</v>
      </c>
      <c r="AC5">
        <f t="shared" ref="AC5:AC13" si="4">MIN(Q5:S5)</f>
        <v>10</v>
      </c>
      <c r="AD5">
        <f t="shared" ref="AD5:AD13" si="5">T5-AC5</f>
        <v>13</v>
      </c>
    </row>
    <row r="6" spans="1:32" x14ac:dyDescent="0.3">
      <c r="B6">
        <v>81</v>
      </c>
      <c r="C6">
        <v>19</v>
      </c>
      <c r="D6">
        <v>29</v>
      </c>
      <c r="E6">
        <v>71</v>
      </c>
      <c r="G6">
        <v>83</v>
      </c>
      <c r="H6">
        <v>17</v>
      </c>
      <c r="I6">
        <v>10</v>
      </c>
      <c r="J6">
        <v>90</v>
      </c>
      <c r="L6">
        <v>79</v>
      </c>
      <c r="M6">
        <v>21</v>
      </c>
      <c r="N6">
        <v>64</v>
      </c>
      <c r="O6">
        <v>36</v>
      </c>
      <c r="Q6">
        <f t="shared" si="0"/>
        <v>24</v>
      </c>
      <c r="R6">
        <f t="shared" si="1"/>
        <v>13.5</v>
      </c>
      <c r="S6">
        <f t="shared" si="2"/>
        <v>42.5</v>
      </c>
      <c r="T6">
        <f t="shared" si="3"/>
        <v>26.666666666666668</v>
      </c>
      <c r="AC6">
        <f t="shared" si="4"/>
        <v>13.5</v>
      </c>
      <c r="AD6">
        <f t="shared" si="5"/>
        <v>13.166666666666668</v>
      </c>
    </row>
    <row r="7" spans="1:32" x14ac:dyDescent="0.3">
      <c r="B7">
        <v>69</v>
      </c>
      <c r="C7">
        <v>31</v>
      </c>
      <c r="D7">
        <v>29</v>
      </c>
      <c r="E7">
        <v>71</v>
      </c>
      <c r="G7">
        <v>84</v>
      </c>
      <c r="H7">
        <v>16</v>
      </c>
      <c r="I7">
        <v>9</v>
      </c>
      <c r="J7">
        <v>91</v>
      </c>
      <c r="L7">
        <v>67</v>
      </c>
      <c r="M7">
        <v>33</v>
      </c>
      <c r="N7">
        <v>31</v>
      </c>
      <c r="O7">
        <v>69</v>
      </c>
      <c r="Q7">
        <f t="shared" si="0"/>
        <v>30</v>
      </c>
      <c r="R7">
        <f t="shared" si="1"/>
        <v>12.5</v>
      </c>
      <c r="S7">
        <f t="shared" si="2"/>
        <v>32</v>
      </c>
      <c r="T7">
        <f t="shared" si="3"/>
        <v>24.833333333333332</v>
      </c>
      <c r="AC7">
        <f t="shared" si="4"/>
        <v>12.5</v>
      </c>
      <c r="AD7">
        <f t="shared" si="5"/>
        <v>12.333333333333332</v>
      </c>
    </row>
    <row r="8" spans="1:32" x14ac:dyDescent="0.3">
      <c r="B8">
        <v>75</v>
      </c>
      <c r="C8">
        <v>25</v>
      </c>
      <c r="D8">
        <v>26</v>
      </c>
      <c r="E8">
        <v>74</v>
      </c>
      <c r="G8">
        <v>82</v>
      </c>
      <c r="H8">
        <v>18</v>
      </c>
      <c r="I8">
        <v>9</v>
      </c>
      <c r="J8">
        <v>91</v>
      </c>
      <c r="L8">
        <v>76</v>
      </c>
      <c r="M8">
        <v>24</v>
      </c>
      <c r="N8">
        <v>45</v>
      </c>
      <c r="O8">
        <v>55</v>
      </c>
      <c r="Q8">
        <f t="shared" si="0"/>
        <v>25.5</v>
      </c>
      <c r="R8">
        <f t="shared" si="1"/>
        <v>13.5</v>
      </c>
      <c r="S8">
        <f t="shared" si="2"/>
        <v>34.5</v>
      </c>
      <c r="T8">
        <f t="shared" si="3"/>
        <v>24.5</v>
      </c>
      <c r="AC8">
        <f t="shared" si="4"/>
        <v>13.5</v>
      </c>
      <c r="AD8">
        <f t="shared" si="5"/>
        <v>11</v>
      </c>
    </row>
    <row r="9" spans="1:32" x14ac:dyDescent="0.3">
      <c r="B9">
        <v>79</v>
      </c>
      <c r="C9">
        <v>21</v>
      </c>
      <c r="D9">
        <v>21</v>
      </c>
      <c r="E9">
        <v>79</v>
      </c>
      <c r="G9">
        <v>74</v>
      </c>
      <c r="H9">
        <v>26</v>
      </c>
      <c r="I9">
        <v>4</v>
      </c>
      <c r="J9">
        <v>96</v>
      </c>
      <c r="L9">
        <v>77</v>
      </c>
      <c r="M9">
        <v>23</v>
      </c>
      <c r="N9">
        <v>40</v>
      </c>
      <c r="O9">
        <v>60</v>
      </c>
      <c r="Q9">
        <f t="shared" si="0"/>
        <v>21</v>
      </c>
      <c r="R9">
        <f t="shared" si="1"/>
        <v>15</v>
      </c>
      <c r="S9">
        <f t="shared" si="2"/>
        <v>31.5</v>
      </c>
      <c r="T9">
        <f t="shared" si="3"/>
        <v>22.5</v>
      </c>
      <c r="AC9">
        <f t="shared" si="4"/>
        <v>15</v>
      </c>
      <c r="AD9">
        <f t="shared" si="5"/>
        <v>7.5</v>
      </c>
    </row>
    <row r="10" spans="1:32" x14ac:dyDescent="0.3">
      <c r="B10">
        <v>86</v>
      </c>
      <c r="C10">
        <v>14</v>
      </c>
      <c r="D10">
        <v>33</v>
      </c>
      <c r="E10">
        <v>67</v>
      </c>
      <c r="G10">
        <v>88</v>
      </c>
      <c r="H10">
        <v>12</v>
      </c>
      <c r="I10">
        <v>9</v>
      </c>
      <c r="J10">
        <v>91</v>
      </c>
      <c r="L10">
        <v>88</v>
      </c>
      <c r="M10">
        <v>12</v>
      </c>
      <c r="N10">
        <v>53</v>
      </c>
      <c r="O10">
        <v>47</v>
      </c>
      <c r="Q10">
        <f t="shared" si="0"/>
        <v>23.5</v>
      </c>
      <c r="R10">
        <f t="shared" si="1"/>
        <v>10.5</v>
      </c>
      <c r="S10">
        <f t="shared" si="2"/>
        <v>32.5</v>
      </c>
      <c r="T10">
        <f t="shared" si="3"/>
        <v>22.166666666666668</v>
      </c>
      <c r="AC10">
        <f t="shared" si="4"/>
        <v>10.5</v>
      </c>
      <c r="AD10">
        <f t="shared" si="5"/>
        <v>11.666666666666668</v>
      </c>
    </row>
    <row r="11" spans="1:32" x14ac:dyDescent="0.3">
      <c r="B11">
        <v>69</v>
      </c>
      <c r="C11">
        <v>31</v>
      </c>
      <c r="D11">
        <v>33</v>
      </c>
      <c r="E11">
        <v>67</v>
      </c>
      <c r="G11">
        <v>78</v>
      </c>
      <c r="H11">
        <v>22</v>
      </c>
      <c r="I11">
        <v>10</v>
      </c>
      <c r="J11">
        <v>90</v>
      </c>
      <c r="L11">
        <v>74</v>
      </c>
      <c r="M11">
        <v>26</v>
      </c>
      <c r="N11">
        <v>45</v>
      </c>
      <c r="O11">
        <v>55</v>
      </c>
      <c r="Q11">
        <f t="shared" si="0"/>
        <v>32</v>
      </c>
      <c r="R11">
        <f t="shared" si="1"/>
        <v>16</v>
      </c>
      <c r="S11">
        <f t="shared" si="2"/>
        <v>35.5</v>
      </c>
      <c r="T11">
        <f t="shared" si="3"/>
        <v>27.833333333333332</v>
      </c>
      <c r="AC11">
        <f t="shared" si="4"/>
        <v>16</v>
      </c>
      <c r="AD11">
        <f t="shared" si="5"/>
        <v>11.833333333333332</v>
      </c>
    </row>
    <row r="12" spans="1:32" x14ac:dyDescent="0.3">
      <c r="B12">
        <v>73</v>
      </c>
      <c r="C12">
        <v>27</v>
      </c>
      <c r="D12">
        <v>24</v>
      </c>
      <c r="E12">
        <v>76</v>
      </c>
      <c r="G12">
        <v>86</v>
      </c>
      <c r="H12">
        <v>14</v>
      </c>
      <c r="I12">
        <v>9</v>
      </c>
      <c r="J12">
        <v>91</v>
      </c>
      <c r="L12">
        <v>77</v>
      </c>
      <c r="M12">
        <v>23</v>
      </c>
      <c r="N12">
        <v>44</v>
      </c>
      <c r="O12">
        <v>56</v>
      </c>
      <c r="Q12">
        <f t="shared" si="0"/>
        <v>25.5</v>
      </c>
      <c r="R12">
        <f t="shared" si="1"/>
        <v>11.5</v>
      </c>
      <c r="S12">
        <f t="shared" si="2"/>
        <v>33.5</v>
      </c>
      <c r="T12">
        <f t="shared" si="3"/>
        <v>23.5</v>
      </c>
      <c r="AC12">
        <f t="shared" si="4"/>
        <v>11.5</v>
      </c>
      <c r="AD12">
        <f t="shared" si="5"/>
        <v>12</v>
      </c>
    </row>
    <row r="13" spans="1:32" x14ac:dyDescent="0.3">
      <c r="B13">
        <v>74</v>
      </c>
      <c r="C13">
        <v>26</v>
      </c>
      <c r="D13">
        <v>32</v>
      </c>
      <c r="E13">
        <v>68</v>
      </c>
      <c r="G13">
        <v>85</v>
      </c>
      <c r="H13">
        <v>15</v>
      </c>
      <c r="I13">
        <v>12</v>
      </c>
      <c r="J13">
        <v>88</v>
      </c>
      <c r="L13">
        <v>80</v>
      </c>
      <c r="M13">
        <v>20</v>
      </c>
      <c r="N13">
        <v>45</v>
      </c>
      <c r="O13">
        <v>55</v>
      </c>
      <c r="Q13">
        <f t="shared" si="0"/>
        <v>29</v>
      </c>
      <c r="R13">
        <f t="shared" si="1"/>
        <v>13.5</v>
      </c>
      <c r="S13">
        <f t="shared" si="2"/>
        <v>32.5</v>
      </c>
      <c r="T13">
        <f t="shared" si="3"/>
        <v>25</v>
      </c>
      <c r="AC13">
        <f t="shared" si="4"/>
        <v>13.5</v>
      </c>
      <c r="AD13">
        <f t="shared" si="5"/>
        <v>11.5</v>
      </c>
    </row>
    <row r="15" spans="1:32" x14ac:dyDescent="0.3">
      <c r="A15" t="s">
        <v>23</v>
      </c>
    </row>
    <row r="16" spans="1:32" x14ac:dyDescent="0.3">
      <c r="B16">
        <v>80</v>
      </c>
      <c r="C16">
        <v>20</v>
      </c>
      <c r="D16">
        <v>25</v>
      </c>
      <c r="E16">
        <v>75</v>
      </c>
      <c r="G16">
        <v>85</v>
      </c>
      <c r="H16">
        <v>15</v>
      </c>
      <c r="I16">
        <v>8</v>
      </c>
      <c r="J16">
        <v>92</v>
      </c>
      <c r="L16">
        <v>78</v>
      </c>
      <c r="M16">
        <v>22</v>
      </c>
      <c r="N16">
        <v>56</v>
      </c>
      <c r="O16">
        <v>44</v>
      </c>
      <c r="Q16">
        <f t="shared" ref="Q16:Q19" si="6">AVERAGE(C16:D16)</f>
        <v>22.5</v>
      </c>
      <c r="R16">
        <f t="shared" ref="R16:R19" si="7">AVERAGE(H16:I16)</f>
        <v>11.5</v>
      </c>
      <c r="S16">
        <f t="shared" ref="S16:S19" si="8">AVERAGE(M16:N16)</f>
        <v>39</v>
      </c>
      <c r="T16">
        <f t="shared" ref="T16:T19" si="9">AVERAGE(Q16:S16)</f>
        <v>24.333333333333332</v>
      </c>
      <c r="U16">
        <f>AVERAGE(Q16:Q38)</f>
        <v>24.1875</v>
      </c>
      <c r="V16">
        <f>_xlfn.STDEV.S(Q16:Q38)</f>
        <v>4.659379940353805</v>
      </c>
      <c r="W16">
        <f>AVERAGE(R16:R38)</f>
        <v>11</v>
      </c>
      <c r="X16">
        <f>_xlfn.STDEV.S(R16:R38)</f>
        <v>1.7928429140015905</v>
      </c>
      <c r="Y16">
        <f>AVERAGE(S16:S38)</f>
        <v>35.5625</v>
      </c>
      <c r="Z16">
        <f>_xlfn.STDEV.S(S16:S38)</f>
        <v>2.5972169170644399</v>
      </c>
      <c r="AA16">
        <f>AVERAGE(T16:T38)</f>
        <v>23.583333333333336</v>
      </c>
      <c r="AB16">
        <f>_xlfn.STDEV.S(T16:T38)</f>
        <v>2.2660363269199006</v>
      </c>
      <c r="AC16">
        <f t="shared" ref="AC16:AC19" si="10">MIN(Q16:S16)</f>
        <v>11.5</v>
      </c>
      <c r="AD16">
        <f t="shared" ref="AD16:AD19" si="11">T16-AC16</f>
        <v>12.833333333333332</v>
      </c>
      <c r="AE16">
        <f>AVERAGE(AD16:AD38)</f>
        <v>12.583333333333332</v>
      </c>
      <c r="AF16">
        <f>_xlfn.STDEV.S(AD16:AD38)</f>
        <v>1.8494958558036669</v>
      </c>
    </row>
    <row r="17" spans="2:30" x14ac:dyDescent="0.3">
      <c r="B17">
        <v>88</v>
      </c>
      <c r="C17">
        <v>12</v>
      </c>
      <c r="D17">
        <v>53</v>
      </c>
      <c r="E17">
        <v>47</v>
      </c>
      <c r="G17">
        <v>91</v>
      </c>
      <c r="H17">
        <v>9</v>
      </c>
      <c r="I17">
        <v>13</v>
      </c>
      <c r="J17">
        <v>87</v>
      </c>
      <c r="L17">
        <v>95</v>
      </c>
      <c r="M17">
        <v>5</v>
      </c>
      <c r="N17">
        <v>68</v>
      </c>
      <c r="O17">
        <v>32</v>
      </c>
      <c r="Q17">
        <f t="shared" si="6"/>
        <v>32.5</v>
      </c>
      <c r="R17">
        <f t="shared" si="7"/>
        <v>11</v>
      </c>
      <c r="S17">
        <f t="shared" si="8"/>
        <v>36.5</v>
      </c>
      <c r="T17">
        <f t="shared" si="9"/>
        <v>26.666666666666668</v>
      </c>
      <c r="AC17">
        <f t="shared" si="10"/>
        <v>11</v>
      </c>
      <c r="AD17">
        <f t="shared" si="11"/>
        <v>15.666666666666668</v>
      </c>
    </row>
    <row r="18" spans="2:30" x14ac:dyDescent="0.3">
      <c r="B18">
        <v>97</v>
      </c>
      <c r="C18">
        <v>3</v>
      </c>
      <c r="D18">
        <v>41</v>
      </c>
      <c r="E18">
        <v>59</v>
      </c>
      <c r="G18">
        <v>84</v>
      </c>
      <c r="H18">
        <v>16</v>
      </c>
      <c r="I18">
        <v>10</v>
      </c>
      <c r="J18">
        <v>90</v>
      </c>
      <c r="L18">
        <v>85</v>
      </c>
      <c r="M18">
        <v>15</v>
      </c>
      <c r="N18">
        <v>56</v>
      </c>
      <c r="O18">
        <v>44</v>
      </c>
      <c r="Q18">
        <f t="shared" si="6"/>
        <v>22</v>
      </c>
      <c r="R18">
        <f t="shared" si="7"/>
        <v>13</v>
      </c>
      <c r="S18">
        <f t="shared" si="8"/>
        <v>35.5</v>
      </c>
      <c r="T18">
        <f t="shared" si="9"/>
        <v>23.5</v>
      </c>
      <c r="AC18">
        <f t="shared" si="10"/>
        <v>13</v>
      </c>
      <c r="AD18">
        <f t="shared" si="11"/>
        <v>10.5</v>
      </c>
    </row>
    <row r="19" spans="2:30" x14ac:dyDescent="0.3">
      <c r="B19">
        <v>83</v>
      </c>
      <c r="C19">
        <v>17</v>
      </c>
      <c r="D19">
        <v>30</v>
      </c>
      <c r="E19">
        <v>70</v>
      </c>
      <c r="G19">
        <v>89</v>
      </c>
      <c r="H19">
        <v>11</v>
      </c>
      <c r="I19">
        <v>5</v>
      </c>
      <c r="J19">
        <v>95</v>
      </c>
      <c r="L19">
        <v>79</v>
      </c>
      <c r="M19">
        <v>21</v>
      </c>
      <c r="N19">
        <v>43</v>
      </c>
      <c r="O19">
        <v>57</v>
      </c>
      <c r="Q19">
        <f t="shared" si="6"/>
        <v>23.5</v>
      </c>
      <c r="R19">
        <f t="shared" si="7"/>
        <v>8</v>
      </c>
      <c r="S19">
        <f t="shared" si="8"/>
        <v>32</v>
      </c>
      <c r="T19">
        <f t="shared" si="9"/>
        <v>21.166666666666668</v>
      </c>
      <c r="AC19">
        <f t="shared" si="10"/>
        <v>8</v>
      </c>
      <c r="AD19">
        <f t="shared" si="11"/>
        <v>13.166666666666668</v>
      </c>
    </row>
    <row r="34" spans="1:32" x14ac:dyDescent="0.3">
      <c r="A34" t="s">
        <v>71</v>
      </c>
    </row>
    <row r="35" spans="1:32" x14ac:dyDescent="0.3">
      <c r="B35">
        <v>84</v>
      </c>
      <c r="C35">
        <v>16</v>
      </c>
      <c r="D35">
        <v>42</v>
      </c>
      <c r="E35">
        <v>58</v>
      </c>
      <c r="G35">
        <v>91</v>
      </c>
      <c r="H35">
        <v>9</v>
      </c>
      <c r="I35">
        <v>15</v>
      </c>
      <c r="J35">
        <v>85</v>
      </c>
      <c r="L35">
        <v>91</v>
      </c>
      <c r="M35">
        <v>9</v>
      </c>
      <c r="N35">
        <v>67</v>
      </c>
      <c r="O35">
        <v>33</v>
      </c>
      <c r="Q35">
        <f>AVERAGE(C35:D35)</f>
        <v>29</v>
      </c>
      <c r="R35">
        <f>AVERAGE(H35:I35)</f>
        <v>12</v>
      </c>
      <c r="S35">
        <f>AVERAGE(M35:N35)</f>
        <v>38</v>
      </c>
      <c r="T35">
        <f>AVERAGE(Q35:S35)</f>
        <v>26.333333333333332</v>
      </c>
      <c r="U35">
        <f>AVERAGE(Q35:Q57)</f>
        <v>23.25</v>
      </c>
      <c r="V35">
        <f>_xlfn.STDEV.S(Q35:Q57)</f>
        <v>4.8733971724044816</v>
      </c>
      <c r="W35">
        <f>AVERAGE(R35:R57)</f>
        <v>11.125</v>
      </c>
      <c r="X35">
        <f>_xlfn.STDEV.S(R35:R57)</f>
        <v>1.75</v>
      </c>
      <c r="Y35">
        <f>AVERAGE(S35:S57)</f>
        <v>35.375</v>
      </c>
      <c r="Z35">
        <f>_xlfn.STDEV.S(S35:S57)</f>
        <v>2.6887109674836132</v>
      </c>
      <c r="AA35">
        <f>AVERAGE(T35:T57)</f>
        <v>23.249999999999996</v>
      </c>
      <c r="AB35">
        <f>_xlfn.STDEV.S(T35:T57)</f>
        <v>2.5549516194593154</v>
      </c>
      <c r="AC35">
        <f>MIN(Q35:S35)</f>
        <v>12</v>
      </c>
      <c r="AD35">
        <f>T35-AC35</f>
        <v>14.333333333333332</v>
      </c>
      <c r="AE35">
        <f>AVERAGE(AD35:AD57)</f>
        <v>12.125</v>
      </c>
      <c r="AF35">
        <f>_xlfn.STDEV.S(AD35:AD57)</f>
        <v>1.7179606773406884</v>
      </c>
    </row>
    <row r="36" spans="1:32" x14ac:dyDescent="0.3">
      <c r="B36">
        <v>88</v>
      </c>
      <c r="C36">
        <v>12</v>
      </c>
      <c r="D36">
        <v>28</v>
      </c>
      <c r="E36">
        <v>72</v>
      </c>
      <c r="G36">
        <v>89</v>
      </c>
      <c r="H36">
        <v>11</v>
      </c>
      <c r="I36">
        <v>10</v>
      </c>
      <c r="J36">
        <v>90</v>
      </c>
      <c r="L36">
        <v>82</v>
      </c>
      <c r="M36">
        <v>18</v>
      </c>
      <c r="N36">
        <v>46</v>
      </c>
      <c r="O36">
        <v>54</v>
      </c>
      <c r="Q36">
        <f>AVERAGE(C36:D36)</f>
        <v>20</v>
      </c>
      <c r="R36">
        <f>AVERAGE(H36:I36)</f>
        <v>10.5</v>
      </c>
      <c r="S36">
        <f>AVERAGE(M36:N36)</f>
        <v>32</v>
      </c>
      <c r="T36">
        <f>AVERAGE(Q36:S36)</f>
        <v>20.833333333333332</v>
      </c>
      <c r="AC36">
        <f>MIN(Q36:S36)</f>
        <v>10.5</v>
      </c>
      <c r="AD36">
        <f>T36-AC36</f>
        <v>10.333333333333332</v>
      </c>
    </row>
    <row r="37" spans="1:32" x14ac:dyDescent="0.3">
      <c r="B37">
        <v>90</v>
      </c>
      <c r="C37">
        <v>10</v>
      </c>
      <c r="D37">
        <v>27</v>
      </c>
      <c r="E37">
        <v>73</v>
      </c>
      <c r="G37">
        <v>89</v>
      </c>
      <c r="H37">
        <v>11</v>
      </c>
      <c r="I37">
        <v>7</v>
      </c>
      <c r="J37">
        <v>93</v>
      </c>
      <c r="L37">
        <v>82</v>
      </c>
      <c r="M37">
        <v>18</v>
      </c>
      <c r="N37">
        <v>56</v>
      </c>
      <c r="O37">
        <v>44</v>
      </c>
      <c r="Q37">
        <f>AVERAGE(C37:D37)</f>
        <v>18.5</v>
      </c>
      <c r="R37">
        <f>AVERAGE(H37:I37)</f>
        <v>9</v>
      </c>
      <c r="S37">
        <f>AVERAGE(M37:N37)</f>
        <v>37</v>
      </c>
      <c r="T37">
        <f>AVERAGE(Q37:S37)</f>
        <v>21.5</v>
      </c>
      <c r="AC37">
        <f>MIN(Q37:S37)</f>
        <v>9</v>
      </c>
      <c r="AD37">
        <f>T37-AC37</f>
        <v>12.5</v>
      </c>
    </row>
    <row r="38" spans="1:32" x14ac:dyDescent="0.3">
      <c r="B38">
        <v>69</v>
      </c>
      <c r="C38">
        <v>31</v>
      </c>
      <c r="D38">
        <v>20</v>
      </c>
      <c r="E38">
        <v>80</v>
      </c>
      <c r="G38">
        <v>82</v>
      </c>
      <c r="H38">
        <v>18</v>
      </c>
      <c r="I38">
        <v>8</v>
      </c>
      <c r="J38">
        <v>92</v>
      </c>
      <c r="L38">
        <v>73</v>
      </c>
      <c r="M38">
        <v>27</v>
      </c>
      <c r="N38">
        <v>42</v>
      </c>
      <c r="O38">
        <v>58</v>
      </c>
      <c r="Q38">
        <f>AVERAGE(C38:D38)</f>
        <v>25.5</v>
      </c>
      <c r="R38">
        <f>AVERAGE(H38:I38)</f>
        <v>13</v>
      </c>
      <c r="S38">
        <f>AVERAGE(M38:N38)</f>
        <v>34.5</v>
      </c>
      <c r="T38">
        <f>AVERAGE(Q38:S38)</f>
        <v>24.333333333333332</v>
      </c>
      <c r="AC38">
        <f>MIN(Q38:S38)</f>
        <v>13</v>
      </c>
      <c r="AD38">
        <f>T38-AC38</f>
        <v>11.333333333333332</v>
      </c>
    </row>
  </sheetData>
  <pageMargins left="0.7" right="0.7" top="0.75" bottom="0.75" header="0.3" footer="0.3"/>
  <pageSetup paperSize="9" orientation="portrait" r:id="rId1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366D673-4552-407C-AD95-3B60150A1024}">
  <dimension ref="A2:AF12"/>
  <sheetViews>
    <sheetView topLeftCell="M1" workbookViewId="0">
      <selection activeCell="AF11" activeCellId="2" sqref="U11:AB11 AE11 AF11"/>
    </sheetView>
  </sheetViews>
  <sheetFormatPr defaultRowHeight="14.4" x14ac:dyDescent="0.3"/>
  <sheetData>
    <row r="2" spans="1:32" x14ac:dyDescent="0.3">
      <c r="A2" t="s">
        <v>51</v>
      </c>
      <c r="Q2" t="s">
        <v>13</v>
      </c>
      <c r="R2" t="s">
        <v>14</v>
      </c>
      <c r="S2" t="s">
        <v>15</v>
      </c>
      <c r="T2" t="s">
        <v>17</v>
      </c>
      <c r="U2" t="s">
        <v>52</v>
      </c>
      <c r="V2" t="s">
        <v>45</v>
      </c>
      <c r="W2" t="s">
        <v>53</v>
      </c>
      <c r="X2" t="s">
        <v>46</v>
      </c>
      <c r="Y2" t="s">
        <v>54</v>
      </c>
      <c r="Z2" t="s">
        <v>47</v>
      </c>
      <c r="AA2" t="s">
        <v>1</v>
      </c>
      <c r="AB2" t="s">
        <v>18</v>
      </c>
      <c r="AC2" t="s">
        <v>19</v>
      </c>
      <c r="AD2" t="s">
        <v>16</v>
      </c>
      <c r="AE2" t="s">
        <v>20</v>
      </c>
      <c r="AF2" t="s">
        <v>21</v>
      </c>
    </row>
    <row r="3" spans="1:32" x14ac:dyDescent="0.3">
      <c r="A3" t="s">
        <v>24</v>
      </c>
      <c r="F3" t="s">
        <v>63</v>
      </c>
      <c r="K3" t="s">
        <v>26</v>
      </c>
    </row>
    <row r="4" spans="1:32" x14ac:dyDescent="0.3">
      <c r="B4">
        <v>83</v>
      </c>
      <c r="C4">
        <v>17</v>
      </c>
      <c r="D4">
        <v>26</v>
      </c>
      <c r="E4">
        <v>74</v>
      </c>
      <c r="G4">
        <v>84</v>
      </c>
      <c r="H4">
        <v>16</v>
      </c>
      <c r="I4">
        <v>11</v>
      </c>
      <c r="J4">
        <v>89</v>
      </c>
      <c r="L4">
        <v>63</v>
      </c>
      <c r="M4">
        <v>37</v>
      </c>
      <c r="N4">
        <v>34</v>
      </c>
      <c r="O4">
        <v>66</v>
      </c>
      <c r="Q4">
        <f>AVERAGE(C4:D4)</f>
        <v>21.5</v>
      </c>
      <c r="R4">
        <f>AVERAGE(H4:I4)</f>
        <v>13.5</v>
      </c>
      <c r="S4">
        <f>AVERAGE(M4:N4)</f>
        <v>35.5</v>
      </c>
      <c r="T4">
        <f>AVERAGE(Q4:S4)</f>
        <v>23.5</v>
      </c>
      <c r="U4">
        <f>AVERAGE(Q4:Q8)</f>
        <v>21.5</v>
      </c>
      <c r="V4">
        <f>_xlfn.STDEV.S(Q4:Q8)</f>
        <v>2.6925824035672519</v>
      </c>
      <c r="W4">
        <f>AVERAGE(R4:R8)</f>
        <v>13.7</v>
      </c>
      <c r="X4">
        <f>_xlfn.STDEV.S(R4:R8)</f>
        <v>0.83666002653407556</v>
      </c>
      <c r="Y4">
        <f>AVERAGE(S4:S8)</f>
        <v>35.4</v>
      </c>
      <c r="Z4">
        <f>_xlfn.STDEV.S(S4:S8)</f>
        <v>4.5607017003965469</v>
      </c>
      <c r="AA4">
        <f>AVERAGE(T4:T8)</f>
        <v>23.533333333333335</v>
      </c>
      <c r="AB4">
        <f>_xlfn.STDEV.S(T4:T8)</f>
        <v>2.4163792932585908</v>
      </c>
      <c r="AC4">
        <f>MIN(Q4:S4)</f>
        <v>13.5</v>
      </c>
      <c r="AD4">
        <f>T4-AC4</f>
        <v>10</v>
      </c>
      <c r="AE4">
        <f>AVERAGE(AD4:AD8)</f>
        <v>9.8333333333333339</v>
      </c>
      <c r="AF4">
        <f>_xlfn.STDEV.S(AD4:AD8)</f>
        <v>2.0241596335818479</v>
      </c>
    </row>
    <row r="5" spans="1:32" x14ac:dyDescent="0.3">
      <c r="B5">
        <v>91</v>
      </c>
      <c r="C5">
        <v>9</v>
      </c>
      <c r="D5">
        <v>25</v>
      </c>
      <c r="E5">
        <v>75</v>
      </c>
      <c r="G5">
        <v>89</v>
      </c>
      <c r="H5">
        <v>11</v>
      </c>
      <c r="I5">
        <v>15</v>
      </c>
      <c r="J5">
        <v>85</v>
      </c>
      <c r="L5">
        <v>70</v>
      </c>
      <c r="M5">
        <v>30</v>
      </c>
      <c r="N5">
        <v>31</v>
      </c>
      <c r="O5">
        <v>69</v>
      </c>
      <c r="Q5">
        <f t="shared" ref="Q5:Q8" si="0">AVERAGE(C5:D5)</f>
        <v>17</v>
      </c>
      <c r="R5">
        <f t="shared" ref="R5:R8" si="1">AVERAGE(H5:I5)</f>
        <v>13</v>
      </c>
      <c r="S5">
        <f t="shared" ref="S5:S8" si="2">AVERAGE(M5:N5)</f>
        <v>30.5</v>
      </c>
      <c r="T5">
        <f t="shared" ref="T5:T8" si="3">AVERAGE(Q5:S5)</f>
        <v>20.166666666666668</v>
      </c>
      <c r="AC5">
        <f t="shared" ref="AC5:AC8" si="4">MIN(Q5:S5)</f>
        <v>13</v>
      </c>
      <c r="AD5">
        <f t="shared" ref="AD5:AD8" si="5">T5-AC5</f>
        <v>7.1666666666666679</v>
      </c>
    </row>
    <row r="6" spans="1:32" x14ac:dyDescent="0.3">
      <c r="B6">
        <v>80</v>
      </c>
      <c r="C6">
        <v>20</v>
      </c>
      <c r="D6">
        <v>24</v>
      </c>
      <c r="E6">
        <v>76</v>
      </c>
      <c r="G6">
        <v>82</v>
      </c>
      <c r="H6">
        <v>18</v>
      </c>
      <c r="I6">
        <v>10</v>
      </c>
      <c r="J6">
        <v>90</v>
      </c>
      <c r="L6">
        <v>74</v>
      </c>
      <c r="M6">
        <v>26</v>
      </c>
      <c r="N6">
        <v>37</v>
      </c>
      <c r="O6">
        <v>63</v>
      </c>
      <c r="Q6">
        <f t="shared" si="0"/>
        <v>22</v>
      </c>
      <c r="R6">
        <f t="shared" si="1"/>
        <v>14</v>
      </c>
      <c r="S6">
        <f t="shared" si="2"/>
        <v>31.5</v>
      </c>
      <c r="T6">
        <f t="shared" si="3"/>
        <v>22.5</v>
      </c>
      <c r="AC6">
        <f t="shared" si="4"/>
        <v>14</v>
      </c>
      <c r="AD6">
        <f t="shared" si="5"/>
        <v>8.5</v>
      </c>
    </row>
    <row r="7" spans="1:32" x14ac:dyDescent="0.3">
      <c r="B7">
        <v>80</v>
      </c>
      <c r="C7">
        <v>20</v>
      </c>
      <c r="D7">
        <v>26</v>
      </c>
      <c r="E7">
        <v>74</v>
      </c>
      <c r="G7">
        <v>83</v>
      </c>
      <c r="H7">
        <v>17</v>
      </c>
      <c r="I7">
        <v>13</v>
      </c>
      <c r="J7">
        <v>87</v>
      </c>
      <c r="L7">
        <v>62</v>
      </c>
      <c r="M7">
        <v>38</v>
      </c>
      <c r="N7">
        <v>45</v>
      </c>
      <c r="O7">
        <v>55</v>
      </c>
      <c r="Q7">
        <f t="shared" si="0"/>
        <v>23</v>
      </c>
      <c r="R7">
        <f t="shared" si="1"/>
        <v>15</v>
      </c>
      <c r="S7">
        <f t="shared" si="2"/>
        <v>41.5</v>
      </c>
      <c r="T7">
        <f t="shared" si="3"/>
        <v>26.5</v>
      </c>
      <c r="AC7">
        <f t="shared" si="4"/>
        <v>15</v>
      </c>
      <c r="AD7">
        <f t="shared" si="5"/>
        <v>11.5</v>
      </c>
    </row>
    <row r="8" spans="1:32" x14ac:dyDescent="0.3">
      <c r="B8">
        <v>86</v>
      </c>
      <c r="C8">
        <v>14</v>
      </c>
      <c r="D8">
        <v>34</v>
      </c>
      <c r="E8">
        <v>66</v>
      </c>
      <c r="G8">
        <v>89</v>
      </c>
      <c r="H8">
        <v>11</v>
      </c>
      <c r="I8">
        <v>15</v>
      </c>
      <c r="J8">
        <v>85</v>
      </c>
      <c r="L8">
        <v>74</v>
      </c>
      <c r="M8">
        <v>26</v>
      </c>
      <c r="N8">
        <v>50</v>
      </c>
      <c r="O8">
        <v>50</v>
      </c>
      <c r="Q8">
        <f t="shared" si="0"/>
        <v>24</v>
      </c>
      <c r="R8">
        <f t="shared" si="1"/>
        <v>13</v>
      </c>
      <c r="S8">
        <f t="shared" si="2"/>
        <v>38</v>
      </c>
      <c r="T8">
        <f t="shared" si="3"/>
        <v>25</v>
      </c>
      <c r="AC8">
        <f t="shared" si="4"/>
        <v>13</v>
      </c>
      <c r="AD8">
        <f t="shared" si="5"/>
        <v>12</v>
      </c>
    </row>
    <row r="10" spans="1:32" x14ac:dyDescent="0.3">
      <c r="A10" t="s">
        <v>70</v>
      </c>
    </row>
    <row r="11" spans="1:32" x14ac:dyDescent="0.3">
      <c r="B11">
        <v>87</v>
      </c>
      <c r="C11">
        <v>13</v>
      </c>
      <c r="D11">
        <v>30</v>
      </c>
      <c r="E11">
        <v>70</v>
      </c>
      <c r="G11">
        <v>94</v>
      </c>
      <c r="H11">
        <v>6</v>
      </c>
      <c r="I11">
        <v>19</v>
      </c>
      <c r="J11">
        <v>81</v>
      </c>
      <c r="L11">
        <v>74</v>
      </c>
      <c r="M11">
        <v>26</v>
      </c>
      <c r="N11">
        <v>35</v>
      </c>
      <c r="O11">
        <v>65</v>
      </c>
      <c r="Q11">
        <f t="shared" ref="Q11:Q12" si="6">AVERAGE(C11:D11)</f>
        <v>21.5</v>
      </c>
      <c r="R11">
        <f t="shared" ref="R11:R12" si="7">AVERAGE(H11:I11)</f>
        <v>12.5</v>
      </c>
      <c r="S11">
        <f t="shared" ref="S11:S12" si="8">AVERAGE(M11:N11)</f>
        <v>30.5</v>
      </c>
      <c r="T11">
        <f t="shared" ref="T11:T12" si="9">AVERAGE(Q11:S11)</f>
        <v>21.5</v>
      </c>
      <c r="U11">
        <f>AVERAGE(Q11:Q15)</f>
        <v>23.25</v>
      </c>
      <c r="V11">
        <f>_xlfn.STDEV.S(Q11:Q15)</f>
        <v>2.4748737341529163</v>
      </c>
      <c r="W11">
        <f>AVERAGE(R11:R15)</f>
        <v>12.5</v>
      </c>
      <c r="X11">
        <f>_xlfn.STDEV.S(R11:R15)</f>
        <v>0</v>
      </c>
      <c r="Y11">
        <f>AVERAGE(S11:S15)</f>
        <v>30.5</v>
      </c>
      <c r="Z11">
        <f>_xlfn.STDEV.S(S11:S15)</f>
        <v>0</v>
      </c>
      <c r="AA11">
        <f>AVERAGE(T11:T15)</f>
        <v>22.083333333333336</v>
      </c>
      <c r="AB11">
        <f>_xlfn.STDEV.S(T11:T15)</f>
        <v>0.8249579113843063</v>
      </c>
      <c r="AC11">
        <f t="shared" ref="AC11:AC12" si="10">MIN(Q11:S11)</f>
        <v>12.5</v>
      </c>
      <c r="AD11">
        <f t="shared" ref="AD11:AD12" si="11">T11-AC11</f>
        <v>9</v>
      </c>
      <c r="AE11">
        <f>AVERAGE(AD11:AD15)</f>
        <v>9.5833333333333339</v>
      </c>
      <c r="AF11">
        <f>_xlfn.STDEV.S(AD11:AD15)</f>
        <v>0.8249579113843063</v>
      </c>
    </row>
    <row r="12" spans="1:32" x14ac:dyDescent="0.3">
      <c r="B12">
        <v>83</v>
      </c>
      <c r="C12">
        <v>17</v>
      </c>
      <c r="D12">
        <v>33</v>
      </c>
      <c r="E12">
        <v>67</v>
      </c>
      <c r="G12">
        <v>92</v>
      </c>
      <c r="H12">
        <v>8</v>
      </c>
      <c r="I12">
        <v>17</v>
      </c>
      <c r="J12">
        <v>83</v>
      </c>
      <c r="L12">
        <v>75</v>
      </c>
      <c r="M12">
        <v>25</v>
      </c>
      <c r="N12">
        <v>36</v>
      </c>
      <c r="O12">
        <v>64</v>
      </c>
      <c r="Q12">
        <f t="shared" si="6"/>
        <v>25</v>
      </c>
      <c r="R12">
        <f t="shared" si="7"/>
        <v>12.5</v>
      </c>
      <c r="S12">
        <f t="shared" si="8"/>
        <v>30.5</v>
      </c>
      <c r="T12">
        <f t="shared" si="9"/>
        <v>22.666666666666668</v>
      </c>
      <c r="AC12">
        <f t="shared" si="10"/>
        <v>12.5</v>
      </c>
      <c r="AD12">
        <f t="shared" si="11"/>
        <v>10.166666666666668</v>
      </c>
    </row>
  </sheetData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843B137-6F6F-47C7-80DB-2FF2B4BCD957}">
  <dimension ref="A2:AF5"/>
  <sheetViews>
    <sheetView workbookViewId="0">
      <selection activeCell="B4" sqref="B4:O5"/>
    </sheetView>
  </sheetViews>
  <sheetFormatPr defaultRowHeight="14.4" x14ac:dyDescent="0.3"/>
  <sheetData>
    <row r="2" spans="1:32" x14ac:dyDescent="0.3">
      <c r="Q2" t="s">
        <v>13</v>
      </c>
      <c r="R2" t="s">
        <v>14</v>
      </c>
      <c r="S2" t="s">
        <v>15</v>
      </c>
      <c r="T2" t="s">
        <v>17</v>
      </c>
      <c r="U2" t="s">
        <v>52</v>
      </c>
      <c r="V2" t="s">
        <v>45</v>
      </c>
      <c r="W2" t="s">
        <v>53</v>
      </c>
      <c r="X2" t="s">
        <v>46</v>
      </c>
      <c r="Y2" t="s">
        <v>54</v>
      </c>
      <c r="Z2" t="s">
        <v>47</v>
      </c>
      <c r="AA2" t="s">
        <v>1</v>
      </c>
      <c r="AB2" t="s">
        <v>18</v>
      </c>
      <c r="AC2" t="s">
        <v>19</v>
      </c>
      <c r="AD2" t="s">
        <v>16</v>
      </c>
      <c r="AE2" t="s">
        <v>20</v>
      </c>
      <c r="AF2" t="s">
        <v>21</v>
      </c>
    </row>
    <row r="3" spans="1:32" x14ac:dyDescent="0.3">
      <c r="A3" t="s">
        <v>24</v>
      </c>
      <c r="F3" t="s">
        <v>63</v>
      </c>
      <c r="K3" t="s">
        <v>26</v>
      </c>
    </row>
    <row r="4" spans="1:32" x14ac:dyDescent="0.3">
      <c r="Q4" t="e">
        <f>AVERAGE(D4,C4)</f>
        <v>#DIV/0!</v>
      </c>
      <c r="R4" t="e">
        <f>AVERAGE(H4,I4)</f>
        <v>#DIV/0!</v>
      </c>
      <c r="S4" t="e">
        <f>AVERAGE(M4,N4)</f>
        <v>#DIV/0!</v>
      </c>
      <c r="T4" t="e">
        <f>AVERAGE(Q4:S4)</f>
        <v>#DIV/0!</v>
      </c>
      <c r="U4" t="e">
        <f>AVERAGE(Q4,Q5)</f>
        <v>#DIV/0!</v>
      </c>
      <c r="V4" t="e">
        <f>_xlfn.STDEV.S(Q4,Q5)</f>
        <v>#DIV/0!</v>
      </c>
      <c r="W4" t="e">
        <f>AVERAGE(R4,R5)</f>
        <v>#DIV/0!</v>
      </c>
      <c r="X4" t="e">
        <f>_xlfn.STDEV.S(R4,R5)</f>
        <v>#DIV/0!</v>
      </c>
      <c r="Y4" t="e">
        <f>AVERAGE(S4,S5)</f>
        <v>#DIV/0!</v>
      </c>
      <c r="Z4" t="e">
        <f>_xlfn.STDEV.S(S4,S5)</f>
        <v>#DIV/0!</v>
      </c>
      <c r="AA4" t="e">
        <f>AVERAGE(T4,T5)</f>
        <v>#DIV/0!</v>
      </c>
      <c r="AB4" t="e">
        <f>_xlfn.STDEV.S(T4,T5)</f>
        <v>#DIV/0!</v>
      </c>
      <c r="AC4" t="e">
        <f>MIN(Q4:S4)</f>
        <v>#DIV/0!</v>
      </c>
      <c r="AD4" t="e">
        <f>(1/3)*(T4-AC4)</f>
        <v>#DIV/0!</v>
      </c>
      <c r="AE4" t="e">
        <f>AVERAGE(AD4,AD5)</f>
        <v>#DIV/0!</v>
      </c>
      <c r="AF4" t="e">
        <f>_xlfn.STDEV.S(AD5,AD4)</f>
        <v>#DIV/0!</v>
      </c>
    </row>
    <row r="5" spans="1:32" x14ac:dyDescent="0.3">
      <c r="Q5" t="e">
        <f t="shared" ref="Q5" si="0">AVERAGE(D5,C5)</f>
        <v>#DIV/0!</v>
      </c>
      <c r="R5" t="e">
        <f t="shared" ref="R5" si="1">AVERAGE(H5,I5)</f>
        <v>#DIV/0!</v>
      </c>
      <c r="S5" t="e">
        <f t="shared" ref="S5" si="2">AVERAGE(M5,N5)</f>
        <v>#DIV/0!</v>
      </c>
      <c r="T5" t="e">
        <f t="shared" ref="T5" si="3">AVERAGE(Q5:S5)</f>
        <v>#DIV/0!</v>
      </c>
      <c r="AC5" t="e">
        <f t="shared" ref="AC5" si="4">MIN(Q5:S5)</f>
        <v>#DIV/0!</v>
      </c>
      <c r="AD5" t="e">
        <f t="shared" ref="AD5" si="5">(1/3)*(T5-AC5)</f>
        <v>#DIV/0!</v>
      </c>
    </row>
  </sheetData>
  <pageMargins left="0.7" right="0.7" top="0.75" bottom="0.75" header="0.3" footer="0.3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EC9CF4A-6F3D-4BA0-B506-17E3C93FB04B}">
  <dimension ref="A2:AF9"/>
  <sheetViews>
    <sheetView topLeftCell="N1" workbookViewId="0">
      <selection activeCell="AF4" activeCellId="2" sqref="U4:AB4 AE4 AF4"/>
    </sheetView>
  </sheetViews>
  <sheetFormatPr defaultRowHeight="14.4" x14ac:dyDescent="0.3"/>
  <sheetData>
    <row r="2" spans="1:32" x14ac:dyDescent="0.3">
      <c r="A2" t="s">
        <v>51</v>
      </c>
      <c r="Q2" t="s">
        <v>13</v>
      </c>
      <c r="R2" t="s">
        <v>14</v>
      </c>
      <c r="S2" t="s">
        <v>15</v>
      </c>
      <c r="T2" t="s">
        <v>17</v>
      </c>
      <c r="U2" t="s">
        <v>52</v>
      </c>
      <c r="V2" t="s">
        <v>45</v>
      </c>
      <c r="W2" t="s">
        <v>53</v>
      </c>
      <c r="X2" t="s">
        <v>46</v>
      </c>
      <c r="Y2" t="s">
        <v>54</v>
      </c>
      <c r="Z2" t="s">
        <v>47</v>
      </c>
      <c r="AA2" t="s">
        <v>1</v>
      </c>
      <c r="AB2" t="s">
        <v>18</v>
      </c>
      <c r="AC2" t="s">
        <v>19</v>
      </c>
      <c r="AD2" t="s">
        <v>16</v>
      </c>
      <c r="AE2" t="s">
        <v>20</v>
      </c>
      <c r="AF2" t="s">
        <v>21</v>
      </c>
    </row>
    <row r="3" spans="1:32" x14ac:dyDescent="0.3">
      <c r="A3" t="s">
        <v>24</v>
      </c>
      <c r="F3" t="s">
        <v>63</v>
      </c>
      <c r="K3" t="s">
        <v>26</v>
      </c>
    </row>
    <row r="4" spans="1:32" x14ac:dyDescent="0.3">
      <c r="B4">
        <v>78</v>
      </c>
      <c r="C4">
        <v>22</v>
      </c>
      <c r="D4">
        <v>26</v>
      </c>
      <c r="E4">
        <v>74</v>
      </c>
      <c r="G4">
        <v>79</v>
      </c>
      <c r="H4">
        <v>21</v>
      </c>
      <c r="I4">
        <v>11</v>
      </c>
      <c r="J4">
        <v>89</v>
      </c>
      <c r="L4">
        <v>72</v>
      </c>
      <c r="M4">
        <v>28</v>
      </c>
      <c r="N4">
        <v>40</v>
      </c>
      <c r="O4">
        <v>60</v>
      </c>
      <c r="Q4">
        <f>AVERAGE(C4,D4)</f>
        <v>24</v>
      </c>
      <c r="R4">
        <f>AVERAGE(H4,I4)</f>
        <v>16</v>
      </c>
      <c r="S4">
        <f>AVERAGE(M4,N4)</f>
        <v>34</v>
      </c>
      <c r="T4">
        <f>AVERAGE(Q4:S4)</f>
        <v>24.666666666666668</v>
      </c>
      <c r="U4">
        <f>AVERAGE(Q4:Q9)</f>
        <v>24.75</v>
      </c>
      <c r="V4">
        <f>_xlfn.STDEV.S(Q4:Q9)</f>
        <v>1.7535677916750183</v>
      </c>
      <c r="W4">
        <f>AVERAGE(R4:R9)</f>
        <v>15.083333333333334</v>
      </c>
      <c r="X4">
        <f>_xlfn.STDEV.S(R4:R9)</f>
        <v>2.0103896803024659</v>
      </c>
      <c r="Y4">
        <f>AVERAGE(S4:S9)</f>
        <v>36</v>
      </c>
      <c r="Z4">
        <f>_xlfn.STDEV.S(S4:S9)</f>
        <v>2.9325756597230361</v>
      </c>
      <c r="AA4">
        <f>AVERAGE(T4:T9)</f>
        <v>25.277777777777782</v>
      </c>
      <c r="AB4">
        <f>_xlfn.STDEV.S(T4:T9)</f>
        <v>1.455513146116695</v>
      </c>
      <c r="AC4">
        <f>MIN(Q4:S4)</f>
        <v>16</v>
      </c>
      <c r="AD4">
        <f>T4-AC4</f>
        <v>8.6666666666666679</v>
      </c>
      <c r="AE4">
        <f>AVERAGE(AD4:AD9)</f>
        <v>10.194444444444445</v>
      </c>
      <c r="AF4">
        <f>_xlfn.STDEV.S(AD4:AD9)</f>
        <v>0.97420432870834284</v>
      </c>
    </row>
    <row r="5" spans="1:32" x14ac:dyDescent="0.3">
      <c r="B5">
        <v>82</v>
      </c>
      <c r="C5">
        <v>18</v>
      </c>
      <c r="D5">
        <v>26</v>
      </c>
      <c r="E5">
        <v>74</v>
      </c>
      <c r="G5">
        <v>77</v>
      </c>
      <c r="H5">
        <v>23</v>
      </c>
      <c r="I5">
        <v>8</v>
      </c>
      <c r="J5">
        <v>92</v>
      </c>
      <c r="L5">
        <v>58</v>
      </c>
      <c r="M5">
        <v>42</v>
      </c>
      <c r="N5">
        <v>37</v>
      </c>
      <c r="O5">
        <v>63</v>
      </c>
      <c r="Q5">
        <f t="shared" ref="Q5:Q9" si="0">AVERAGE(C5,D5)</f>
        <v>22</v>
      </c>
      <c r="R5">
        <f t="shared" ref="R5:R9" si="1">AVERAGE(H5,I5)</f>
        <v>15.5</v>
      </c>
      <c r="S5">
        <f t="shared" ref="S5:S9" si="2">AVERAGE(M5,N5)</f>
        <v>39.5</v>
      </c>
      <c r="T5">
        <f t="shared" ref="T5:T9" si="3">AVERAGE(Q5:S5)</f>
        <v>25.666666666666668</v>
      </c>
      <c r="AC5">
        <f t="shared" ref="AC5:AC9" si="4">MIN(Q5:S5)</f>
        <v>15.5</v>
      </c>
      <c r="AD5">
        <f t="shared" ref="AD5:AD9" si="5">T5-AC5</f>
        <v>10.166666666666668</v>
      </c>
    </row>
    <row r="6" spans="1:32" x14ac:dyDescent="0.3">
      <c r="B6">
        <v>74</v>
      </c>
      <c r="C6">
        <v>26</v>
      </c>
      <c r="D6">
        <v>27</v>
      </c>
      <c r="E6">
        <v>73</v>
      </c>
      <c r="G6">
        <v>79</v>
      </c>
      <c r="H6">
        <v>21</v>
      </c>
      <c r="I6">
        <v>9</v>
      </c>
      <c r="J6">
        <v>91</v>
      </c>
      <c r="L6">
        <v>65</v>
      </c>
      <c r="M6">
        <v>35</v>
      </c>
      <c r="N6">
        <v>37</v>
      </c>
      <c r="O6">
        <v>63</v>
      </c>
      <c r="Q6">
        <f t="shared" si="0"/>
        <v>26.5</v>
      </c>
      <c r="R6">
        <f t="shared" si="1"/>
        <v>15</v>
      </c>
      <c r="S6">
        <f t="shared" si="2"/>
        <v>36</v>
      </c>
      <c r="T6">
        <f t="shared" si="3"/>
        <v>25.833333333333332</v>
      </c>
      <c r="AC6">
        <f t="shared" si="4"/>
        <v>15</v>
      </c>
      <c r="AD6">
        <f t="shared" si="5"/>
        <v>10.833333333333332</v>
      </c>
    </row>
    <row r="7" spans="1:32" x14ac:dyDescent="0.3">
      <c r="B7">
        <v>82</v>
      </c>
      <c r="C7">
        <v>18</v>
      </c>
      <c r="D7">
        <v>33</v>
      </c>
      <c r="E7">
        <v>67</v>
      </c>
      <c r="G7">
        <v>82</v>
      </c>
      <c r="H7">
        <v>18</v>
      </c>
      <c r="I7">
        <v>18</v>
      </c>
      <c r="J7">
        <v>82</v>
      </c>
      <c r="L7">
        <v>58</v>
      </c>
      <c r="M7">
        <v>42</v>
      </c>
      <c r="N7">
        <v>37</v>
      </c>
      <c r="O7">
        <v>63</v>
      </c>
      <c r="Q7">
        <f t="shared" si="0"/>
        <v>25.5</v>
      </c>
      <c r="R7">
        <f t="shared" si="1"/>
        <v>18</v>
      </c>
      <c r="S7">
        <f t="shared" si="2"/>
        <v>39.5</v>
      </c>
      <c r="T7">
        <f t="shared" si="3"/>
        <v>27.666666666666668</v>
      </c>
      <c r="AC7">
        <f t="shared" si="4"/>
        <v>18</v>
      </c>
      <c r="AD7">
        <f t="shared" si="5"/>
        <v>9.6666666666666679</v>
      </c>
    </row>
    <row r="8" spans="1:32" x14ac:dyDescent="0.3">
      <c r="B8">
        <v>76</v>
      </c>
      <c r="C8">
        <v>24</v>
      </c>
      <c r="D8">
        <v>29</v>
      </c>
      <c r="E8">
        <v>71</v>
      </c>
      <c r="G8">
        <v>84</v>
      </c>
      <c r="H8">
        <v>16</v>
      </c>
      <c r="I8">
        <v>12</v>
      </c>
      <c r="J8">
        <v>88</v>
      </c>
      <c r="L8">
        <v>72</v>
      </c>
      <c r="M8">
        <v>28</v>
      </c>
      <c r="N8">
        <v>37</v>
      </c>
      <c r="O8">
        <v>63</v>
      </c>
      <c r="Q8">
        <f t="shared" si="0"/>
        <v>26.5</v>
      </c>
      <c r="R8">
        <f t="shared" si="1"/>
        <v>14</v>
      </c>
      <c r="S8">
        <f t="shared" si="2"/>
        <v>32.5</v>
      </c>
      <c r="T8">
        <f t="shared" si="3"/>
        <v>24.333333333333332</v>
      </c>
      <c r="AC8">
        <f t="shared" si="4"/>
        <v>14</v>
      </c>
      <c r="AD8">
        <f t="shared" si="5"/>
        <v>10.333333333333332</v>
      </c>
    </row>
    <row r="9" spans="1:32" x14ac:dyDescent="0.3">
      <c r="B9">
        <v>89</v>
      </c>
      <c r="C9">
        <v>11</v>
      </c>
      <c r="D9">
        <v>37</v>
      </c>
      <c r="E9">
        <v>63</v>
      </c>
      <c r="G9">
        <v>86</v>
      </c>
      <c r="H9">
        <v>14</v>
      </c>
      <c r="I9">
        <v>10</v>
      </c>
      <c r="J9">
        <v>90</v>
      </c>
      <c r="L9">
        <v>74</v>
      </c>
      <c r="M9">
        <v>26</v>
      </c>
      <c r="N9">
        <v>43</v>
      </c>
      <c r="O9">
        <v>57</v>
      </c>
      <c r="Q9">
        <f t="shared" si="0"/>
        <v>24</v>
      </c>
      <c r="R9">
        <f t="shared" si="1"/>
        <v>12</v>
      </c>
      <c r="S9">
        <f t="shared" si="2"/>
        <v>34.5</v>
      </c>
      <c r="T9">
        <f t="shared" si="3"/>
        <v>23.5</v>
      </c>
      <c r="AC9">
        <f t="shared" si="4"/>
        <v>12</v>
      </c>
      <c r="AD9">
        <f t="shared" si="5"/>
        <v>11.5</v>
      </c>
    </row>
  </sheetData>
  <pageMargins left="0.7" right="0.7" top="0.75" bottom="0.75" header="0.3" footer="0.3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328B926-3ADF-46D7-8F68-CEFFC1D24F6E}">
  <dimension ref="A2:AF10"/>
  <sheetViews>
    <sheetView topLeftCell="K1" workbookViewId="0">
      <selection activeCell="AF4" activeCellId="2" sqref="U4:AB4 AE4 AF4"/>
    </sheetView>
  </sheetViews>
  <sheetFormatPr defaultRowHeight="14.4" x14ac:dyDescent="0.3"/>
  <sheetData>
    <row r="2" spans="1:32" x14ac:dyDescent="0.3">
      <c r="A2" t="s">
        <v>51</v>
      </c>
      <c r="Q2" t="s">
        <v>13</v>
      </c>
      <c r="R2" t="s">
        <v>14</v>
      </c>
      <c r="S2" t="s">
        <v>15</v>
      </c>
      <c r="T2" t="s">
        <v>17</v>
      </c>
      <c r="U2" t="s">
        <v>52</v>
      </c>
      <c r="V2" t="s">
        <v>45</v>
      </c>
      <c r="W2" t="s">
        <v>53</v>
      </c>
      <c r="X2" t="s">
        <v>46</v>
      </c>
      <c r="Y2" t="s">
        <v>54</v>
      </c>
      <c r="Z2" t="s">
        <v>47</v>
      </c>
      <c r="AA2" t="s">
        <v>1</v>
      </c>
      <c r="AB2" t="s">
        <v>18</v>
      </c>
      <c r="AC2" t="s">
        <v>19</v>
      </c>
      <c r="AD2" t="s">
        <v>16</v>
      </c>
      <c r="AE2" t="s">
        <v>20</v>
      </c>
      <c r="AF2" t="s">
        <v>21</v>
      </c>
    </row>
    <row r="3" spans="1:32" x14ac:dyDescent="0.3">
      <c r="A3" t="s">
        <v>24</v>
      </c>
      <c r="F3" t="s">
        <v>63</v>
      </c>
      <c r="K3" t="s">
        <v>26</v>
      </c>
    </row>
    <row r="4" spans="1:32" x14ac:dyDescent="0.3">
      <c r="B4">
        <v>80</v>
      </c>
      <c r="C4">
        <v>20</v>
      </c>
      <c r="D4">
        <v>19</v>
      </c>
      <c r="E4">
        <v>81</v>
      </c>
      <c r="G4">
        <v>86</v>
      </c>
      <c r="H4">
        <v>14</v>
      </c>
      <c r="I4">
        <v>9</v>
      </c>
      <c r="J4">
        <v>91</v>
      </c>
      <c r="L4">
        <v>69</v>
      </c>
      <c r="M4">
        <v>31</v>
      </c>
      <c r="N4">
        <v>40</v>
      </c>
      <c r="O4">
        <v>60</v>
      </c>
      <c r="Q4">
        <f>AVERAGE(C4,D4)</f>
        <v>19.5</v>
      </c>
      <c r="R4">
        <f>AVERAGE(H4,I4)</f>
        <v>11.5</v>
      </c>
      <c r="S4">
        <f>AVERAGE(M4,N4)</f>
        <v>35.5</v>
      </c>
      <c r="T4">
        <f>AVERAGE(Q4:S4)</f>
        <v>22.166666666666668</v>
      </c>
      <c r="U4">
        <f>AVERAGE(Q4:Q10)</f>
        <v>23.714285714285715</v>
      </c>
      <c r="V4">
        <f>_xlfn.STDEV.S(Q4:Q10)</f>
        <v>2.6276913640612221</v>
      </c>
      <c r="W4">
        <f>AVERAGE(R4:R10)</f>
        <v>12.285714285714286</v>
      </c>
      <c r="X4">
        <f>_xlfn.STDEV.S(R4:R10)</f>
        <v>2.4127636791506446</v>
      </c>
      <c r="Y4">
        <f>AVERAGE(S4:S10)</f>
        <v>37.214285714285715</v>
      </c>
      <c r="Z4">
        <f>_xlfn.STDEV.S(S4:S10)</f>
        <v>3.4139071318303174</v>
      </c>
      <c r="AA4">
        <f>AVERAGE(T4:T10)</f>
        <v>24.404761904761905</v>
      </c>
      <c r="AB4">
        <f>_xlfn.STDEV.S(T4:T10)</f>
        <v>2.0634768009203559</v>
      </c>
      <c r="AC4">
        <f>MIN(Q4:S4)</f>
        <v>11.5</v>
      </c>
      <c r="AD4">
        <f>T4-AC4</f>
        <v>10.666666666666668</v>
      </c>
      <c r="AE4">
        <f>AVERAGE(AD4:AD10)</f>
        <v>12.11904761904762</v>
      </c>
      <c r="AF4">
        <f>_xlfn.STDEV.S(AD4:AD10)</f>
        <v>1.8148418095390031</v>
      </c>
    </row>
    <row r="5" spans="1:32" x14ac:dyDescent="0.3">
      <c r="B5">
        <v>86</v>
      </c>
      <c r="C5">
        <v>14</v>
      </c>
      <c r="D5">
        <v>30</v>
      </c>
      <c r="E5">
        <v>70</v>
      </c>
      <c r="G5">
        <v>91</v>
      </c>
      <c r="H5">
        <v>9</v>
      </c>
      <c r="I5">
        <v>14</v>
      </c>
      <c r="J5">
        <v>86</v>
      </c>
      <c r="L5">
        <v>64</v>
      </c>
      <c r="M5">
        <v>36</v>
      </c>
      <c r="N5">
        <v>29</v>
      </c>
      <c r="O5">
        <v>71</v>
      </c>
      <c r="Q5">
        <f t="shared" ref="Q5:Q10" si="0">AVERAGE(C5,D5)</f>
        <v>22</v>
      </c>
      <c r="R5">
        <f t="shared" ref="R5:R10" si="1">AVERAGE(H5,I5)</f>
        <v>11.5</v>
      </c>
      <c r="S5">
        <f t="shared" ref="S5:S10" si="2">AVERAGE(M5,N5)</f>
        <v>32.5</v>
      </c>
      <c r="T5">
        <f t="shared" ref="T5:T10" si="3">AVERAGE(Q5:S5)</f>
        <v>22</v>
      </c>
      <c r="AC5">
        <f t="shared" ref="AC5:AC10" si="4">MIN(Q5:S5)</f>
        <v>11.5</v>
      </c>
      <c r="AD5">
        <f t="shared" ref="AD5:AD10" si="5">T5-AC5</f>
        <v>10.5</v>
      </c>
    </row>
    <row r="6" spans="1:32" x14ac:dyDescent="0.3">
      <c r="B6">
        <v>74</v>
      </c>
      <c r="C6">
        <v>26</v>
      </c>
      <c r="D6">
        <v>23</v>
      </c>
      <c r="E6">
        <v>77</v>
      </c>
      <c r="G6">
        <v>81</v>
      </c>
      <c r="H6">
        <v>19</v>
      </c>
      <c r="I6">
        <v>12</v>
      </c>
      <c r="J6">
        <v>88</v>
      </c>
      <c r="L6">
        <v>66</v>
      </c>
      <c r="M6">
        <v>34</v>
      </c>
      <c r="N6">
        <v>48</v>
      </c>
      <c r="O6">
        <v>52</v>
      </c>
      <c r="Q6">
        <f t="shared" si="0"/>
        <v>24.5</v>
      </c>
      <c r="R6">
        <f t="shared" si="1"/>
        <v>15.5</v>
      </c>
      <c r="S6">
        <f t="shared" si="2"/>
        <v>41</v>
      </c>
      <c r="T6">
        <f t="shared" si="3"/>
        <v>27</v>
      </c>
      <c r="AC6">
        <f t="shared" si="4"/>
        <v>15.5</v>
      </c>
      <c r="AD6">
        <f t="shared" si="5"/>
        <v>11.5</v>
      </c>
    </row>
    <row r="7" spans="1:32" x14ac:dyDescent="0.3">
      <c r="B7">
        <v>83</v>
      </c>
      <c r="C7">
        <v>17</v>
      </c>
      <c r="D7">
        <v>30</v>
      </c>
      <c r="E7">
        <v>70</v>
      </c>
      <c r="G7">
        <v>78</v>
      </c>
      <c r="H7">
        <v>22</v>
      </c>
      <c r="I7">
        <v>3</v>
      </c>
      <c r="J7">
        <v>97</v>
      </c>
      <c r="L7">
        <v>74</v>
      </c>
      <c r="M7">
        <v>26</v>
      </c>
      <c r="N7">
        <v>53</v>
      </c>
      <c r="O7">
        <v>47</v>
      </c>
      <c r="Q7">
        <f t="shared" si="0"/>
        <v>23.5</v>
      </c>
      <c r="R7">
        <f t="shared" si="1"/>
        <v>12.5</v>
      </c>
      <c r="S7">
        <f t="shared" si="2"/>
        <v>39.5</v>
      </c>
      <c r="T7">
        <f t="shared" si="3"/>
        <v>25.166666666666668</v>
      </c>
      <c r="AC7">
        <f t="shared" si="4"/>
        <v>12.5</v>
      </c>
      <c r="AD7">
        <f t="shared" si="5"/>
        <v>12.666666666666668</v>
      </c>
    </row>
    <row r="8" spans="1:32" x14ac:dyDescent="0.3">
      <c r="B8">
        <v>84</v>
      </c>
      <c r="C8">
        <v>16</v>
      </c>
      <c r="D8">
        <v>34</v>
      </c>
      <c r="E8">
        <v>66</v>
      </c>
      <c r="G8">
        <v>86</v>
      </c>
      <c r="H8">
        <v>14</v>
      </c>
      <c r="I8">
        <v>6</v>
      </c>
      <c r="J8">
        <v>94</v>
      </c>
      <c r="L8">
        <v>84</v>
      </c>
      <c r="M8">
        <v>16</v>
      </c>
      <c r="N8">
        <v>51</v>
      </c>
      <c r="O8">
        <v>49</v>
      </c>
      <c r="Q8">
        <f t="shared" si="0"/>
        <v>25</v>
      </c>
      <c r="R8">
        <f t="shared" si="1"/>
        <v>10</v>
      </c>
      <c r="S8">
        <f t="shared" si="2"/>
        <v>33.5</v>
      </c>
      <c r="T8">
        <f t="shared" si="3"/>
        <v>22.833333333333332</v>
      </c>
      <c r="AC8">
        <f t="shared" si="4"/>
        <v>10</v>
      </c>
      <c r="AD8">
        <f t="shared" si="5"/>
        <v>12.833333333333332</v>
      </c>
    </row>
    <row r="9" spans="1:32" x14ac:dyDescent="0.3">
      <c r="B9">
        <v>71</v>
      </c>
      <c r="C9">
        <v>29</v>
      </c>
      <c r="D9">
        <v>27</v>
      </c>
      <c r="E9">
        <v>73</v>
      </c>
      <c r="G9">
        <v>89</v>
      </c>
      <c r="H9">
        <v>11</v>
      </c>
      <c r="I9">
        <v>8</v>
      </c>
      <c r="J9">
        <v>92</v>
      </c>
      <c r="L9">
        <v>61</v>
      </c>
      <c r="M9">
        <v>39</v>
      </c>
      <c r="N9">
        <v>37</v>
      </c>
      <c r="O9">
        <v>63</v>
      </c>
      <c r="Q9">
        <f t="shared" si="0"/>
        <v>28</v>
      </c>
      <c r="R9">
        <f t="shared" si="1"/>
        <v>9.5</v>
      </c>
      <c r="S9">
        <f t="shared" si="2"/>
        <v>38</v>
      </c>
      <c r="T9">
        <f t="shared" si="3"/>
        <v>25.166666666666668</v>
      </c>
      <c r="AC9">
        <f t="shared" si="4"/>
        <v>9.5</v>
      </c>
      <c r="AD9">
        <f t="shared" si="5"/>
        <v>15.666666666666668</v>
      </c>
    </row>
    <row r="10" spans="1:32" x14ac:dyDescent="0.3">
      <c r="B10">
        <v>84</v>
      </c>
      <c r="C10">
        <v>16</v>
      </c>
      <c r="D10">
        <v>31</v>
      </c>
      <c r="E10">
        <v>69</v>
      </c>
      <c r="G10">
        <v>78</v>
      </c>
      <c r="H10">
        <v>22</v>
      </c>
      <c r="I10">
        <v>9</v>
      </c>
      <c r="J10">
        <v>91</v>
      </c>
      <c r="L10">
        <v>70</v>
      </c>
      <c r="M10">
        <v>30</v>
      </c>
      <c r="N10">
        <v>51</v>
      </c>
      <c r="O10">
        <v>49</v>
      </c>
      <c r="Q10">
        <f t="shared" si="0"/>
        <v>23.5</v>
      </c>
      <c r="R10">
        <f t="shared" si="1"/>
        <v>15.5</v>
      </c>
      <c r="S10">
        <f t="shared" si="2"/>
        <v>40.5</v>
      </c>
      <c r="T10">
        <f t="shared" si="3"/>
        <v>26.5</v>
      </c>
      <c r="AC10">
        <f t="shared" si="4"/>
        <v>15.5</v>
      </c>
      <c r="AD10">
        <f t="shared" si="5"/>
        <v>11</v>
      </c>
    </row>
  </sheetData>
  <pageMargins left="0.7" right="0.7" top="0.75" bottom="0.75" header="0.3" footer="0.3"/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5FCA91D-5E11-4BE7-9F8B-616A902FA88F}">
  <dimension ref="A2:AF9"/>
  <sheetViews>
    <sheetView topLeftCell="L1" workbookViewId="0">
      <selection activeCell="AF4" activeCellId="2" sqref="U4:AB4 AE4 AF4"/>
    </sheetView>
  </sheetViews>
  <sheetFormatPr defaultRowHeight="14.4" x14ac:dyDescent="0.3"/>
  <sheetData>
    <row r="2" spans="1:32" x14ac:dyDescent="0.3">
      <c r="A2" t="s">
        <v>51</v>
      </c>
      <c r="Q2" t="s">
        <v>13</v>
      </c>
      <c r="R2" t="s">
        <v>14</v>
      </c>
      <c r="S2" t="s">
        <v>15</v>
      </c>
      <c r="T2" t="s">
        <v>17</v>
      </c>
      <c r="U2" t="s">
        <v>52</v>
      </c>
      <c r="V2" t="s">
        <v>45</v>
      </c>
      <c r="W2" t="s">
        <v>53</v>
      </c>
      <c r="X2" t="s">
        <v>46</v>
      </c>
      <c r="Y2" t="s">
        <v>54</v>
      </c>
      <c r="Z2" t="s">
        <v>47</v>
      </c>
      <c r="AA2" t="s">
        <v>1</v>
      </c>
      <c r="AB2" t="s">
        <v>18</v>
      </c>
      <c r="AC2" t="s">
        <v>19</v>
      </c>
      <c r="AD2" t="s">
        <v>16</v>
      </c>
      <c r="AE2" t="s">
        <v>20</v>
      </c>
      <c r="AF2" t="s">
        <v>21</v>
      </c>
    </row>
    <row r="3" spans="1:32" x14ac:dyDescent="0.3">
      <c r="A3" t="s">
        <v>24</v>
      </c>
      <c r="F3" t="s">
        <v>63</v>
      </c>
      <c r="K3" t="s">
        <v>26</v>
      </c>
    </row>
    <row r="4" spans="1:32" x14ac:dyDescent="0.3">
      <c r="B4">
        <v>75</v>
      </c>
      <c r="C4">
        <v>25</v>
      </c>
      <c r="D4">
        <v>37</v>
      </c>
      <c r="E4">
        <v>63</v>
      </c>
      <c r="G4">
        <v>88</v>
      </c>
      <c r="H4">
        <v>12</v>
      </c>
      <c r="I4">
        <v>17</v>
      </c>
      <c r="J4">
        <v>83</v>
      </c>
      <c r="L4">
        <v>76</v>
      </c>
      <c r="M4">
        <v>24</v>
      </c>
      <c r="N4">
        <v>50</v>
      </c>
      <c r="O4">
        <v>50</v>
      </c>
      <c r="Q4">
        <f>AVERAGE(C4,D4)</f>
        <v>31</v>
      </c>
      <c r="R4">
        <f>AVERAGE(H4,I4)</f>
        <v>14.5</v>
      </c>
      <c r="S4">
        <f>AVERAGE(M4,N4)</f>
        <v>37</v>
      </c>
      <c r="T4">
        <f>AVERAGE(Q4:S4)</f>
        <v>27.5</v>
      </c>
      <c r="U4">
        <f>AVERAGE(Q4:Q9)</f>
        <v>25.666666666666668</v>
      </c>
      <c r="V4">
        <f>_xlfn.STDEV.S(Q4:Q9)</f>
        <v>3.9958311609309392</v>
      </c>
      <c r="W4">
        <f>AVERAGE(R4:R9)</f>
        <v>14.166666666666666</v>
      </c>
      <c r="X4">
        <f>_xlfn.STDEV.S(R4:R9)</f>
        <v>2.089657069154327</v>
      </c>
      <c r="Y4">
        <f>AVERAGE(S4:S9)</f>
        <v>36.833333333333336</v>
      </c>
      <c r="Z4">
        <f>_xlfn.STDEV.S(S4:S9)</f>
        <v>1.5705625319186327</v>
      </c>
      <c r="AA4">
        <f>AVERAGE(T4:T9)</f>
        <v>25.555555555555554</v>
      </c>
      <c r="AB4">
        <f>_xlfn.STDEV.S(T4:T9)</f>
        <v>1.4631270419005795</v>
      </c>
      <c r="AC4">
        <f>MIN(Q4:S4)</f>
        <v>14.5</v>
      </c>
      <c r="AD4">
        <f>(T4-AC4)</f>
        <v>13</v>
      </c>
      <c r="AE4">
        <f>AVERAGE(AD4:AD9)</f>
        <v>11.388888888888891</v>
      </c>
      <c r="AF4">
        <f>_xlfn.STDEV.S(AD4:AD9)</f>
        <v>1.8519259244444917</v>
      </c>
    </row>
    <row r="5" spans="1:32" x14ac:dyDescent="0.3">
      <c r="B5">
        <v>81</v>
      </c>
      <c r="C5">
        <v>19</v>
      </c>
      <c r="D5">
        <v>24</v>
      </c>
      <c r="E5">
        <v>76</v>
      </c>
      <c r="G5">
        <v>80</v>
      </c>
      <c r="H5">
        <v>20</v>
      </c>
      <c r="I5">
        <v>15</v>
      </c>
      <c r="J5">
        <v>85</v>
      </c>
      <c r="L5">
        <v>70</v>
      </c>
      <c r="M5">
        <v>30</v>
      </c>
      <c r="N5">
        <v>45</v>
      </c>
      <c r="O5">
        <v>55</v>
      </c>
      <c r="Q5">
        <f t="shared" ref="Q5:Q9" si="0">AVERAGE(C5,D5)</f>
        <v>21.5</v>
      </c>
      <c r="R5">
        <f t="shared" ref="R5:R9" si="1">AVERAGE(H5,I5)</f>
        <v>17.5</v>
      </c>
      <c r="S5">
        <f t="shared" ref="S5:S9" si="2">AVERAGE(M5,N5)</f>
        <v>37.5</v>
      </c>
      <c r="T5">
        <f t="shared" ref="T5:T9" si="3">AVERAGE(Q5:S5)</f>
        <v>25.5</v>
      </c>
      <c r="AC5">
        <f t="shared" ref="AC5:AC9" si="4">MIN(Q5:S5)</f>
        <v>17.5</v>
      </c>
      <c r="AD5">
        <f t="shared" ref="AD5:AD9" si="5">(T5-AC5)</f>
        <v>8</v>
      </c>
    </row>
    <row r="6" spans="1:32" x14ac:dyDescent="0.3">
      <c r="B6">
        <v>85</v>
      </c>
      <c r="C6">
        <v>15</v>
      </c>
      <c r="D6">
        <v>27</v>
      </c>
      <c r="E6">
        <v>73</v>
      </c>
      <c r="G6">
        <v>84</v>
      </c>
      <c r="H6">
        <v>16</v>
      </c>
      <c r="I6">
        <v>11</v>
      </c>
      <c r="J6">
        <v>89</v>
      </c>
      <c r="L6">
        <v>81</v>
      </c>
      <c r="M6">
        <v>19</v>
      </c>
      <c r="N6">
        <v>59</v>
      </c>
      <c r="O6">
        <v>41</v>
      </c>
      <c r="Q6">
        <f t="shared" si="0"/>
        <v>21</v>
      </c>
      <c r="R6">
        <f t="shared" si="1"/>
        <v>13.5</v>
      </c>
      <c r="S6">
        <f t="shared" si="2"/>
        <v>39</v>
      </c>
      <c r="T6">
        <f t="shared" si="3"/>
        <v>24.5</v>
      </c>
      <c r="AC6">
        <f t="shared" si="4"/>
        <v>13.5</v>
      </c>
      <c r="AD6">
        <f t="shared" si="5"/>
        <v>11</v>
      </c>
    </row>
    <row r="7" spans="1:32" x14ac:dyDescent="0.3">
      <c r="B7">
        <v>80</v>
      </c>
      <c r="C7">
        <v>20</v>
      </c>
      <c r="D7">
        <v>38</v>
      </c>
      <c r="E7">
        <v>62</v>
      </c>
      <c r="G7">
        <v>82</v>
      </c>
      <c r="H7">
        <v>18</v>
      </c>
      <c r="I7">
        <v>11</v>
      </c>
      <c r="J7">
        <v>89</v>
      </c>
      <c r="L7">
        <v>76</v>
      </c>
      <c r="M7">
        <v>24</v>
      </c>
      <c r="N7">
        <v>51</v>
      </c>
      <c r="O7">
        <v>49</v>
      </c>
      <c r="Q7">
        <f t="shared" si="0"/>
        <v>29</v>
      </c>
      <c r="R7">
        <f t="shared" si="1"/>
        <v>14.5</v>
      </c>
      <c r="S7">
        <f t="shared" si="2"/>
        <v>37.5</v>
      </c>
      <c r="T7">
        <f t="shared" si="3"/>
        <v>27</v>
      </c>
      <c r="AC7">
        <f t="shared" si="4"/>
        <v>14.5</v>
      </c>
      <c r="AD7">
        <f t="shared" si="5"/>
        <v>12.5</v>
      </c>
    </row>
    <row r="8" spans="1:32" x14ac:dyDescent="0.3">
      <c r="B8">
        <v>80</v>
      </c>
      <c r="C8">
        <v>20</v>
      </c>
      <c r="D8">
        <v>30</v>
      </c>
      <c r="E8">
        <v>70</v>
      </c>
      <c r="G8">
        <v>83</v>
      </c>
      <c r="H8">
        <v>17</v>
      </c>
      <c r="I8">
        <v>5</v>
      </c>
      <c r="J8">
        <v>95</v>
      </c>
      <c r="L8">
        <v>69</v>
      </c>
      <c r="M8">
        <v>31</v>
      </c>
      <c r="N8">
        <v>39</v>
      </c>
      <c r="O8">
        <v>61</v>
      </c>
      <c r="Q8">
        <f t="shared" si="0"/>
        <v>25</v>
      </c>
      <c r="R8">
        <f t="shared" si="1"/>
        <v>11</v>
      </c>
      <c r="S8">
        <f t="shared" si="2"/>
        <v>35</v>
      </c>
      <c r="T8">
        <f t="shared" si="3"/>
        <v>23.666666666666668</v>
      </c>
      <c r="AC8">
        <f t="shared" si="4"/>
        <v>11</v>
      </c>
      <c r="AD8">
        <f t="shared" si="5"/>
        <v>12.666666666666668</v>
      </c>
    </row>
    <row r="9" spans="1:32" x14ac:dyDescent="0.3">
      <c r="B9">
        <v>93</v>
      </c>
      <c r="C9">
        <v>7</v>
      </c>
      <c r="D9">
        <v>46</v>
      </c>
      <c r="E9">
        <v>54</v>
      </c>
      <c r="G9">
        <v>88</v>
      </c>
      <c r="H9">
        <v>12</v>
      </c>
      <c r="I9">
        <v>16</v>
      </c>
      <c r="J9">
        <v>84</v>
      </c>
      <c r="L9">
        <v>85</v>
      </c>
      <c r="M9">
        <v>15</v>
      </c>
      <c r="N9">
        <v>55</v>
      </c>
      <c r="O9">
        <v>45</v>
      </c>
      <c r="Q9">
        <f t="shared" si="0"/>
        <v>26.5</v>
      </c>
      <c r="R9">
        <f t="shared" si="1"/>
        <v>14</v>
      </c>
      <c r="S9">
        <f t="shared" si="2"/>
        <v>35</v>
      </c>
      <c r="T9">
        <f t="shared" si="3"/>
        <v>25.166666666666668</v>
      </c>
      <c r="AC9">
        <f t="shared" si="4"/>
        <v>14</v>
      </c>
      <c r="AD9">
        <f t="shared" si="5"/>
        <v>11.166666666666668</v>
      </c>
    </row>
  </sheetData>
  <pageMargins left="0.7" right="0.7" top="0.75" bottom="0.75" header="0.3" footer="0.3"/>
</worksheet>
</file>

<file path=xl/worksheets/sheet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4CA6F53-9387-444E-890F-DCD3D83EC80C}">
  <dimension ref="A1:AN99"/>
  <sheetViews>
    <sheetView topLeftCell="N1" workbookViewId="0">
      <selection activeCell="W15" sqref="W15:AF15"/>
    </sheetView>
  </sheetViews>
  <sheetFormatPr defaultRowHeight="14.4" x14ac:dyDescent="0.3"/>
  <cols>
    <col min="34" max="34" width="23.21875" customWidth="1"/>
    <col min="38" max="38" width="19.33203125" customWidth="1"/>
  </cols>
  <sheetData>
    <row r="1" spans="1:40" x14ac:dyDescent="0.3">
      <c r="A1" t="s">
        <v>23</v>
      </c>
    </row>
    <row r="2" spans="1:40" x14ac:dyDescent="0.3">
      <c r="A2" t="s">
        <v>24</v>
      </c>
      <c r="F2" t="s">
        <v>25</v>
      </c>
      <c r="K2" t="s">
        <v>26</v>
      </c>
      <c r="Q2" t="s">
        <v>36</v>
      </c>
      <c r="R2" t="s">
        <v>37</v>
      </c>
      <c r="S2" t="s">
        <v>38</v>
      </c>
      <c r="T2" t="s">
        <v>17</v>
      </c>
      <c r="U2" t="s">
        <v>19</v>
      </c>
      <c r="V2" t="s">
        <v>16</v>
      </c>
      <c r="W2" t="s">
        <v>6</v>
      </c>
      <c r="X2" t="s">
        <v>45</v>
      </c>
      <c r="Y2" t="s">
        <v>8</v>
      </c>
      <c r="Z2" t="s">
        <v>46</v>
      </c>
      <c r="AA2" t="s">
        <v>10</v>
      </c>
      <c r="AB2" t="s">
        <v>47</v>
      </c>
      <c r="AC2" t="s">
        <v>1</v>
      </c>
      <c r="AD2" t="s">
        <v>18</v>
      </c>
      <c r="AE2" t="s">
        <v>20</v>
      </c>
      <c r="AF2" t="s">
        <v>21</v>
      </c>
      <c r="AH2" t="s">
        <v>39</v>
      </c>
      <c r="AI2" t="s">
        <v>1</v>
      </c>
      <c r="AJ2" t="s">
        <v>20</v>
      </c>
      <c r="AL2" t="s">
        <v>40</v>
      </c>
      <c r="AM2" t="s">
        <v>1</v>
      </c>
      <c r="AN2" t="s">
        <v>20</v>
      </c>
    </row>
    <row r="3" spans="1:40" x14ac:dyDescent="0.3">
      <c r="Q3" t="e">
        <f>AVERAGE(C3,D3)</f>
        <v>#DIV/0!</v>
      </c>
      <c r="R3" t="e">
        <f>AVERAGE(H3,I3)</f>
        <v>#DIV/0!</v>
      </c>
      <c r="S3" t="e">
        <f>AVERAGE(M3,N3)</f>
        <v>#DIV/0!</v>
      </c>
      <c r="T3" t="e">
        <f>AVERAGE(Q3:S3)</f>
        <v>#DIV/0!</v>
      </c>
      <c r="U3" t="e">
        <f>MIN(Q3:S3)</f>
        <v>#DIV/0!</v>
      </c>
      <c r="V3" t="e">
        <f>(1/3)*(T3-U3)</f>
        <v>#DIV/0!</v>
      </c>
      <c r="AC3" t="e">
        <f>AVERAGE(T3:T12)</f>
        <v>#DIV/0!</v>
      </c>
      <c r="AD3" t="e">
        <f>_xlfn.STDEV.S(T3:T12)</f>
        <v>#DIV/0!</v>
      </c>
      <c r="AE3" t="e">
        <f>AVERAGE(V3:V12)</f>
        <v>#DIV/0!</v>
      </c>
      <c r="AF3" t="e">
        <f>_xlfn.STDEV.S(V3:V12)</f>
        <v>#DIV/0!</v>
      </c>
      <c r="AH3" t="s">
        <v>60</v>
      </c>
      <c r="AL3" t="s">
        <v>61</v>
      </c>
    </row>
    <row r="4" spans="1:40" x14ac:dyDescent="0.3">
      <c r="Q4" t="e">
        <f t="shared" ref="Q4:Q67" si="0">AVERAGE(C4,D4)</f>
        <v>#DIV/0!</v>
      </c>
      <c r="R4" t="e">
        <f t="shared" ref="R4:R67" si="1">AVERAGE(H4,I4)</f>
        <v>#DIV/0!</v>
      </c>
      <c r="S4" t="e">
        <f t="shared" ref="S4:S67" si="2">AVERAGE(M4,N4)</f>
        <v>#DIV/0!</v>
      </c>
      <c r="T4" t="e">
        <f t="shared" ref="T4:T67" si="3">AVERAGE(Q4:S4)</f>
        <v>#DIV/0!</v>
      </c>
      <c r="U4" t="e">
        <f t="shared" ref="U4:U67" si="4">MIN(Q4:S4)</f>
        <v>#DIV/0!</v>
      </c>
      <c r="V4" t="e">
        <f t="shared" ref="V4:V67" si="5">(1/3)*(T4-U4)</f>
        <v>#DIV/0!</v>
      </c>
      <c r="AH4" t="s">
        <v>22</v>
      </c>
      <c r="AI4">
        <v>18.981481481481485</v>
      </c>
      <c r="AJ4">
        <v>1.6419753086419753</v>
      </c>
      <c r="AL4" t="s">
        <v>22</v>
      </c>
      <c r="AM4">
        <v>18.981481481481485</v>
      </c>
      <c r="AN4">
        <v>1.6419753086419753</v>
      </c>
    </row>
    <row r="5" spans="1:40" x14ac:dyDescent="0.3">
      <c r="Q5" t="e">
        <f t="shared" si="0"/>
        <v>#DIV/0!</v>
      </c>
      <c r="R5" t="e">
        <f t="shared" si="1"/>
        <v>#DIV/0!</v>
      </c>
      <c r="S5" t="e">
        <f t="shared" si="2"/>
        <v>#DIV/0!</v>
      </c>
      <c r="T5" t="e">
        <f t="shared" si="3"/>
        <v>#DIV/0!</v>
      </c>
      <c r="U5" t="e">
        <f t="shared" si="4"/>
        <v>#DIV/0!</v>
      </c>
      <c r="V5" t="e">
        <f t="shared" si="5"/>
        <v>#DIV/0!</v>
      </c>
      <c r="AH5" t="s">
        <v>57</v>
      </c>
      <c r="AI5">
        <v>19.333333333333336</v>
      </c>
      <c r="AJ5">
        <v>1.7777777777777779</v>
      </c>
      <c r="AL5" t="s">
        <v>57</v>
      </c>
      <c r="AM5">
        <v>19.333333333333336</v>
      </c>
      <c r="AN5">
        <v>1.7777777777777779</v>
      </c>
    </row>
    <row r="6" spans="1:40" x14ac:dyDescent="0.3">
      <c r="Q6" t="e">
        <f t="shared" si="0"/>
        <v>#DIV/0!</v>
      </c>
      <c r="R6" t="e">
        <f t="shared" si="1"/>
        <v>#DIV/0!</v>
      </c>
      <c r="S6" t="e">
        <f t="shared" si="2"/>
        <v>#DIV/0!</v>
      </c>
      <c r="T6" t="e">
        <f t="shared" si="3"/>
        <v>#DIV/0!</v>
      </c>
      <c r="U6" t="e">
        <f t="shared" si="4"/>
        <v>#DIV/0!</v>
      </c>
      <c r="V6" t="e">
        <f t="shared" si="5"/>
        <v>#DIV/0!</v>
      </c>
      <c r="AL6" t="s">
        <v>59</v>
      </c>
      <c r="AM6">
        <v>19.740740740740744</v>
      </c>
      <c r="AN6">
        <v>1.8024691358024691</v>
      </c>
    </row>
    <row r="7" spans="1:40" x14ac:dyDescent="0.3">
      <c r="Q7" t="e">
        <f t="shared" si="0"/>
        <v>#DIV/0!</v>
      </c>
      <c r="R7" t="e">
        <f t="shared" si="1"/>
        <v>#DIV/0!</v>
      </c>
      <c r="S7" t="e">
        <f t="shared" si="2"/>
        <v>#DIV/0!</v>
      </c>
      <c r="T7" t="e">
        <f t="shared" si="3"/>
        <v>#DIV/0!</v>
      </c>
      <c r="U7" t="e">
        <f t="shared" si="4"/>
        <v>#DIV/0!</v>
      </c>
      <c r="V7" t="e">
        <f t="shared" si="5"/>
        <v>#DIV/0!</v>
      </c>
    </row>
    <row r="8" spans="1:40" x14ac:dyDescent="0.3">
      <c r="Q8" t="e">
        <f t="shared" si="0"/>
        <v>#DIV/0!</v>
      </c>
      <c r="R8" t="e">
        <f t="shared" si="1"/>
        <v>#DIV/0!</v>
      </c>
      <c r="S8" t="e">
        <f t="shared" si="2"/>
        <v>#DIV/0!</v>
      </c>
      <c r="T8" t="e">
        <f t="shared" si="3"/>
        <v>#DIV/0!</v>
      </c>
      <c r="U8" t="e">
        <f t="shared" si="4"/>
        <v>#DIV/0!</v>
      </c>
      <c r="V8" t="e">
        <f t="shared" si="5"/>
        <v>#DIV/0!</v>
      </c>
    </row>
    <row r="9" spans="1:40" x14ac:dyDescent="0.3">
      <c r="Q9" t="e">
        <f t="shared" si="0"/>
        <v>#DIV/0!</v>
      </c>
      <c r="R9" t="e">
        <f t="shared" si="1"/>
        <v>#DIV/0!</v>
      </c>
      <c r="S9" t="e">
        <f t="shared" si="2"/>
        <v>#DIV/0!</v>
      </c>
      <c r="T9" t="e">
        <f t="shared" si="3"/>
        <v>#DIV/0!</v>
      </c>
      <c r="U9" t="e">
        <f t="shared" si="4"/>
        <v>#DIV/0!</v>
      </c>
      <c r="V9" t="e">
        <f t="shared" si="5"/>
        <v>#DIV/0!</v>
      </c>
    </row>
    <row r="10" spans="1:40" x14ac:dyDescent="0.3">
      <c r="Q10" t="e">
        <f t="shared" si="0"/>
        <v>#DIV/0!</v>
      </c>
      <c r="R10" t="e">
        <f t="shared" si="1"/>
        <v>#DIV/0!</v>
      </c>
      <c r="S10" t="e">
        <f t="shared" si="2"/>
        <v>#DIV/0!</v>
      </c>
      <c r="T10" t="e">
        <f t="shared" si="3"/>
        <v>#DIV/0!</v>
      </c>
      <c r="U10" t="e">
        <f t="shared" si="4"/>
        <v>#DIV/0!</v>
      </c>
      <c r="V10" t="e">
        <f t="shared" si="5"/>
        <v>#DIV/0!</v>
      </c>
    </row>
    <row r="11" spans="1:40" x14ac:dyDescent="0.3">
      <c r="Q11" t="e">
        <f t="shared" si="0"/>
        <v>#DIV/0!</v>
      </c>
      <c r="R11" t="e">
        <f t="shared" si="1"/>
        <v>#DIV/0!</v>
      </c>
      <c r="S11" t="e">
        <f t="shared" si="2"/>
        <v>#DIV/0!</v>
      </c>
      <c r="T11" t="e">
        <f t="shared" si="3"/>
        <v>#DIV/0!</v>
      </c>
      <c r="U11" t="e">
        <f t="shared" si="4"/>
        <v>#DIV/0!</v>
      </c>
      <c r="V11" t="e">
        <f t="shared" si="5"/>
        <v>#DIV/0!</v>
      </c>
    </row>
    <row r="12" spans="1:40" x14ac:dyDescent="0.3">
      <c r="Q12" t="e">
        <f t="shared" si="0"/>
        <v>#DIV/0!</v>
      </c>
      <c r="R12" t="e">
        <f t="shared" si="1"/>
        <v>#DIV/0!</v>
      </c>
      <c r="S12" t="e">
        <f t="shared" si="2"/>
        <v>#DIV/0!</v>
      </c>
      <c r="T12" t="e">
        <f t="shared" si="3"/>
        <v>#DIV/0!</v>
      </c>
      <c r="U12" t="e">
        <f t="shared" si="4"/>
        <v>#DIV/0!</v>
      </c>
      <c r="V12" t="e">
        <f t="shared" si="5"/>
        <v>#DIV/0!</v>
      </c>
    </row>
    <row r="14" spans="1:40" x14ac:dyDescent="0.3">
      <c r="A14" t="s">
        <v>22</v>
      </c>
      <c r="AH14" t="s">
        <v>6</v>
      </c>
      <c r="AI14" t="s">
        <v>7</v>
      </c>
      <c r="AJ14" t="s">
        <v>8</v>
      </c>
      <c r="AK14" t="s">
        <v>9</v>
      </c>
      <c r="AL14" t="s">
        <v>10</v>
      </c>
      <c r="AM14" t="s">
        <v>11</v>
      </c>
    </row>
    <row r="15" spans="1:40" x14ac:dyDescent="0.3">
      <c r="B15">
        <v>85</v>
      </c>
      <c r="C15">
        <v>15</v>
      </c>
      <c r="D15">
        <v>39</v>
      </c>
      <c r="E15">
        <v>61</v>
      </c>
      <c r="G15">
        <v>87</v>
      </c>
      <c r="H15">
        <v>13</v>
      </c>
      <c r="I15">
        <v>6</v>
      </c>
      <c r="J15">
        <v>94</v>
      </c>
      <c r="L15">
        <v>68</v>
      </c>
      <c r="M15">
        <v>32</v>
      </c>
      <c r="N15">
        <v>33</v>
      </c>
      <c r="O15">
        <v>67</v>
      </c>
      <c r="Q15">
        <f t="shared" si="0"/>
        <v>27</v>
      </c>
      <c r="R15">
        <f t="shared" si="1"/>
        <v>9.5</v>
      </c>
      <c r="S15">
        <f t="shared" si="2"/>
        <v>32.5</v>
      </c>
      <c r="T15">
        <f t="shared" si="3"/>
        <v>23</v>
      </c>
      <c r="U15">
        <f t="shared" si="4"/>
        <v>9.5</v>
      </c>
      <c r="V15">
        <f>(T15-U15)</f>
        <v>13.5</v>
      </c>
      <c r="W15">
        <f>AVERAGE(Q15:Q22)</f>
        <v>24.5</v>
      </c>
      <c r="X15">
        <f>_xlfn.STDEV.S(Q15:Q22)</f>
        <v>2.4053511772118195</v>
      </c>
      <c r="Y15">
        <f>AVERAGE(R15:R22)</f>
        <v>12.5625</v>
      </c>
      <c r="Z15">
        <f>_xlfn.STDEV.S(R15:R22)</f>
        <v>1.9353386562267894</v>
      </c>
      <c r="AA15">
        <f>AVERAGE(S15:S22)</f>
        <v>34.4375</v>
      </c>
      <c r="AB15">
        <f>_xlfn.STDEV.S(S15:S22)</f>
        <v>2.9932960810069273</v>
      </c>
      <c r="AC15">
        <f>AVERAGE(T15:T23)</f>
        <v>23.833333333333332</v>
      </c>
      <c r="AD15">
        <f>_xlfn.STDEV.S(T15:T23)</f>
        <v>1.9189944456771324</v>
      </c>
      <c r="AE15">
        <f>AVERAGE(V15:V23)</f>
        <v>11.270833333333332</v>
      </c>
      <c r="AF15">
        <f>_xlfn.STDEV.S(V15:V23)</f>
        <v>1.3271807450979474</v>
      </c>
      <c r="AH15">
        <f>AVERAGE(Q15:Q23)</f>
        <v>24.5</v>
      </c>
      <c r="AI15">
        <f>_xlfn.STDEV.S(Q15:Q23)</f>
        <v>2.4053511772118195</v>
      </c>
      <c r="AJ15">
        <f>AVERAGE(R15:R23)</f>
        <v>12.5625</v>
      </c>
      <c r="AK15">
        <f>_xlfn.STDEV.S(R15:R23)</f>
        <v>1.9353386562267894</v>
      </c>
      <c r="AL15">
        <f>AVERAGE(S15:S23)</f>
        <v>34.4375</v>
      </c>
      <c r="AM15">
        <f>_xlfn.STDEV.S(S15:S23)</f>
        <v>2.9932960810069273</v>
      </c>
    </row>
    <row r="16" spans="1:40" x14ac:dyDescent="0.3">
      <c r="B16">
        <v>74</v>
      </c>
      <c r="C16">
        <v>26</v>
      </c>
      <c r="D16">
        <v>27</v>
      </c>
      <c r="E16">
        <v>73</v>
      </c>
      <c r="G16">
        <v>84</v>
      </c>
      <c r="H16">
        <v>16</v>
      </c>
      <c r="I16">
        <v>9</v>
      </c>
      <c r="J16">
        <v>91</v>
      </c>
      <c r="L16">
        <v>65</v>
      </c>
      <c r="M16">
        <v>35</v>
      </c>
      <c r="N16">
        <v>41</v>
      </c>
      <c r="O16">
        <v>59</v>
      </c>
      <c r="Q16">
        <f t="shared" si="0"/>
        <v>26.5</v>
      </c>
      <c r="R16">
        <f t="shared" si="1"/>
        <v>12.5</v>
      </c>
      <c r="S16">
        <f t="shared" si="2"/>
        <v>38</v>
      </c>
      <c r="T16">
        <f t="shared" si="3"/>
        <v>25.666666666666668</v>
      </c>
      <c r="U16">
        <f t="shared" si="4"/>
        <v>12.5</v>
      </c>
      <c r="V16">
        <f t="shared" ref="V16:V22" si="6">(T16-U16)</f>
        <v>13.166666666666668</v>
      </c>
    </row>
    <row r="17" spans="1:32" x14ac:dyDescent="0.3">
      <c r="B17">
        <v>89</v>
      </c>
      <c r="C17">
        <v>11</v>
      </c>
      <c r="D17">
        <v>41</v>
      </c>
      <c r="E17">
        <v>59</v>
      </c>
      <c r="G17">
        <v>87</v>
      </c>
      <c r="H17">
        <v>13</v>
      </c>
      <c r="I17">
        <v>15</v>
      </c>
      <c r="J17">
        <v>85</v>
      </c>
      <c r="L17">
        <v>70</v>
      </c>
      <c r="M17">
        <v>30</v>
      </c>
      <c r="N17">
        <v>39</v>
      </c>
      <c r="O17">
        <v>61</v>
      </c>
      <c r="Q17">
        <f t="shared" si="0"/>
        <v>26</v>
      </c>
      <c r="R17">
        <f t="shared" si="1"/>
        <v>14</v>
      </c>
      <c r="S17">
        <f t="shared" si="2"/>
        <v>34.5</v>
      </c>
      <c r="T17">
        <f t="shared" si="3"/>
        <v>24.833333333333332</v>
      </c>
      <c r="U17">
        <f t="shared" si="4"/>
        <v>14</v>
      </c>
      <c r="V17">
        <f t="shared" si="6"/>
        <v>10.833333333333332</v>
      </c>
    </row>
    <row r="18" spans="1:32" x14ac:dyDescent="0.3">
      <c r="B18">
        <v>85</v>
      </c>
      <c r="C18">
        <v>15</v>
      </c>
      <c r="D18">
        <v>25</v>
      </c>
      <c r="E18">
        <v>75</v>
      </c>
      <c r="G18">
        <v>87</v>
      </c>
      <c r="H18">
        <v>13</v>
      </c>
      <c r="I18">
        <v>7</v>
      </c>
      <c r="J18">
        <v>93</v>
      </c>
      <c r="L18">
        <v>76</v>
      </c>
      <c r="M18">
        <v>24</v>
      </c>
      <c r="N18">
        <v>35</v>
      </c>
      <c r="O18">
        <v>65</v>
      </c>
      <c r="Q18">
        <f t="shared" si="0"/>
        <v>20</v>
      </c>
      <c r="R18">
        <f t="shared" si="1"/>
        <v>10</v>
      </c>
      <c r="S18">
        <f t="shared" si="2"/>
        <v>29.5</v>
      </c>
      <c r="T18">
        <f t="shared" si="3"/>
        <v>19.833333333333332</v>
      </c>
      <c r="U18">
        <f t="shared" si="4"/>
        <v>10</v>
      </c>
      <c r="V18">
        <f t="shared" si="6"/>
        <v>9.8333333333333321</v>
      </c>
    </row>
    <row r="19" spans="1:32" x14ac:dyDescent="0.3">
      <c r="B19">
        <v>74</v>
      </c>
      <c r="C19">
        <v>26</v>
      </c>
      <c r="D19">
        <v>24</v>
      </c>
      <c r="E19">
        <v>76</v>
      </c>
      <c r="G19">
        <v>84</v>
      </c>
      <c r="H19">
        <v>16</v>
      </c>
      <c r="I19">
        <v>8</v>
      </c>
      <c r="J19">
        <v>92</v>
      </c>
      <c r="L19">
        <v>77</v>
      </c>
      <c r="M19">
        <v>23</v>
      </c>
      <c r="N19">
        <v>40</v>
      </c>
      <c r="O19">
        <v>60</v>
      </c>
      <c r="Q19">
        <f t="shared" si="0"/>
        <v>25</v>
      </c>
      <c r="R19">
        <f t="shared" si="1"/>
        <v>12</v>
      </c>
      <c r="S19">
        <f t="shared" si="2"/>
        <v>31.5</v>
      </c>
      <c r="T19">
        <f t="shared" si="3"/>
        <v>22.833333333333332</v>
      </c>
      <c r="U19">
        <f t="shared" si="4"/>
        <v>12</v>
      </c>
      <c r="V19">
        <f t="shared" si="6"/>
        <v>10.833333333333332</v>
      </c>
    </row>
    <row r="20" spans="1:32" x14ac:dyDescent="0.3">
      <c r="B20">
        <v>80</v>
      </c>
      <c r="C20">
        <v>20</v>
      </c>
      <c r="D20">
        <v>28</v>
      </c>
      <c r="E20">
        <v>72</v>
      </c>
      <c r="G20">
        <v>80</v>
      </c>
      <c r="H20">
        <v>20</v>
      </c>
      <c r="I20">
        <v>8</v>
      </c>
      <c r="J20">
        <v>92</v>
      </c>
      <c r="L20">
        <v>59</v>
      </c>
      <c r="M20">
        <v>41</v>
      </c>
      <c r="N20">
        <v>31</v>
      </c>
      <c r="O20">
        <v>69</v>
      </c>
      <c r="Q20">
        <f t="shared" si="0"/>
        <v>24</v>
      </c>
      <c r="R20">
        <f t="shared" si="1"/>
        <v>14</v>
      </c>
      <c r="S20">
        <f t="shared" si="2"/>
        <v>36</v>
      </c>
      <c r="T20">
        <f t="shared" si="3"/>
        <v>24.666666666666668</v>
      </c>
      <c r="U20">
        <f t="shared" si="4"/>
        <v>14</v>
      </c>
      <c r="V20">
        <f t="shared" si="6"/>
        <v>10.666666666666668</v>
      </c>
    </row>
    <row r="21" spans="1:32" x14ac:dyDescent="0.3">
      <c r="B21">
        <v>82</v>
      </c>
      <c r="C21">
        <v>18</v>
      </c>
      <c r="D21">
        <v>33</v>
      </c>
      <c r="E21">
        <v>67</v>
      </c>
      <c r="G21">
        <v>84</v>
      </c>
      <c r="H21">
        <v>16</v>
      </c>
      <c r="I21">
        <v>13</v>
      </c>
      <c r="J21">
        <v>87</v>
      </c>
      <c r="L21">
        <v>74</v>
      </c>
      <c r="M21">
        <v>26</v>
      </c>
      <c r="N21">
        <v>47</v>
      </c>
      <c r="O21">
        <v>53</v>
      </c>
      <c r="Q21">
        <f t="shared" si="0"/>
        <v>25.5</v>
      </c>
      <c r="R21">
        <f t="shared" si="1"/>
        <v>14.5</v>
      </c>
      <c r="S21">
        <f t="shared" si="2"/>
        <v>36.5</v>
      </c>
      <c r="T21">
        <f t="shared" si="3"/>
        <v>25.5</v>
      </c>
      <c r="U21">
        <f t="shared" si="4"/>
        <v>14.5</v>
      </c>
      <c r="V21">
        <f t="shared" si="6"/>
        <v>11</v>
      </c>
    </row>
    <row r="22" spans="1:32" x14ac:dyDescent="0.3">
      <c r="B22">
        <v>81</v>
      </c>
      <c r="C22">
        <v>19</v>
      </c>
      <c r="D22">
        <v>25</v>
      </c>
      <c r="E22">
        <v>75</v>
      </c>
      <c r="G22">
        <v>82</v>
      </c>
      <c r="H22">
        <v>18</v>
      </c>
      <c r="I22">
        <v>10</v>
      </c>
      <c r="J22">
        <v>90</v>
      </c>
      <c r="L22">
        <v>75</v>
      </c>
      <c r="M22">
        <v>25</v>
      </c>
      <c r="N22">
        <v>49</v>
      </c>
      <c r="O22">
        <v>51</v>
      </c>
      <c r="Q22">
        <f t="shared" si="0"/>
        <v>22</v>
      </c>
      <c r="R22">
        <f t="shared" si="1"/>
        <v>14</v>
      </c>
      <c r="S22">
        <f t="shared" si="2"/>
        <v>37</v>
      </c>
      <c r="T22">
        <f t="shared" si="3"/>
        <v>24.333333333333332</v>
      </c>
      <c r="U22">
        <f t="shared" si="4"/>
        <v>14</v>
      </c>
      <c r="V22">
        <f t="shared" si="6"/>
        <v>10.333333333333332</v>
      </c>
    </row>
    <row r="25" spans="1:32" x14ac:dyDescent="0.3">
      <c r="A25" t="s">
        <v>27</v>
      </c>
    </row>
    <row r="26" spans="1:32" x14ac:dyDescent="0.3">
      <c r="Q26" t="e">
        <f t="shared" si="0"/>
        <v>#DIV/0!</v>
      </c>
      <c r="R26" t="e">
        <f t="shared" si="1"/>
        <v>#DIV/0!</v>
      </c>
      <c r="S26" t="e">
        <f t="shared" si="2"/>
        <v>#DIV/0!</v>
      </c>
      <c r="T26" t="e">
        <f t="shared" si="3"/>
        <v>#DIV/0!</v>
      </c>
      <c r="U26" t="e">
        <f t="shared" si="4"/>
        <v>#DIV/0!</v>
      </c>
      <c r="V26" t="e">
        <f t="shared" si="5"/>
        <v>#DIV/0!</v>
      </c>
      <c r="AC26" t="e">
        <f>AVERAGE(T26:T28)</f>
        <v>#DIV/0!</v>
      </c>
      <c r="AD26" t="e">
        <f>_xlfn.STDEV.S(T26:T28)</f>
        <v>#DIV/0!</v>
      </c>
      <c r="AE26" t="e">
        <f>AVERAGE(V26:V28)</f>
        <v>#DIV/0!</v>
      </c>
      <c r="AF26" t="e">
        <f>_xlfn.STDEV.S(V26:V28)</f>
        <v>#DIV/0!</v>
      </c>
    </row>
    <row r="27" spans="1:32" x14ac:dyDescent="0.3">
      <c r="Q27" t="e">
        <f t="shared" si="0"/>
        <v>#DIV/0!</v>
      </c>
      <c r="R27" t="e">
        <f t="shared" si="1"/>
        <v>#DIV/0!</v>
      </c>
      <c r="S27" t="e">
        <f t="shared" si="2"/>
        <v>#DIV/0!</v>
      </c>
      <c r="T27" t="e">
        <f t="shared" si="3"/>
        <v>#DIV/0!</v>
      </c>
      <c r="U27" t="e">
        <f t="shared" si="4"/>
        <v>#DIV/0!</v>
      </c>
      <c r="V27" t="e">
        <f t="shared" si="5"/>
        <v>#DIV/0!</v>
      </c>
    </row>
    <row r="28" spans="1:32" x14ac:dyDescent="0.3">
      <c r="Q28" t="e">
        <f t="shared" si="0"/>
        <v>#DIV/0!</v>
      </c>
      <c r="R28" t="e">
        <f t="shared" si="1"/>
        <v>#DIV/0!</v>
      </c>
      <c r="S28" t="e">
        <f t="shared" si="2"/>
        <v>#DIV/0!</v>
      </c>
      <c r="T28" t="e">
        <f t="shared" si="3"/>
        <v>#DIV/0!</v>
      </c>
      <c r="U28" t="e">
        <f t="shared" si="4"/>
        <v>#DIV/0!</v>
      </c>
      <c r="V28" t="e">
        <f t="shared" si="5"/>
        <v>#DIV/0!</v>
      </c>
    </row>
    <row r="30" spans="1:32" x14ac:dyDescent="0.3">
      <c r="A30" t="s">
        <v>56</v>
      </c>
    </row>
    <row r="31" spans="1:32" x14ac:dyDescent="0.3">
      <c r="Q31" t="e">
        <f t="shared" si="0"/>
        <v>#DIV/0!</v>
      </c>
      <c r="R31" t="e">
        <f t="shared" si="1"/>
        <v>#DIV/0!</v>
      </c>
      <c r="S31" t="e">
        <f t="shared" si="2"/>
        <v>#DIV/0!</v>
      </c>
      <c r="T31" t="e">
        <f t="shared" si="3"/>
        <v>#DIV/0!</v>
      </c>
      <c r="U31" t="e">
        <f t="shared" si="4"/>
        <v>#DIV/0!</v>
      </c>
      <c r="V31" t="e">
        <f t="shared" si="5"/>
        <v>#DIV/0!</v>
      </c>
      <c r="AC31" t="e">
        <f>AVERAGE(T31:T39)</f>
        <v>#DIV/0!</v>
      </c>
      <c r="AD31" t="e">
        <f>_xlfn.STDEV.S(T31:T39)</f>
        <v>#DIV/0!</v>
      </c>
      <c r="AE31" t="e">
        <f>AVERAGE(V31:V39)</f>
        <v>#DIV/0!</v>
      </c>
      <c r="AF31" t="e">
        <f>_xlfn.STDEV.S(V31:V39)</f>
        <v>#DIV/0!</v>
      </c>
    </row>
    <row r="32" spans="1:32" x14ac:dyDescent="0.3">
      <c r="Q32" t="e">
        <f t="shared" si="0"/>
        <v>#DIV/0!</v>
      </c>
      <c r="R32" t="e">
        <f t="shared" si="1"/>
        <v>#DIV/0!</v>
      </c>
      <c r="S32" t="e">
        <f t="shared" si="2"/>
        <v>#DIV/0!</v>
      </c>
      <c r="T32" t="e">
        <f t="shared" si="3"/>
        <v>#DIV/0!</v>
      </c>
      <c r="U32" t="e">
        <f t="shared" si="4"/>
        <v>#DIV/0!</v>
      </c>
      <c r="V32" t="e">
        <f t="shared" si="5"/>
        <v>#DIV/0!</v>
      </c>
    </row>
    <row r="33" spans="1:32" x14ac:dyDescent="0.3">
      <c r="Q33" t="e">
        <f t="shared" si="0"/>
        <v>#DIV/0!</v>
      </c>
      <c r="R33" t="e">
        <f t="shared" si="1"/>
        <v>#DIV/0!</v>
      </c>
      <c r="S33" t="e">
        <f t="shared" si="2"/>
        <v>#DIV/0!</v>
      </c>
      <c r="T33" t="e">
        <f t="shared" si="3"/>
        <v>#DIV/0!</v>
      </c>
      <c r="U33" t="e">
        <f t="shared" si="4"/>
        <v>#DIV/0!</v>
      </c>
      <c r="V33" t="e">
        <f t="shared" si="5"/>
        <v>#DIV/0!</v>
      </c>
    </row>
    <row r="34" spans="1:32" x14ac:dyDescent="0.3">
      <c r="Q34" t="e">
        <f t="shared" si="0"/>
        <v>#DIV/0!</v>
      </c>
      <c r="R34" t="e">
        <f t="shared" si="1"/>
        <v>#DIV/0!</v>
      </c>
      <c r="S34" t="e">
        <f t="shared" si="2"/>
        <v>#DIV/0!</v>
      </c>
      <c r="T34" t="e">
        <f t="shared" si="3"/>
        <v>#DIV/0!</v>
      </c>
      <c r="U34" t="e">
        <f t="shared" si="4"/>
        <v>#DIV/0!</v>
      </c>
      <c r="V34" t="e">
        <f t="shared" si="5"/>
        <v>#DIV/0!</v>
      </c>
    </row>
    <row r="35" spans="1:32" x14ac:dyDescent="0.3">
      <c r="Q35" t="e">
        <f t="shared" si="0"/>
        <v>#DIV/0!</v>
      </c>
      <c r="R35" t="e">
        <f t="shared" si="1"/>
        <v>#DIV/0!</v>
      </c>
      <c r="S35" t="e">
        <f t="shared" si="2"/>
        <v>#DIV/0!</v>
      </c>
      <c r="T35" t="e">
        <f t="shared" si="3"/>
        <v>#DIV/0!</v>
      </c>
      <c r="U35" t="e">
        <f t="shared" si="4"/>
        <v>#DIV/0!</v>
      </c>
      <c r="V35" t="e">
        <f t="shared" si="5"/>
        <v>#DIV/0!</v>
      </c>
    </row>
    <row r="36" spans="1:32" x14ac:dyDescent="0.3">
      <c r="Q36" t="e">
        <f t="shared" si="0"/>
        <v>#DIV/0!</v>
      </c>
      <c r="R36" t="e">
        <f t="shared" si="1"/>
        <v>#DIV/0!</v>
      </c>
      <c r="S36" t="e">
        <f t="shared" si="2"/>
        <v>#DIV/0!</v>
      </c>
      <c r="T36" t="e">
        <f t="shared" si="3"/>
        <v>#DIV/0!</v>
      </c>
      <c r="U36" t="e">
        <f t="shared" si="4"/>
        <v>#DIV/0!</v>
      </c>
      <c r="V36" t="e">
        <f t="shared" si="5"/>
        <v>#DIV/0!</v>
      </c>
    </row>
    <row r="37" spans="1:32" x14ac:dyDescent="0.3">
      <c r="Q37" t="e">
        <f t="shared" si="0"/>
        <v>#DIV/0!</v>
      </c>
      <c r="R37" t="e">
        <f t="shared" si="1"/>
        <v>#DIV/0!</v>
      </c>
      <c r="S37" t="e">
        <f t="shared" si="2"/>
        <v>#DIV/0!</v>
      </c>
      <c r="T37" t="e">
        <f t="shared" si="3"/>
        <v>#DIV/0!</v>
      </c>
      <c r="U37" t="e">
        <f t="shared" si="4"/>
        <v>#DIV/0!</v>
      </c>
      <c r="V37" t="e">
        <f t="shared" si="5"/>
        <v>#DIV/0!</v>
      </c>
    </row>
    <row r="38" spans="1:32" x14ac:dyDescent="0.3">
      <c r="Q38" t="e">
        <f t="shared" si="0"/>
        <v>#DIV/0!</v>
      </c>
      <c r="R38" t="e">
        <f t="shared" si="1"/>
        <v>#DIV/0!</v>
      </c>
      <c r="S38" t="e">
        <f t="shared" si="2"/>
        <v>#DIV/0!</v>
      </c>
      <c r="T38" t="e">
        <f t="shared" si="3"/>
        <v>#DIV/0!</v>
      </c>
      <c r="U38" t="e">
        <f t="shared" si="4"/>
        <v>#DIV/0!</v>
      </c>
      <c r="V38" t="e">
        <f t="shared" si="5"/>
        <v>#DIV/0!</v>
      </c>
    </row>
    <row r="39" spans="1:32" x14ac:dyDescent="0.3">
      <c r="Q39" t="e">
        <f t="shared" si="0"/>
        <v>#DIV/0!</v>
      </c>
      <c r="R39" t="e">
        <f t="shared" si="1"/>
        <v>#DIV/0!</v>
      </c>
      <c r="S39" t="e">
        <f t="shared" si="2"/>
        <v>#DIV/0!</v>
      </c>
      <c r="T39" t="e">
        <f t="shared" si="3"/>
        <v>#DIV/0!</v>
      </c>
      <c r="U39" t="e">
        <f t="shared" si="4"/>
        <v>#DIV/0!</v>
      </c>
      <c r="V39" t="e">
        <f t="shared" si="5"/>
        <v>#DIV/0!</v>
      </c>
    </row>
    <row r="41" spans="1:32" x14ac:dyDescent="0.3">
      <c r="A41" t="s">
        <v>29</v>
      </c>
    </row>
    <row r="42" spans="1:32" x14ac:dyDescent="0.3">
      <c r="Q42" t="e">
        <f t="shared" si="0"/>
        <v>#DIV/0!</v>
      </c>
      <c r="R42" t="e">
        <f t="shared" si="1"/>
        <v>#DIV/0!</v>
      </c>
      <c r="S42" t="e">
        <f t="shared" si="2"/>
        <v>#DIV/0!</v>
      </c>
      <c r="T42" t="e">
        <f t="shared" si="3"/>
        <v>#DIV/0!</v>
      </c>
      <c r="U42" t="e">
        <f t="shared" si="4"/>
        <v>#DIV/0!</v>
      </c>
      <c r="V42" t="e">
        <f t="shared" si="5"/>
        <v>#DIV/0!</v>
      </c>
      <c r="AC42" t="e">
        <f>AVERAGE(T42:T50)</f>
        <v>#DIV/0!</v>
      </c>
      <c r="AD42" t="e">
        <f>_xlfn.STDEV.S(T42:T50)</f>
        <v>#DIV/0!</v>
      </c>
      <c r="AE42" t="e">
        <f>AVERAGE(V42:V50)</f>
        <v>#DIV/0!</v>
      </c>
      <c r="AF42" t="e">
        <f>_xlfn.STDEV.S(V42:V50)</f>
        <v>#DIV/0!</v>
      </c>
    </row>
    <row r="43" spans="1:32" x14ac:dyDescent="0.3">
      <c r="Q43" t="e">
        <f t="shared" si="0"/>
        <v>#DIV/0!</v>
      </c>
      <c r="R43" t="e">
        <f t="shared" si="1"/>
        <v>#DIV/0!</v>
      </c>
      <c r="S43" t="e">
        <f t="shared" si="2"/>
        <v>#DIV/0!</v>
      </c>
      <c r="T43" t="e">
        <f t="shared" si="3"/>
        <v>#DIV/0!</v>
      </c>
      <c r="U43" t="e">
        <f t="shared" si="4"/>
        <v>#DIV/0!</v>
      </c>
      <c r="V43" t="e">
        <f t="shared" si="5"/>
        <v>#DIV/0!</v>
      </c>
    </row>
    <row r="44" spans="1:32" x14ac:dyDescent="0.3">
      <c r="Q44" t="e">
        <f t="shared" si="0"/>
        <v>#DIV/0!</v>
      </c>
      <c r="R44" t="e">
        <f t="shared" si="1"/>
        <v>#DIV/0!</v>
      </c>
      <c r="S44" t="e">
        <f t="shared" si="2"/>
        <v>#DIV/0!</v>
      </c>
      <c r="T44" t="e">
        <f t="shared" si="3"/>
        <v>#DIV/0!</v>
      </c>
      <c r="U44" t="e">
        <f t="shared" si="4"/>
        <v>#DIV/0!</v>
      </c>
      <c r="V44" t="e">
        <f t="shared" si="5"/>
        <v>#DIV/0!</v>
      </c>
    </row>
    <row r="45" spans="1:32" x14ac:dyDescent="0.3">
      <c r="Q45" t="e">
        <f t="shared" si="0"/>
        <v>#DIV/0!</v>
      </c>
      <c r="R45" t="e">
        <f t="shared" si="1"/>
        <v>#DIV/0!</v>
      </c>
      <c r="S45" t="e">
        <f t="shared" si="2"/>
        <v>#DIV/0!</v>
      </c>
      <c r="T45" t="e">
        <f t="shared" si="3"/>
        <v>#DIV/0!</v>
      </c>
      <c r="U45" t="e">
        <f t="shared" si="4"/>
        <v>#DIV/0!</v>
      </c>
      <c r="V45" t="e">
        <f t="shared" si="5"/>
        <v>#DIV/0!</v>
      </c>
    </row>
    <row r="46" spans="1:32" x14ac:dyDescent="0.3">
      <c r="Q46" t="e">
        <f t="shared" si="0"/>
        <v>#DIV/0!</v>
      </c>
      <c r="R46" t="e">
        <f t="shared" si="1"/>
        <v>#DIV/0!</v>
      </c>
      <c r="S46" t="e">
        <f t="shared" si="2"/>
        <v>#DIV/0!</v>
      </c>
      <c r="T46" t="e">
        <f t="shared" si="3"/>
        <v>#DIV/0!</v>
      </c>
      <c r="U46" t="e">
        <f t="shared" si="4"/>
        <v>#DIV/0!</v>
      </c>
      <c r="V46" t="e">
        <f t="shared" si="5"/>
        <v>#DIV/0!</v>
      </c>
    </row>
    <row r="47" spans="1:32" x14ac:dyDescent="0.3">
      <c r="Q47" t="e">
        <f t="shared" si="0"/>
        <v>#DIV/0!</v>
      </c>
      <c r="R47" t="e">
        <f t="shared" si="1"/>
        <v>#DIV/0!</v>
      </c>
      <c r="S47" t="e">
        <f t="shared" si="2"/>
        <v>#DIV/0!</v>
      </c>
      <c r="T47" t="e">
        <f t="shared" si="3"/>
        <v>#DIV/0!</v>
      </c>
      <c r="U47" t="e">
        <f t="shared" si="4"/>
        <v>#DIV/0!</v>
      </c>
      <c r="V47" t="e">
        <f t="shared" si="5"/>
        <v>#DIV/0!</v>
      </c>
    </row>
    <row r="48" spans="1:32" x14ac:dyDescent="0.3">
      <c r="Q48" t="e">
        <f t="shared" si="0"/>
        <v>#DIV/0!</v>
      </c>
      <c r="R48" t="e">
        <f t="shared" si="1"/>
        <v>#DIV/0!</v>
      </c>
      <c r="S48" t="e">
        <f t="shared" si="2"/>
        <v>#DIV/0!</v>
      </c>
      <c r="T48" t="e">
        <f t="shared" si="3"/>
        <v>#DIV/0!</v>
      </c>
      <c r="U48" t="e">
        <f t="shared" si="4"/>
        <v>#DIV/0!</v>
      </c>
      <c r="V48" t="e">
        <f t="shared" si="5"/>
        <v>#DIV/0!</v>
      </c>
    </row>
    <row r="49" spans="1:32" x14ac:dyDescent="0.3">
      <c r="Q49" t="e">
        <f t="shared" si="0"/>
        <v>#DIV/0!</v>
      </c>
      <c r="R49" t="e">
        <f t="shared" si="1"/>
        <v>#DIV/0!</v>
      </c>
      <c r="S49" t="e">
        <f t="shared" si="2"/>
        <v>#DIV/0!</v>
      </c>
      <c r="T49" t="e">
        <f t="shared" si="3"/>
        <v>#DIV/0!</v>
      </c>
      <c r="U49" t="e">
        <f t="shared" si="4"/>
        <v>#DIV/0!</v>
      </c>
      <c r="V49" t="e">
        <f t="shared" si="5"/>
        <v>#DIV/0!</v>
      </c>
    </row>
    <row r="50" spans="1:32" x14ac:dyDescent="0.3">
      <c r="Q50" t="e">
        <f t="shared" si="0"/>
        <v>#DIV/0!</v>
      </c>
      <c r="R50" t="e">
        <f t="shared" si="1"/>
        <v>#DIV/0!</v>
      </c>
      <c r="S50" t="e">
        <f t="shared" si="2"/>
        <v>#DIV/0!</v>
      </c>
      <c r="T50" t="e">
        <f t="shared" si="3"/>
        <v>#DIV/0!</v>
      </c>
      <c r="U50" t="e">
        <f t="shared" si="4"/>
        <v>#DIV/0!</v>
      </c>
      <c r="V50" t="e">
        <f t="shared" si="5"/>
        <v>#DIV/0!</v>
      </c>
    </row>
    <row r="52" spans="1:32" x14ac:dyDescent="0.3">
      <c r="A52" t="s">
        <v>57</v>
      </c>
    </row>
    <row r="53" spans="1:32" x14ac:dyDescent="0.3">
      <c r="Q53" t="e">
        <f t="shared" si="0"/>
        <v>#DIV/0!</v>
      </c>
      <c r="R53" t="e">
        <f t="shared" si="1"/>
        <v>#DIV/0!</v>
      </c>
      <c r="S53" t="e">
        <f t="shared" si="2"/>
        <v>#DIV/0!</v>
      </c>
      <c r="T53" t="e">
        <f t="shared" si="3"/>
        <v>#DIV/0!</v>
      </c>
      <c r="U53" t="e">
        <f t="shared" si="4"/>
        <v>#DIV/0!</v>
      </c>
      <c r="V53" t="e">
        <f t="shared" si="5"/>
        <v>#DIV/0!</v>
      </c>
      <c r="AC53" t="e">
        <f>AVERAGE(T53:T54)</f>
        <v>#DIV/0!</v>
      </c>
      <c r="AD53" t="e">
        <f>_xlfn.STDEV.S(T53,T54)</f>
        <v>#DIV/0!</v>
      </c>
      <c r="AE53" t="e">
        <f>AVERAGE(V53:V54)</f>
        <v>#DIV/0!</v>
      </c>
      <c r="AF53" t="e">
        <f>_xlfn.STDEV.S(V53,V54)</f>
        <v>#DIV/0!</v>
      </c>
    </row>
    <row r="54" spans="1:32" x14ac:dyDescent="0.3">
      <c r="Q54" t="e">
        <f t="shared" si="0"/>
        <v>#DIV/0!</v>
      </c>
      <c r="R54" t="e">
        <f t="shared" si="1"/>
        <v>#DIV/0!</v>
      </c>
      <c r="S54" t="e">
        <f t="shared" si="2"/>
        <v>#DIV/0!</v>
      </c>
      <c r="T54" t="e">
        <f t="shared" si="3"/>
        <v>#DIV/0!</v>
      </c>
      <c r="U54" t="e">
        <f t="shared" si="4"/>
        <v>#DIV/0!</v>
      </c>
      <c r="V54" t="e">
        <f t="shared" si="5"/>
        <v>#DIV/0!</v>
      </c>
    </row>
    <row r="56" spans="1:32" x14ac:dyDescent="0.3">
      <c r="A56" t="s">
        <v>58</v>
      </c>
    </row>
    <row r="57" spans="1:32" x14ac:dyDescent="0.3">
      <c r="Q57" t="e">
        <f t="shared" si="0"/>
        <v>#DIV/0!</v>
      </c>
      <c r="R57" t="e">
        <f t="shared" si="1"/>
        <v>#DIV/0!</v>
      </c>
      <c r="S57" t="e">
        <f t="shared" si="2"/>
        <v>#DIV/0!</v>
      </c>
      <c r="T57" t="e">
        <f t="shared" si="3"/>
        <v>#DIV/0!</v>
      </c>
      <c r="U57" t="e">
        <f t="shared" si="4"/>
        <v>#DIV/0!</v>
      </c>
      <c r="V57" t="e">
        <f t="shared" si="5"/>
        <v>#DIV/0!</v>
      </c>
      <c r="AC57" t="e">
        <f>AVERAGE(T57:T63)</f>
        <v>#DIV/0!</v>
      </c>
      <c r="AD57" t="e">
        <f>_xlfn.STDEV.S(T57:T63)</f>
        <v>#DIV/0!</v>
      </c>
      <c r="AE57" t="e">
        <f>AVERAGE(V57:V63)</f>
        <v>#DIV/0!</v>
      </c>
      <c r="AF57" t="e">
        <f>_xlfn.STDEV.S(V57:V63)</f>
        <v>#DIV/0!</v>
      </c>
    </row>
    <row r="58" spans="1:32" x14ac:dyDescent="0.3">
      <c r="Q58" t="e">
        <f t="shared" si="0"/>
        <v>#DIV/0!</v>
      </c>
      <c r="R58" t="e">
        <f t="shared" si="1"/>
        <v>#DIV/0!</v>
      </c>
      <c r="S58" t="e">
        <f t="shared" si="2"/>
        <v>#DIV/0!</v>
      </c>
      <c r="T58" t="e">
        <f t="shared" si="3"/>
        <v>#DIV/0!</v>
      </c>
      <c r="U58" t="e">
        <f t="shared" si="4"/>
        <v>#DIV/0!</v>
      </c>
      <c r="V58" t="e">
        <f t="shared" si="5"/>
        <v>#DIV/0!</v>
      </c>
    </row>
    <row r="59" spans="1:32" x14ac:dyDescent="0.3">
      <c r="Q59" t="e">
        <f t="shared" si="0"/>
        <v>#DIV/0!</v>
      </c>
      <c r="R59" t="e">
        <f t="shared" si="1"/>
        <v>#DIV/0!</v>
      </c>
      <c r="S59" t="e">
        <f t="shared" si="2"/>
        <v>#DIV/0!</v>
      </c>
      <c r="T59" t="e">
        <f t="shared" si="3"/>
        <v>#DIV/0!</v>
      </c>
      <c r="U59" t="e">
        <f t="shared" si="4"/>
        <v>#DIV/0!</v>
      </c>
      <c r="V59" t="e">
        <f t="shared" si="5"/>
        <v>#DIV/0!</v>
      </c>
    </row>
    <row r="60" spans="1:32" x14ac:dyDescent="0.3">
      <c r="Q60" t="e">
        <f t="shared" si="0"/>
        <v>#DIV/0!</v>
      </c>
      <c r="R60" t="e">
        <f t="shared" si="1"/>
        <v>#DIV/0!</v>
      </c>
      <c r="S60" t="e">
        <f t="shared" si="2"/>
        <v>#DIV/0!</v>
      </c>
      <c r="T60" t="e">
        <f t="shared" si="3"/>
        <v>#DIV/0!</v>
      </c>
      <c r="U60" t="e">
        <f t="shared" si="4"/>
        <v>#DIV/0!</v>
      </c>
      <c r="V60" t="e">
        <f t="shared" si="5"/>
        <v>#DIV/0!</v>
      </c>
    </row>
    <row r="61" spans="1:32" x14ac:dyDescent="0.3">
      <c r="Q61" t="e">
        <f t="shared" si="0"/>
        <v>#DIV/0!</v>
      </c>
      <c r="R61" t="e">
        <f t="shared" si="1"/>
        <v>#DIV/0!</v>
      </c>
      <c r="S61" t="e">
        <f t="shared" si="2"/>
        <v>#DIV/0!</v>
      </c>
      <c r="T61" t="e">
        <f t="shared" si="3"/>
        <v>#DIV/0!</v>
      </c>
      <c r="U61" t="e">
        <f t="shared" si="4"/>
        <v>#DIV/0!</v>
      </c>
      <c r="V61" t="e">
        <f t="shared" si="5"/>
        <v>#DIV/0!</v>
      </c>
    </row>
    <row r="62" spans="1:32" x14ac:dyDescent="0.3">
      <c r="Q62" t="e">
        <f t="shared" si="0"/>
        <v>#DIV/0!</v>
      </c>
      <c r="R62" t="e">
        <f t="shared" si="1"/>
        <v>#DIV/0!</v>
      </c>
      <c r="S62" t="e">
        <f t="shared" si="2"/>
        <v>#DIV/0!</v>
      </c>
      <c r="T62" t="e">
        <f t="shared" si="3"/>
        <v>#DIV/0!</v>
      </c>
      <c r="U62" t="e">
        <f t="shared" si="4"/>
        <v>#DIV/0!</v>
      </c>
      <c r="V62" t="e">
        <f t="shared" si="5"/>
        <v>#DIV/0!</v>
      </c>
    </row>
    <row r="63" spans="1:32" x14ac:dyDescent="0.3">
      <c r="Q63" t="e">
        <f t="shared" si="0"/>
        <v>#DIV/0!</v>
      </c>
      <c r="R63" t="e">
        <f t="shared" si="1"/>
        <v>#DIV/0!</v>
      </c>
      <c r="S63" t="e">
        <f t="shared" si="2"/>
        <v>#DIV/0!</v>
      </c>
      <c r="T63" t="e">
        <f t="shared" si="3"/>
        <v>#DIV/0!</v>
      </c>
      <c r="U63" t="e">
        <f t="shared" si="4"/>
        <v>#DIV/0!</v>
      </c>
      <c r="V63" t="e">
        <f t="shared" si="5"/>
        <v>#DIV/0!</v>
      </c>
    </row>
    <row r="65" spans="1:32" x14ac:dyDescent="0.3">
      <c r="A65" t="s">
        <v>32</v>
      </c>
    </row>
    <row r="66" spans="1:32" x14ac:dyDescent="0.3">
      <c r="Q66" t="e">
        <f t="shared" si="0"/>
        <v>#DIV/0!</v>
      </c>
      <c r="R66" t="e">
        <f t="shared" si="1"/>
        <v>#DIV/0!</v>
      </c>
      <c r="S66" t="e">
        <f t="shared" si="2"/>
        <v>#DIV/0!</v>
      </c>
      <c r="T66" t="e">
        <f t="shared" si="3"/>
        <v>#DIV/0!</v>
      </c>
      <c r="U66" t="e">
        <f t="shared" si="4"/>
        <v>#DIV/0!</v>
      </c>
      <c r="V66" t="e">
        <f t="shared" si="5"/>
        <v>#DIV/0!</v>
      </c>
      <c r="AC66" t="e">
        <f>AVERAGE(T66:T68)</f>
        <v>#DIV/0!</v>
      </c>
      <c r="AD66" t="e">
        <f>_xlfn.STDEV.S(T66:T68)</f>
        <v>#DIV/0!</v>
      </c>
      <c r="AE66" t="e">
        <f>AVERAGE(V66:V68)</f>
        <v>#DIV/0!</v>
      </c>
      <c r="AF66" t="e">
        <f>_xlfn.STDEV.S(V66:V68)</f>
        <v>#DIV/0!</v>
      </c>
    </row>
    <row r="67" spans="1:32" x14ac:dyDescent="0.3">
      <c r="Q67" t="e">
        <f t="shared" si="0"/>
        <v>#DIV/0!</v>
      </c>
      <c r="R67" t="e">
        <f t="shared" si="1"/>
        <v>#DIV/0!</v>
      </c>
      <c r="S67" t="e">
        <f t="shared" si="2"/>
        <v>#DIV/0!</v>
      </c>
      <c r="T67" t="e">
        <f t="shared" si="3"/>
        <v>#DIV/0!</v>
      </c>
      <c r="U67" t="e">
        <f t="shared" si="4"/>
        <v>#DIV/0!</v>
      </c>
      <c r="V67" t="e">
        <f t="shared" si="5"/>
        <v>#DIV/0!</v>
      </c>
    </row>
    <row r="68" spans="1:32" x14ac:dyDescent="0.3">
      <c r="Q68" t="e">
        <f t="shared" ref="Q68:Q99" si="7">AVERAGE(C68,D68)</f>
        <v>#DIV/0!</v>
      </c>
      <c r="R68" t="e">
        <f t="shared" ref="R68:R99" si="8">AVERAGE(H68,I68)</f>
        <v>#DIV/0!</v>
      </c>
      <c r="S68" t="e">
        <f t="shared" ref="S68:S99" si="9">AVERAGE(M68,N68)</f>
        <v>#DIV/0!</v>
      </c>
      <c r="T68" t="e">
        <f t="shared" ref="T68:T99" si="10">AVERAGE(Q68:S68)</f>
        <v>#DIV/0!</v>
      </c>
      <c r="U68" t="e">
        <f t="shared" ref="U68:U99" si="11">MIN(Q68:S68)</f>
        <v>#DIV/0!</v>
      </c>
      <c r="V68" t="e">
        <f t="shared" ref="V68:V99" si="12">(1/3)*(T68-U68)</f>
        <v>#DIV/0!</v>
      </c>
    </row>
    <row r="70" spans="1:32" x14ac:dyDescent="0.3">
      <c r="A70" t="s">
        <v>33</v>
      </c>
    </row>
    <row r="71" spans="1:32" x14ac:dyDescent="0.3">
      <c r="Q71" t="e">
        <f t="shared" si="7"/>
        <v>#DIV/0!</v>
      </c>
      <c r="R71" t="e">
        <f t="shared" si="8"/>
        <v>#DIV/0!</v>
      </c>
      <c r="S71" t="e">
        <f t="shared" si="9"/>
        <v>#DIV/0!</v>
      </c>
      <c r="T71" t="e">
        <f t="shared" si="10"/>
        <v>#DIV/0!</v>
      </c>
      <c r="U71" t="e">
        <f t="shared" si="11"/>
        <v>#DIV/0!</v>
      </c>
      <c r="V71" t="e">
        <f t="shared" si="12"/>
        <v>#DIV/0!</v>
      </c>
      <c r="AC71" t="e">
        <f>AVERAGE(T71:T80)</f>
        <v>#DIV/0!</v>
      </c>
      <c r="AD71" t="e">
        <f>_xlfn.STDEV.S(T71:T80)</f>
        <v>#DIV/0!</v>
      </c>
      <c r="AE71" t="e">
        <f>AVERAGE(V71:V80)</f>
        <v>#DIV/0!</v>
      </c>
      <c r="AF71" t="e">
        <f>_xlfn.STDEV.S(V71:V80)</f>
        <v>#DIV/0!</v>
      </c>
    </row>
    <row r="72" spans="1:32" x14ac:dyDescent="0.3">
      <c r="Q72" t="e">
        <f t="shared" si="7"/>
        <v>#DIV/0!</v>
      </c>
      <c r="R72" t="e">
        <f t="shared" si="8"/>
        <v>#DIV/0!</v>
      </c>
      <c r="S72" t="e">
        <f t="shared" si="9"/>
        <v>#DIV/0!</v>
      </c>
      <c r="T72" t="e">
        <f t="shared" si="10"/>
        <v>#DIV/0!</v>
      </c>
      <c r="U72" t="e">
        <f t="shared" si="11"/>
        <v>#DIV/0!</v>
      </c>
      <c r="V72" t="e">
        <f t="shared" si="12"/>
        <v>#DIV/0!</v>
      </c>
    </row>
    <row r="73" spans="1:32" x14ac:dyDescent="0.3">
      <c r="Q73" t="e">
        <f t="shared" si="7"/>
        <v>#DIV/0!</v>
      </c>
      <c r="R73" t="e">
        <f t="shared" si="8"/>
        <v>#DIV/0!</v>
      </c>
      <c r="S73" t="e">
        <f t="shared" si="9"/>
        <v>#DIV/0!</v>
      </c>
      <c r="T73" t="e">
        <f t="shared" si="10"/>
        <v>#DIV/0!</v>
      </c>
      <c r="U73" t="e">
        <f t="shared" si="11"/>
        <v>#DIV/0!</v>
      </c>
      <c r="V73" t="e">
        <f t="shared" si="12"/>
        <v>#DIV/0!</v>
      </c>
    </row>
    <row r="74" spans="1:32" x14ac:dyDescent="0.3">
      <c r="Q74" t="e">
        <f t="shared" si="7"/>
        <v>#DIV/0!</v>
      </c>
      <c r="R74" t="e">
        <f t="shared" si="8"/>
        <v>#DIV/0!</v>
      </c>
      <c r="S74" t="e">
        <f t="shared" si="9"/>
        <v>#DIV/0!</v>
      </c>
      <c r="T74" t="e">
        <f t="shared" si="10"/>
        <v>#DIV/0!</v>
      </c>
      <c r="U74" t="e">
        <f t="shared" si="11"/>
        <v>#DIV/0!</v>
      </c>
      <c r="V74" t="e">
        <f t="shared" si="12"/>
        <v>#DIV/0!</v>
      </c>
    </row>
    <row r="75" spans="1:32" x14ac:dyDescent="0.3">
      <c r="Q75" t="e">
        <f t="shared" si="7"/>
        <v>#DIV/0!</v>
      </c>
      <c r="R75" t="e">
        <f t="shared" si="8"/>
        <v>#DIV/0!</v>
      </c>
      <c r="S75" t="e">
        <f t="shared" si="9"/>
        <v>#DIV/0!</v>
      </c>
      <c r="T75" t="e">
        <f t="shared" si="10"/>
        <v>#DIV/0!</v>
      </c>
      <c r="U75" t="e">
        <f t="shared" si="11"/>
        <v>#DIV/0!</v>
      </c>
      <c r="V75" t="e">
        <f t="shared" si="12"/>
        <v>#DIV/0!</v>
      </c>
    </row>
    <row r="76" spans="1:32" x14ac:dyDescent="0.3">
      <c r="Q76" t="e">
        <f t="shared" si="7"/>
        <v>#DIV/0!</v>
      </c>
      <c r="R76" t="e">
        <f t="shared" si="8"/>
        <v>#DIV/0!</v>
      </c>
      <c r="S76" t="e">
        <f t="shared" si="9"/>
        <v>#DIV/0!</v>
      </c>
      <c r="T76" t="e">
        <f t="shared" si="10"/>
        <v>#DIV/0!</v>
      </c>
      <c r="U76" t="e">
        <f t="shared" si="11"/>
        <v>#DIV/0!</v>
      </c>
      <c r="V76" t="e">
        <f t="shared" si="12"/>
        <v>#DIV/0!</v>
      </c>
    </row>
    <row r="77" spans="1:32" x14ac:dyDescent="0.3">
      <c r="Q77" t="e">
        <f t="shared" si="7"/>
        <v>#DIV/0!</v>
      </c>
      <c r="R77" t="e">
        <f t="shared" si="8"/>
        <v>#DIV/0!</v>
      </c>
      <c r="S77" t="e">
        <f t="shared" si="9"/>
        <v>#DIV/0!</v>
      </c>
      <c r="T77" t="e">
        <f t="shared" si="10"/>
        <v>#DIV/0!</v>
      </c>
      <c r="U77" t="e">
        <f t="shared" si="11"/>
        <v>#DIV/0!</v>
      </c>
      <c r="V77" t="e">
        <f t="shared" si="12"/>
        <v>#DIV/0!</v>
      </c>
    </row>
    <row r="78" spans="1:32" x14ac:dyDescent="0.3">
      <c r="Q78" t="e">
        <f t="shared" si="7"/>
        <v>#DIV/0!</v>
      </c>
      <c r="R78" t="e">
        <f t="shared" si="8"/>
        <v>#DIV/0!</v>
      </c>
      <c r="S78" t="e">
        <f t="shared" si="9"/>
        <v>#DIV/0!</v>
      </c>
      <c r="T78" t="e">
        <f t="shared" si="10"/>
        <v>#DIV/0!</v>
      </c>
      <c r="U78" t="e">
        <f t="shared" si="11"/>
        <v>#DIV/0!</v>
      </c>
      <c r="V78" t="e">
        <f t="shared" si="12"/>
        <v>#DIV/0!</v>
      </c>
    </row>
    <row r="79" spans="1:32" x14ac:dyDescent="0.3">
      <c r="Q79" t="e">
        <f t="shared" si="7"/>
        <v>#DIV/0!</v>
      </c>
      <c r="R79" t="e">
        <f t="shared" si="8"/>
        <v>#DIV/0!</v>
      </c>
      <c r="S79" t="e">
        <f t="shared" si="9"/>
        <v>#DIV/0!</v>
      </c>
      <c r="T79" t="e">
        <f t="shared" si="10"/>
        <v>#DIV/0!</v>
      </c>
      <c r="U79" t="e">
        <f t="shared" si="11"/>
        <v>#DIV/0!</v>
      </c>
      <c r="V79" t="e">
        <f t="shared" si="12"/>
        <v>#DIV/0!</v>
      </c>
    </row>
    <row r="80" spans="1:32" x14ac:dyDescent="0.3">
      <c r="Q80" t="e">
        <f t="shared" si="7"/>
        <v>#DIV/0!</v>
      </c>
      <c r="R80" t="e">
        <f t="shared" si="8"/>
        <v>#DIV/0!</v>
      </c>
      <c r="S80" t="e">
        <f t="shared" si="9"/>
        <v>#DIV/0!</v>
      </c>
      <c r="T80" t="e">
        <f t="shared" si="10"/>
        <v>#DIV/0!</v>
      </c>
      <c r="U80" t="e">
        <f t="shared" si="11"/>
        <v>#DIV/0!</v>
      </c>
      <c r="V80" t="e">
        <f t="shared" si="12"/>
        <v>#DIV/0!</v>
      </c>
    </row>
    <row r="82" spans="1:32" x14ac:dyDescent="0.3">
      <c r="A82" t="s">
        <v>34</v>
      </c>
    </row>
    <row r="83" spans="1:32" x14ac:dyDescent="0.3">
      <c r="Q83" t="e">
        <f t="shared" si="7"/>
        <v>#DIV/0!</v>
      </c>
      <c r="R83" t="e">
        <f t="shared" si="8"/>
        <v>#DIV/0!</v>
      </c>
      <c r="S83" t="e">
        <f t="shared" si="9"/>
        <v>#DIV/0!</v>
      </c>
      <c r="T83" t="e">
        <f t="shared" si="10"/>
        <v>#DIV/0!</v>
      </c>
      <c r="U83" t="e">
        <f t="shared" si="11"/>
        <v>#DIV/0!</v>
      </c>
      <c r="V83" t="e">
        <f t="shared" si="12"/>
        <v>#DIV/0!</v>
      </c>
      <c r="AC83" t="e">
        <f>AVERAGE(T83:T88)</f>
        <v>#DIV/0!</v>
      </c>
      <c r="AD83" t="e">
        <f>_xlfn.STDEV.S(T83:T88)</f>
        <v>#DIV/0!</v>
      </c>
      <c r="AE83" t="e">
        <f>AVERAGE(V83:V88)</f>
        <v>#DIV/0!</v>
      </c>
      <c r="AF83" t="e">
        <f>_xlfn.STDEV.S(V83:V88)</f>
        <v>#DIV/0!</v>
      </c>
    </row>
    <row r="84" spans="1:32" x14ac:dyDescent="0.3">
      <c r="Q84" t="e">
        <f t="shared" si="7"/>
        <v>#DIV/0!</v>
      </c>
      <c r="R84" t="e">
        <f t="shared" si="8"/>
        <v>#DIV/0!</v>
      </c>
      <c r="S84" t="e">
        <f t="shared" si="9"/>
        <v>#DIV/0!</v>
      </c>
      <c r="T84" t="e">
        <f t="shared" si="10"/>
        <v>#DIV/0!</v>
      </c>
      <c r="U84" t="e">
        <f t="shared" si="11"/>
        <v>#DIV/0!</v>
      </c>
      <c r="V84" t="e">
        <f t="shared" si="12"/>
        <v>#DIV/0!</v>
      </c>
    </row>
    <row r="85" spans="1:32" x14ac:dyDescent="0.3">
      <c r="Q85" t="e">
        <f t="shared" si="7"/>
        <v>#DIV/0!</v>
      </c>
      <c r="R85" t="e">
        <f t="shared" si="8"/>
        <v>#DIV/0!</v>
      </c>
      <c r="S85" t="e">
        <f t="shared" si="9"/>
        <v>#DIV/0!</v>
      </c>
      <c r="T85" t="e">
        <f t="shared" si="10"/>
        <v>#DIV/0!</v>
      </c>
      <c r="U85" t="e">
        <f t="shared" si="11"/>
        <v>#DIV/0!</v>
      </c>
      <c r="V85" t="e">
        <f t="shared" si="12"/>
        <v>#DIV/0!</v>
      </c>
    </row>
    <row r="86" spans="1:32" x14ac:dyDescent="0.3">
      <c r="Q86" t="e">
        <f t="shared" si="7"/>
        <v>#DIV/0!</v>
      </c>
      <c r="R86" t="e">
        <f t="shared" si="8"/>
        <v>#DIV/0!</v>
      </c>
      <c r="S86" t="e">
        <f t="shared" si="9"/>
        <v>#DIV/0!</v>
      </c>
      <c r="T86" t="e">
        <f t="shared" si="10"/>
        <v>#DIV/0!</v>
      </c>
      <c r="U86" t="e">
        <f t="shared" si="11"/>
        <v>#DIV/0!</v>
      </c>
      <c r="V86" t="e">
        <f t="shared" si="12"/>
        <v>#DIV/0!</v>
      </c>
    </row>
    <row r="87" spans="1:32" x14ac:dyDescent="0.3">
      <c r="Q87" t="e">
        <f t="shared" si="7"/>
        <v>#DIV/0!</v>
      </c>
      <c r="R87" t="e">
        <f t="shared" si="8"/>
        <v>#DIV/0!</v>
      </c>
      <c r="S87" t="e">
        <f t="shared" si="9"/>
        <v>#DIV/0!</v>
      </c>
      <c r="T87" t="e">
        <f t="shared" si="10"/>
        <v>#DIV/0!</v>
      </c>
      <c r="U87" t="e">
        <f t="shared" si="11"/>
        <v>#DIV/0!</v>
      </c>
      <c r="V87" t="e">
        <f t="shared" si="12"/>
        <v>#DIV/0!</v>
      </c>
    </row>
    <row r="88" spans="1:32" x14ac:dyDescent="0.3">
      <c r="Q88" t="e">
        <f t="shared" si="7"/>
        <v>#DIV/0!</v>
      </c>
      <c r="R88" t="e">
        <f t="shared" si="8"/>
        <v>#DIV/0!</v>
      </c>
      <c r="S88" t="e">
        <f t="shared" si="9"/>
        <v>#DIV/0!</v>
      </c>
      <c r="T88" t="e">
        <f t="shared" si="10"/>
        <v>#DIV/0!</v>
      </c>
      <c r="U88" t="e">
        <f t="shared" si="11"/>
        <v>#DIV/0!</v>
      </c>
      <c r="V88" t="e">
        <f t="shared" si="12"/>
        <v>#DIV/0!</v>
      </c>
    </row>
    <row r="90" spans="1:32" x14ac:dyDescent="0.3">
      <c r="A90" t="s">
        <v>59</v>
      </c>
    </row>
    <row r="91" spans="1:32" x14ac:dyDescent="0.3">
      <c r="Q91" t="e">
        <f t="shared" si="7"/>
        <v>#DIV/0!</v>
      </c>
      <c r="R91" t="e">
        <f t="shared" si="8"/>
        <v>#DIV/0!</v>
      </c>
      <c r="S91" t="e">
        <f t="shared" si="9"/>
        <v>#DIV/0!</v>
      </c>
      <c r="T91" t="e">
        <f t="shared" si="10"/>
        <v>#DIV/0!</v>
      </c>
      <c r="U91" t="e">
        <f t="shared" si="11"/>
        <v>#DIV/0!</v>
      </c>
      <c r="V91" t="e">
        <f t="shared" si="12"/>
        <v>#DIV/0!</v>
      </c>
      <c r="AC91" t="e">
        <f>AVERAGE(T91:T99)</f>
        <v>#DIV/0!</v>
      </c>
      <c r="AD91" t="e">
        <f>_xlfn.STDEV.S(T91:T99)</f>
        <v>#DIV/0!</v>
      </c>
      <c r="AE91" t="e">
        <f>AVERAGE(V91:V99)</f>
        <v>#DIV/0!</v>
      </c>
      <c r="AF91" t="e">
        <f>_xlfn.STDEV.S(V91:V99)</f>
        <v>#DIV/0!</v>
      </c>
    </row>
    <row r="92" spans="1:32" x14ac:dyDescent="0.3">
      <c r="Q92" t="e">
        <f t="shared" si="7"/>
        <v>#DIV/0!</v>
      </c>
      <c r="R92" t="e">
        <f t="shared" si="8"/>
        <v>#DIV/0!</v>
      </c>
      <c r="S92" t="e">
        <f t="shared" si="9"/>
        <v>#DIV/0!</v>
      </c>
      <c r="T92" t="e">
        <f t="shared" si="10"/>
        <v>#DIV/0!</v>
      </c>
      <c r="U92" t="e">
        <f t="shared" si="11"/>
        <v>#DIV/0!</v>
      </c>
      <c r="V92" t="e">
        <f t="shared" si="12"/>
        <v>#DIV/0!</v>
      </c>
    </row>
    <row r="93" spans="1:32" x14ac:dyDescent="0.3">
      <c r="Q93" t="e">
        <f t="shared" si="7"/>
        <v>#DIV/0!</v>
      </c>
      <c r="R93" t="e">
        <f t="shared" si="8"/>
        <v>#DIV/0!</v>
      </c>
      <c r="S93" t="e">
        <f t="shared" si="9"/>
        <v>#DIV/0!</v>
      </c>
      <c r="T93" t="e">
        <f t="shared" si="10"/>
        <v>#DIV/0!</v>
      </c>
      <c r="U93" t="e">
        <f t="shared" si="11"/>
        <v>#DIV/0!</v>
      </c>
      <c r="V93" t="e">
        <f t="shared" si="12"/>
        <v>#DIV/0!</v>
      </c>
    </row>
    <row r="94" spans="1:32" x14ac:dyDescent="0.3">
      <c r="Q94" t="e">
        <f t="shared" si="7"/>
        <v>#DIV/0!</v>
      </c>
      <c r="R94" t="e">
        <f t="shared" si="8"/>
        <v>#DIV/0!</v>
      </c>
      <c r="S94" t="e">
        <f t="shared" si="9"/>
        <v>#DIV/0!</v>
      </c>
      <c r="T94" t="e">
        <f t="shared" si="10"/>
        <v>#DIV/0!</v>
      </c>
      <c r="U94" t="e">
        <f t="shared" si="11"/>
        <v>#DIV/0!</v>
      </c>
      <c r="V94" t="e">
        <f t="shared" si="12"/>
        <v>#DIV/0!</v>
      </c>
    </row>
    <row r="95" spans="1:32" x14ac:dyDescent="0.3">
      <c r="Q95" t="e">
        <f t="shared" si="7"/>
        <v>#DIV/0!</v>
      </c>
      <c r="R95" t="e">
        <f t="shared" si="8"/>
        <v>#DIV/0!</v>
      </c>
      <c r="S95" t="e">
        <f t="shared" si="9"/>
        <v>#DIV/0!</v>
      </c>
      <c r="T95" t="e">
        <f t="shared" si="10"/>
        <v>#DIV/0!</v>
      </c>
      <c r="U95" t="e">
        <f t="shared" si="11"/>
        <v>#DIV/0!</v>
      </c>
      <c r="V95" t="e">
        <f t="shared" si="12"/>
        <v>#DIV/0!</v>
      </c>
    </row>
    <row r="96" spans="1:32" x14ac:dyDescent="0.3">
      <c r="Q96" t="e">
        <f t="shared" si="7"/>
        <v>#DIV/0!</v>
      </c>
      <c r="R96" t="e">
        <f t="shared" si="8"/>
        <v>#DIV/0!</v>
      </c>
      <c r="S96" t="e">
        <f t="shared" si="9"/>
        <v>#DIV/0!</v>
      </c>
      <c r="T96" t="e">
        <f t="shared" si="10"/>
        <v>#DIV/0!</v>
      </c>
      <c r="U96" t="e">
        <f t="shared" si="11"/>
        <v>#DIV/0!</v>
      </c>
      <c r="V96" t="e">
        <f t="shared" si="12"/>
        <v>#DIV/0!</v>
      </c>
    </row>
    <row r="97" spans="17:22" x14ac:dyDescent="0.3">
      <c r="Q97" t="e">
        <f t="shared" si="7"/>
        <v>#DIV/0!</v>
      </c>
      <c r="R97" t="e">
        <f t="shared" si="8"/>
        <v>#DIV/0!</v>
      </c>
      <c r="S97" t="e">
        <f t="shared" si="9"/>
        <v>#DIV/0!</v>
      </c>
      <c r="T97" t="e">
        <f t="shared" si="10"/>
        <v>#DIV/0!</v>
      </c>
      <c r="U97" t="e">
        <f t="shared" si="11"/>
        <v>#DIV/0!</v>
      </c>
      <c r="V97" t="e">
        <f t="shared" si="12"/>
        <v>#DIV/0!</v>
      </c>
    </row>
    <row r="98" spans="17:22" x14ac:dyDescent="0.3">
      <c r="Q98" t="e">
        <f t="shared" si="7"/>
        <v>#DIV/0!</v>
      </c>
      <c r="R98" t="e">
        <f t="shared" si="8"/>
        <v>#DIV/0!</v>
      </c>
      <c r="S98" t="e">
        <f t="shared" si="9"/>
        <v>#DIV/0!</v>
      </c>
      <c r="T98" t="e">
        <f t="shared" si="10"/>
        <v>#DIV/0!</v>
      </c>
      <c r="U98" t="e">
        <f t="shared" si="11"/>
        <v>#DIV/0!</v>
      </c>
      <c r="V98" t="e">
        <f t="shared" si="12"/>
        <v>#DIV/0!</v>
      </c>
    </row>
    <row r="99" spans="17:22" x14ac:dyDescent="0.3">
      <c r="Q99" t="e">
        <f t="shared" si="7"/>
        <v>#DIV/0!</v>
      </c>
      <c r="R99" t="e">
        <f t="shared" si="8"/>
        <v>#DIV/0!</v>
      </c>
      <c r="S99" t="e">
        <f t="shared" si="9"/>
        <v>#DIV/0!</v>
      </c>
      <c r="T99" t="e">
        <f t="shared" si="10"/>
        <v>#DIV/0!</v>
      </c>
      <c r="U99" t="e">
        <f t="shared" si="11"/>
        <v>#DIV/0!</v>
      </c>
      <c r="V99" t="e">
        <f t="shared" si="12"/>
        <v>#DIV/0!</v>
      </c>
    </row>
  </sheetData>
  <pageMargins left="0.7" right="0.7" top="0.75" bottom="0.75" header="0.3" footer="0.3"/>
</worksheet>
</file>

<file path=xl/worksheets/sheet1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C39A647-64D8-47BC-AD52-3FB80D45AD9F}">
  <dimension ref="A1:AG11"/>
  <sheetViews>
    <sheetView topLeftCell="N1" workbookViewId="0">
      <selection activeCell="AG2" activeCellId="2" sqref="V2:AC2 AF2 AG2"/>
    </sheetView>
  </sheetViews>
  <sheetFormatPr defaultRowHeight="14.4" x14ac:dyDescent="0.3"/>
  <cols>
    <col min="30" max="30" width="13.44140625" customWidth="1"/>
  </cols>
  <sheetData>
    <row r="1" spans="1:33" x14ac:dyDescent="0.3">
      <c r="A1" t="s">
        <v>24</v>
      </c>
      <c r="F1" t="s">
        <v>25</v>
      </c>
      <c r="K1" t="s">
        <v>26</v>
      </c>
      <c r="R1" t="s">
        <v>13</v>
      </c>
      <c r="S1" t="s">
        <v>14</v>
      </c>
      <c r="T1" t="s">
        <v>15</v>
      </c>
      <c r="U1" t="s">
        <v>17</v>
      </c>
      <c r="V1" t="s">
        <v>52</v>
      </c>
      <c r="W1" t="s">
        <v>45</v>
      </c>
      <c r="X1" t="s">
        <v>53</v>
      </c>
      <c r="Y1" t="s">
        <v>46</v>
      </c>
      <c r="Z1" t="s">
        <v>54</v>
      </c>
      <c r="AA1" t="s">
        <v>47</v>
      </c>
      <c r="AB1" t="s">
        <v>1</v>
      </c>
      <c r="AC1" t="s">
        <v>18</v>
      </c>
      <c r="AD1" t="s">
        <v>19</v>
      </c>
      <c r="AE1" t="s">
        <v>16</v>
      </c>
      <c r="AF1" t="s">
        <v>20</v>
      </c>
      <c r="AG1" t="s">
        <v>21</v>
      </c>
    </row>
    <row r="2" spans="1:33" x14ac:dyDescent="0.3">
      <c r="B2">
        <v>75</v>
      </c>
      <c r="C2">
        <v>25</v>
      </c>
      <c r="D2">
        <v>36</v>
      </c>
      <c r="E2">
        <v>64</v>
      </c>
      <c r="G2">
        <v>85</v>
      </c>
      <c r="H2">
        <v>15</v>
      </c>
      <c r="I2">
        <v>13</v>
      </c>
      <c r="J2">
        <v>87</v>
      </c>
      <c r="L2">
        <v>78</v>
      </c>
      <c r="M2">
        <v>22</v>
      </c>
      <c r="N2">
        <v>50</v>
      </c>
      <c r="O2">
        <v>50</v>
      </c>
      <c r="R2">
        <f>AVERAGE(C2:D2)</f>
        <v>30.5</v>
      </c>
      <c r="S2">
        <f>AVERAGE(H2,I2)</f>
        <v>14</v>
      </c>
      <c r="T2">
        <f>AVERAGE(M2:N2)</f>
        <v>36</v>
      </c>
      <c r="U2">
        <f>AVERAGE(R2:T2)</f>
        <v>26.833333333333332</v>
      </c>
      <c r="V2">
        <f>AVERAGE(R2:R34)</f>
        <v>25.75</v>
      </c>
      <c r="W2">
        <f>_xlfn.STDEV.S(R2:R34)</f>
        <v>3.0299431604496405</v>
      </c>
      <c r="X2">
        <f>AVERAGE(S2:S34)</f>
        <v>13.6</v>
      </c>
      <c r="Y2">
        <f>_xlfn.STDEV.S(S2:S34)</f>
        <v>1.663329993316623</v>
      </c>
      <c r="Z2">
        <f>AVERAGE(T2:T34)</f>
        <v>38.1</v>
      </c>
      <c r="AA2">
        <f>_xlfn.STDEV.S(T2:T34)</f>
        <v>2.9135697844549542</v>
      </c>
      <c r="AB2">
        <f>AVERAGE(U2:U34)</f>
        <v>25.816666666666663</v>
      </c>
      <c r="AC2">
        <f>_xlfn.STDEV.S(U2:U34)</f>
        <v>1.1849102690410829</v>
      </c>
      <c r="AD2">
        <f>MIN(R2:T2)</f>
        <v>14</v>
      </c>
      <c r="AE2">
        <f>(U2-AD2)</f>
        <v>12.833333333333332</v>
      </c>
      <c r="AF2">
        <f>AVERAGE(AE2:AE34)</f>
        <v>12.216666666666669</v>
      </c>
      <c r="AG2">
        <f>_xlfn.STDEV.S(AE2:AE34)</f>
        <v>1.0716607626126173</v>
      </c>
    </row>
    <row r="3" spans="1:33" x14ac:dyDescent="0.3">
      <c r="B3">
        <v>79</v>
      </c>
      <c r="C3">
        <v>21</v>
      </c>
      <c r="D3">
        <v>34</v>
      </c>
      <c r="E3">
        <v>66</v>
      </c>
      <c r="G3">
        <v>84</v>
      </c>
      <c r="H3">
        <v>16</v>
      </c>
      <c r="I3">
        <v>13</v>
      </c>
      <c r="J3">
        <v>87</v>
      </c>
      <c r="L3">
        <v>71</v>
      </c>
      <c r="M3">
        <v>29</v>
      </c>
      <c r="N3">
        <v>48</v>
      </c>
      <c r="O3">
        <v>52</v>
      </c>
      <c r="R3">
        <f t="shared" ref="R3:R11" si="0">AVERAGE(C3:D3)</f>
        <v>27.5</v>
      </c>
      <c r="S3">
        <f t="shared" ref="S3:S11" si="1">AVERAGE(H3,I3)</f>
        <v>14.5</v>
      </c>
      <c r="T3">
        <f t="shared" ref="T3:T11" si="2">AVERAGE(M3:N3)</f>
        <v>38.5</v>
      </c>
      <c r="U3">
        <f t="shared" ref="U3:U11" si="3">AVERAGE(R3:T3)</f>
        <v>26.833333333333332</v>
      </c>
      <c r="AD3">
        <f t="shared" ref="AD3:AD11" si="4">MIN(R3:T3)</f>
        <v>14.5</v>
      </c>
      <c r="AE3">
        <f t="shared" ref="AE3:AE11" si="5">(U3-AD3)</f>
        <v>12.333333333333332</v>
      </c>
    </row>
    <row r="4" spans="1:33" x14ac:dyDescent="0.3">
      <c r="B4">
        <v>75</v>
      </c>
      <c r="C4">
        <v>25</v>
      </c>
      <c r="D4">
        <v>21</v>
      </c>
      <c r="E4">
        <v>79</v>
      </c>
      <c r="G4">
        <v>76</v>
      </c>
      <c r="H4">
        <v>24</v>
      </c>
      <c r="I4">
        <v>3</v>
      </c>
      <c r="J4">
        <v>97</v>
      </c>
      <c r="L4">
        <v>62</v>
      </c>
      <c r="M4">
        <v>38</v>
      </c>
      <c r="N4">
        <v>42</v>
      </c>
      <c r="O4">
        <v>58</v>
      </c>
      <c r="R4">
        <f t="shared" si="0"/>
        <v>23</v>
      </c>
      <c r="S4">
        <f t="shared" si="1"/>
        <v>13.5</v>
      </c>
      <c r="T4">
        <f t="shared" si="2"/>
        <v>40</v>
      </c>
      <c r="U4">
        <f t="shared" si="3"/>
        <v>25.5</v>
      </c>
      <c r="AD4">
        <f t="shared" si="4"/>
        <v>13.5</v>
      </c>
      <c r="AE4">
        <f t="shared" si="5"/>
        <v>12</v>
      </c>
    </row>
    <row r="5" spans="1:33" x14ac:dyDescent="0.3">
      <c r="B5">
        <v>81</v>
      </c>
      <c r="C5">
        <v>19</v>
      </c>
      <c r="D5">
        <v>37</v>
      </c>
      <c r="E5">
        <v>63</v>
      </c>
      <c r="G5">
        <v>85</v>
      </c>
      <c r="H5">
        <v>15</v>
      </c>
      <c r="I5">
        <v>18</v>
      </c>
      <c r="J5">
        <v>82</v>
      </c>
      <c r="L5">
        <v>72</v>
      </c>
      <c r="M5">
        <v>28</v>
      </c>
      <c r="N5">
        <v>46</v>
      </c>
      <c r="O5">
        <v>54</v>
      </c>
      <c r="R5">
        <f t="shared" si="0"/>
        <v>28</v>
      </c>
      <c r="S5">
        <f t="shared" si="1"/>
        <v>16.5</v>
      </c>
      <c r="T5">
        <f t="shared" si="2"/>
        <v>37</v>
      </c>
      <c r="U5">
        <f t="shared" si="3"/>
        <v>27.166666666666668</v>
      </c>
      <c r="AD5">
        <f t="shared" si="4"/>
        <v>16.5</v>
      </c>
      <c r="AE5">
        <f t="shared" si="5"/>
        <v>10.666666666666668</v>
      </c>
    </row>
    <row r="6" spans="1:33" x14ac:dyDescent="0.3">
      <c r="B6">
        <v>77</v>
      </c>
      <c r="C6">
        <v>23</v>
      </c>
      <c r="D6">
        <v>33</v>
      </c>
      <c r="E6">
        <v>67</v>
      </c>
      <c r="G6">
        <v>83</v>
      </c>
      <c r="H6">
        <v>17</v>
      </c>
      <c r="I6">
        <v>9</v>
      </c>
      <c r="J6">
        <v>91</v>
      </c>
      <c r="L6">
        <v>83</v>
      </c>
      <c r="M6">
        <v>17</v>
      </c>
      <c r="N6">
        <v>46</v>
      </c>
      <c r="O6">
        <v>54</v>
      </c>
      <c r="R6">
        <f t="shared" si="0"/>
        <v>28</v>
      </c>
      <c r="S6">
        <f t="shared" si="1"/>
        <v>13</v>
      </c>
      <c r="T6">
        <f t="shared" si="2"/>
        <v>31.5</v>
      </c>
      <c r="U6">
        <f t="shared" si="3"/>
        <v>24.166666666666668</v>
      </c>
      <c r="AD6">
        <f t="shared" si="4"/>
        <v>13</v>
      </c>
      <c r="AE6">
        <f t="shared" si="5"/>
        <v>11.166666666666668</v>
      </c>
    </row>
    <row r="7" spans="1:33" x14ac:dyDescent="0.3">
      <c r="B7">
        <v>79</v>
      </c>
      <c r="C7">
        <v>21</v>
      </c>
      <c r="D7">
        <v>26</v>
      </c>
      <c r="E7">
        <v>74</v>
      </c>
      <c r="G7">
        <v>89</v>
      </c>
      <c r="H7">
        <v>11</v>
      </c>
      <c r="I7">
        <v>11</v>
      </c>
      <c r="J7">
        <v>89</v>
      </c>
      <c r="L7">
        <v>66</v>
      </c>
      <c r="M7">
        <v>34</v>
      </c>
      <c r="N7">
        <v>45</v>
      </c>
      <c r="O7">
        <v>55</v>
      </c>
      <c r="R7">
        <f t="shared" si="0"/>
        <v>23.5</v>
      </c>
      <c r="S7">
        <f t="shared" si="1"/>
        <v>11</v>
      </c>
      <c r="T7">
        <f t="shared" si="2"/>
        <v>39.5</v>
      </c>
      <c r="U7">
        <f t="shared" si="3"/>
        <v>24.666666666666668</v>
      </c>
      <c r="AD7">
        <f t="shared" si="4"/>
        <v>11</v>
      </c>
      <c r="AE7">
        <f t="shared" si="5"/>
        <v>13.666666666666668</v>
      </c>
    </row>
    <row r="8" spans="1:33" x14ac:dyDescent="0.3">
      <c r="B8">
        <v>78</v>
      </c>
      <c r="C8">
        <v>22</v>
      </c>
      <c r="D8">
        <v>30</v>
      </c>
      <c r="E8">
        <v>70</v>
      </c>
      <c r="G8">
        <v>81</v>
      </c>
      <c r="H8">
        <v>19</v>
      </c>
      <c r="I8">
        <v>6</v>
      </c>
      <c r="J8">
        <v>94</v>
      </c>
      <c r="L8">
        <v>70</v>
      </c>
      <c r="M8">
        <v>30</v>
      </c>
      <c r="N8">
        <v>47</v>
      </c>
      <c r="O8">
        <v>53</v>
      </c>
      <c r="R8">
        <f t="shared" si="0"/>
        <v>26</v>
      </c>
      <c r="S8">
        <f t="shared" si="1"/>
        <v>12.5</v>
      </c>
      <c r="T8">
        <f t="shared" si="2"/>
        <v>38.5</v>
      </c>
      <c r="U8">
        <f t="shared" si="3"/>
        <v>25.666666666666668</v>
      </c>
      <c r="AD8">
        <f t="shared" si="4"/>
        <v>12.5</v>
      </c>
      <c r="AE8">
        <f t="shared" si="5"/>
        <v>13.166666666666668</v>
      </c>
    </row>
    <row r="9" spans="1:33" x14ac:dyDescent="0.3">
      <c r="B9">
        <v>83</v>
      </c>
      <c r="C9">
        <v>17</v>
      </c>
      <c r="D9">
        <v>30</v>
      </c>
      <c r="E9">
        <v>70</v>
      </c>
      <c r="G9">
        <v>84</v>
      </c>
      <c r="H9">
        <v>16</v>
      </c>
      <c r="I9">
        <v>13</v>
      </c>
      <c r="J9">
        <v>87</v>
      </c>
      <c r="L9">
        <v>63</v>
      </c>
      <c r="M9">
        <v>37</v>
      </c>
      <c r="N9">
        <v>38</v>
      </c>
      <c r="O9">
        <v>62</v>
      </c>
      <c r="R9">
        <f t="shared" si="0"/>
        <v>23.5</v>
      </c>
      <c r="S9">
        <f t="shared" si="1"/>
        <v>14.5</v>
      </c>
      <c r="T9">
        <f t="shared" si="2"/>
        <v>37.5</v>
      </c>
      <c r="U9">
        <f t="shared" si="3"/>
        <v>25.166666666666668</v>
      </c>
      <c r="AD9">
        <f t="shared" si="4"/>
        <v>14.5</v>
      </c>
      <c r="AE9">
        <f t="shared" si="5"/>
        <v>10.666666666666668</v>
      </c>
    </row>
    <row r="10" spans="1:33" x14ac:dyDescent="0.3">
      <c r="B10">
        <v>84</v>
      </c>
      <c r="C10">
        <v>16</v>
      </c>
      <c r="D10">
        <v>25</v>
      </c>
      <c r="E10">
        <v>75</v>
      </c>
      <c r="G10">
        <v>84</v>
      </c>
      <c r="H10">
        <v>16</v>
      </c>
      <c r="I10">
        <v>7</v>
      </c>
      <c r="J10">
        <v>93</v>
      </c>
      <c r="L10">
        <v>64</v>
      </c>
      <c r="M10">
        <v>36</v>
      </c>
      <c r="N10">
        <v>48</v>
      </c>
      <c r="O10">
        <v>52</v>
      </c>
      <c r="R10">
        <f t="shared" si="0"/>
        <v>20.5</v>
      </c>
      <c r="S10">
        <f t="shared" si="1"/>
        <v>11.5</v>
      </c>
      <c r="T10">
        <f t="shared" si="2"/>
        <v>42</v>
      </c>
      <c r="U10">
        <f t="shared" si="3"/>
        <v>24.666666666666668</v>
      </c>
      <c r="AD10">
        <f t="shared" si="4"/>
        <v>11.5</v>
      </c>
      <c r="AE10">
        <f t="shared" si="5"/>
        <v>13.166666666666668</v>
      </c>
    </row>
    <row r="11" spans="1:33" x14ac:dyDescent="0.3">
      <c r="B11">
        <v>90</v>
      </c>
      <c r="C11">
        <v>10</v>
      </c>
      <c r="D11">
        <v>44</v>
      </c>
      <c r="E11">
        <v>56</v>
      </c>
      <c r="G11">
        <v>86</v>
      </c>
      <c r="H11">
        <v>14</v>
      </c>
      <c r="I11">
        <v>16</v>
      </c>
      <c r="J11">
        <v>84</v>
      </c>
      <c r="L11">
        <v>74</v>
      </c>
      <c r="M11">
        <v>26</v>
      </c>
      <c r="N11">
        <v>55</v>
      </c>
      <c r="O11">
        <v>45</v>
      </c>
      <c r="R11">
        <f t="shared" si="0"/>
        <v>27</v>
      </c>
      <c r="S11">
        <f t="shared" si="1"/>
        <v>15</v>
      </c>
      <c r="T11">
        <f t="shared" si="2"/>
        <v>40.5</v>
      </c>
      <c r="U11">
        <f t="shared" si="3"/>
        <v>27.5</v>
      </c>
      <c r="AD11">
        <f t="shared" si="4"/>
        <v>15</v>
      </c>
      <c r="AE11">
        <f t="shared" si="5"/>
        <v>12.5</v>
      </c>
    </row>
  </sheetData>
  <pageMargins left="0.7" right="0.7" top="0.75" bottom="0.75" header="0.3" footer="0.3"/>
</worksheet>
</file>

<file path=xl/worksheets/sheet1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319F6D0-ABAC-48C6-A867-062B0035D0C5}">
  <dimension ref="A2:AF13"/>
  <sheetViews>
    <sheetView topLeftCell="M1" workbookViewId="0">
      <selection activeCell="AF9" activeCellId="2" sqref="U9:AB9 AE9 AF9"/>
    </sheetView>
  </sheetViews>
  <sheetFormatPr defaultRowHeight="14.4" x14ac:dyDescent="0.3"/>
  <sheetData>
    <row r="2" spans="1:32" x14ac:dyDescent="0.3">
      <c r="A2" t="s">
        <v>51</v>
      </c>
      <c r="Q2" t="s">
        <v>13</v>
      </c>
      <c r="R2" t="s">
        <v>14</v>
      </c>
      <c r="S2" t="s">
        <v>15</v>
      </c>
      <c r="T2" t="s">
        <v>17</v>
      </c>
      <c r="U2" t="s">
        <v>52</v>
      </c>
      <c r="V2" t="s">
        <v>45</v>
      </c>
      <c r="W2" t="s">
        <v>53</v>
      </c>
      <c r="X2" t="s">
        <v>46</v>
      </c>
      <c r="Y2" t="s">
        <v>54</v>
      </c>
      <c r="Z2" t="s">
        <v>47</v>
      </c>
      <c r="AA2" t="s">
        <v>1</v>
      </c>
      <c r="AB2" t="s">
        <v>18</v>
      </c>
      <c r="AC2" t="s">
        <v>19</v>
      </c>
      <c r="AD2" t="s">
        <v>16</v>
      </c>
      <c r="AE2" t="s">
        <v>20</v>
      </c>
      <c r="AF2" t="s">
        <v>21</v>
      </c>
    </row>
    <row r="3" spans="1:32" x14ac:dyDescent="0.3">
      <c r="A3" t="s">
        <v>24</v>
      </c>
      <c r="F3" t="s">
        <v>25</v>
      </c>
      <c r="K3" t="s">
        <v>26</v>
      </c>
    </row>
    <row r="4" spans="1:32" x14ac:dyDescent="0.3">
      <c r="B4">
        <v>64</v>
      </c>
      <c r="C4">
        <v>36</v>
      </c>
      <c r="D4">
        <v>24</v>
      </c>
      <c r="E4">
        <v>76</v>
      </c>
      <c r="G4">
        <v>76</v>
      </c>
      <c r="H4">
        <v>24</v>
      </c>
      <c r="I4">
        <v>6</v>
      </c>
      <c r="J4">
        <v>94</v>
      </c>
      <c r="L4">
        <v>69</v>
      </c>
      <c r="M4">
        <v>31</v>
      </c>
      <c r="N4">
        <v>36</v>
      </c>
      <c r="O4">
        <v>64</v>
      </c>
      <c r="Q4">
        <f>AVERAGE(C4:D4)</f>
        <v>30</v>
      </c>
      <c r="R4">
        <f>AVERAGE(H4:I4)</f>
        <v>15</v>
      </c>
      <c r="S4">
        <f>AVERAGE(M4:N4)</f>
        <v>33.5</v>
      </c>
      <c r="T4">
        <f>AVERAGE(Q4:S4)</f>
        <v>26.166666666666668</v>
      </c>
      <c r="U4">
        <f>AVERAGE(Q4:Q7)</f>
        <v>28.125</v>
      </c>
      <c r="V4">
        <f>_xlfn.STDEV.S(Q4:Q7)</f>
        <v>2.75</v>
      </c>
      <c r="W4">
        <f>AVERAGE(R4:R7)</f>
        <v>12.5</v>
      </c>
      <c r="X4">
        <f>_xlfn.STDEV.S(R4:R7)</f>
        <v>1.8708286933869707</v>
      </c>
      <c r="Y4">
        <f>AVERAGE(S4:S7)</f>
        <v>35</v>
      </c>
      <c r="Z4">
        <f>_xlfn.STDEV.S(S4:S7)</f>
        <v>1</v>
      </c>
      <c r="AA4">
        <f>AVERAGE(T4:T7)</f>
        <v>25.208333333333336</v>
      </c>
      <c r="AB4">
        <f>_xlfn.STDEV.S(T4:T7)</f>
        <v>1.2200106253332086</v>
      </c>
      <c r="AC4">
        <f>MIN(Q4:S4)</f>
        <v>15</v>
      </c>
      <c r="AD4">
        <f>T4-AC4</f>
        <v>11.166666666666668</v>
      </c>
      <c r="AE4">
        <f>AVERAGE(AD4:AD7)</f>
        <v>12.708333333333336</v>
      </c>
      <c r="AF4">
        <f>_xlfn.STDEV.S(AD4:AD7)</f>
        <v>1.1735905652376444</v>
      </c>
    </row>
    <row r="5" spans="1:32" x14ac:dyDescent="0.3">
      <c r="B5">
        <v>80</v>
      </c>
      <c r="C5">
        <v>20</v>
      </c>
      <c r="D5">
        <v>41</v>
      </c>
      <c r="E5">
        <v>59</v>
      </c>
      <c r="G5">
        <v>90</v>
      </c>
      <c r="H5">
        <v>10</v>
      </c>
      <c r="I5">
        <v>14</v>
      </c>
      <c r="J5">
        <v>86</v>
      </c>
      <c r="L5">
        <v>71</v>
      </c>
      <c r="M5">
        <v>29</v>
      </c>
      <c r="N5">
        <v>42</v>
      </c>
      <c r="O5">
        <v>58</v>
      </c>
      <c r="Q5">
        <f t="shared" ref="Q5:Q7" si="0">AVERAGE(C5:D5)</f>
        <v>30.5</v>
      </c>
      <c r="R5">
        <f t="shared" ref="R5:R7" si="1">AVERAGE(H5:I5)</f>
        <v>12</v>
      </c>
      <c r="S5">
        <f t="shared" ref="S5:S7" si="2">AVERAGE(M5:N5)</f>
        <v>35.5</v>
      </c>
      <c r="T5">
        <f t="shared" ref="T5:T7" si="3">AVERAGE(Q5:S5)</f>
        <v>26</v>
      </c>
      <c r="AC5">
        <f t="shared" ref="AC5:AC7" si="4">MIN(Q5:S5)</f>
        <v>12</v>
      </c>
      <c r="AD5">
        <f t="shared" ref="AD5:AD7" si="5">T5-AC5</f>
        <v>14</v>
      </c>
    </row>
    <row r="6" spans="1:32" x14ac:dyDescent="0.3">
      <c r="B6">
        <v>74</v>
      </c>
      <c r="C6">
        <v>26</v>
      </c>
      <c r="D6">
        <v>23</v>
      </c>
      <c r="E6">
        <v>77</v>
      </c>
      <c r="G6">
        <v>90</v>
      </c>
      <c r="H6">
        <v>10</v>
      </c>
      <c r="I6">
        <v>11</v>
      </c>
      <c r="J6">
        <v>89</v>
      </c>
      <c r="L6">
        <v>74</v>
      </c>
      <c r="M6">
        <v>26</v>
      </c>
      <c r="N6">
        <v>45</v>
      </c>
      <c r="O6">
        <v>55</v>
      </c>
      <c r="Q6">
        <f t="shared" si="0"/>
        <v>24.5</v>
      </c>
      <c r="R6">
        <f t="shared" si="1"/>
        <v>10.5</v>
      </c>
      <c r="S6">
        <f t="shared" si="2"/>
        <v>35.5</v>
      </c>
      <c r="T6">
        <f t="shared" si="3"/>
        <v>23.5</v>
      </c>
      <c r="AC6">
        <f t="shared" si="4"/>
        <v>10.5</v>
      </c>
      <c r="AD6">
        <f t="shared" si="5"/>
        <v>13</v>
      </c>
    </row>
    <row r="7" spans="1:32" x14ac:dyDescent="0.3">
      <c r="B7">
        <v>75</v>
      </c>
      <c r="C7">
        <v>25</v>
      </c>
      <c r="D7">
        <v>30</v>
      </c>
      <c r="E7">
        <v>70</v>
      </c>
      <c r="G7">
        <v>80</v>
      </c>
      <c r="H7">
        <v>20</v>
      </c>
      <c r="I7">
        <v>5</v>
      </c>
      <c r="J7">
        <v>95</v>
      </c>
      <c r="L7">
        <v>82</v>
      </c>
      <c r="M7">
        <v>18</v>
      </c>
      <c r="N7">
        <v>53</v>
      </c>
      <c r="O7">
        <v>47</v>
      </c>
      <c r="Q7">
        <f t="shared" si="0"/>
        <v>27.5</v>
      </c>
      <c r="R7">
        <f t="shared" si="1"/>
        <v>12.5</v>
      </c>
      <c r="S7">
        <f t="shared" si="2"/>
        <v>35.5</v>
      </c>
      <c r="T7">
        <f t="shared" si="3"/>
        <v>25.166666666666668</v>
      </c>
      <c r="AC7">
        <f t="shared" si="4"/>
        <v>12.5</v>
      </c>
      <c r="AD7">
        <f t="shared" si="5"/>
        <v>12.666666666666668</v>
      </c>
    </row>
    <row r="8" spans="1:32" x14ac:dyDescent="0.3">
      <c r="A8" t="s">
        <v>70</v>
      </c>
    </row>
    <row r="9" spans="1:32" x14ac:dyDescent="0.3">
      <c r="B9">
        <v>74</v>
      </c>
      <c r="C9">
        <v>26</v>
      </c>
      <c r="D9">
        <v>28</v>
      </c>
      <c r="E9">
        <v>72</v>
      </c>
      <c r="G9">
        <v>82</v>
      </c>
      <c r="H9">
        <v>18</v>
      </c>
      <c r="I9">
        <v>9</v>
      </c>
      <c r="J9">
        <v>91</v>
      </c>
      <c r="L9">
        <v>66</v>
      </c>
      <c r="M9">
        <v>34</v>
      </c>
      <c r="N9">
        <v>39</v>
      </c>
      <c r="O9">
        <v>61</v>
      </c>
      <c r="Q9">
        <f t="shared" ref="Q9:Q13" si="6">AVERAGE(C9:D9)</f>
        <v>27</v>
      </c>
      <c r="R9">
        <f t="shared" ref="R9:R13" si="7">AVERAGE(H9:I9)</f>
        <v>13.5</v>
      </c>
      <c r="S9">
        <f t="shared" ref="S9:S13" si="8">AVERAGE(M9:N9)</f>
        <v>36.5</v>
      </c>
      <c r="T9">
        <f t="shared" ref="T9:T13" si="9">AVERAGE(Q9:S9)</f>
        <v>25.666666666666668</v>
      </c>
      <c r="U9">
        <f>AVERAGE(Q9:Q13)</f>
        <v>27.3</v>
      </c>
      <c r="V9">
        <f>_xlfn.STDEV.S(Q9:Q13)</f>
        <v>0.90829510622924747</v>
      </c>
      <c r="W9">
        <f>AVERAGE(R9:R13)</f>
        <v>14.4</v>
      </c>
      <c r="X9">
        <f>_xlfn.STDEV.S(R9:R13)</f>
        <v>2.9240383034426913</v>
      </c>
      <c r="Y9">
        <f>AVERAGE(S9:S13)</f>
        <v>37.700000000000003</v>
      </c>
      <c r="Z9">
        <f>_xlfn.STDEV.S(S9:S13)</f>
        <v>1.5247950681976905</v>
      </c>
      <c r="AA9">
        <f>AVERAGE(T9:T13)</f>
        <v>26.466666666666669</v>
      </c>
      <c r="AB9">
        <f>_xlfn.STDEV.S(T9:T13)</f>
        <v>0.96752835157999939</v>
      </c>
      <c r="AC9">
        <f t="shared" ref="AC9:AC13" si="10">MIN(Q9:S9)</f>
        <v>13.5</v>
      </c>
      <c r="AD9">
        <f t="shared" ref="AD9:AD13" si="11">T9-AC9</f>
        <v>12.166666666666668</v>
      </c>
      <c r="AE9">
        <f>AVERAGE(AD9:AD13)</f>
        <v>12.066666666666666</v>
      </c>
      <c r="AF9">
        <f>_xlfn.STDEV.S(AD9:AD13)</f>
        <v>2.0702925182473915</v>
      </c>
    </row>
    <row r="10" spans="1:32" x14ac:dyDescent="0.3">
      <c r="B10">
        <v>76</v>
      </c>
      <c r="C10">
        <v>24</v>
      </c>
      <c r="D10">
        <v>33</v>
      </c>
      <c r="E10">
        <v>67</v>
      </c>
      <c r="G10">
        <v>85</v>
      </c>
      <c r="H10">
        <v>15</v>
      </c>
      <c r="I10">
        <v>12</v>
      </c>
      <c r="J10">
        <v>88</v>
      </c>
      <c r="L10">
        <v>72</v>
      </c>
      <c r="M10">
        <v>28</v>
      </c>
      <c r="N10">
        <v>47</v>
      </c>
      <c r="O10">
        <v>53</v>
      </c>
      <c r="Q10">
        <f t="shared" si="6"/>
        <v>28.5</v>
      </c>
      <c r="R10">
        <f t="shared" si="7"/>
        <v>13.5</v>
      </c>
      <c r="S10">
        <f t="shared" si="8"/>
        <v>37.5</v>
      </c>
      <c r="T10">
        <f t="shared" si="9"/>
        <v>26.5</v>
      </c>
      <c r="AC10">
        <f t="shared" si="10"/>
        <v>13.5</v>
      </c>
      <c r="AD10">
        <f t="shared" si="11"/>
        <v>13</v>
      </c>
    </row>
    <row r="11" spans="1:32" x14ac:dyDescent="0.3">
      <c r="B11">
        <v>83</v>
      </c>
      <c r="C11">
        <v>17</v>
      </c>
      <c r="D11">
        <v>36</v>
      </c>
      <c r="E11">
        <v>64</v>
      </c>
      <c r="G11">
        <v>83</v>
      </c>
      <c r="H11">
        <v>17</v>
      </c>
      <c r="I11">
        <v>16</v>
      </c>
      <c r="J11">
        <v>84</v>
      </c>
      <c r="L11">
        <v>68</v>
      </c>
      <c r="M11">
        <v>32</v>
      </c>
      <c r="N11">
        <v>47</v>
      </c>
      <c r="O11">
        <v>53</v>
      </c>
      <c r="Q11">
        <f t="shared" si="6"/>
        <v>26.5</v>
      </c>
      <c r="R11">
        <f t="shared" si="7"/>
        <v>16.5</v>
      </c>
      <c r="S11">
        <f t="shared" si="8"/>
        <v>39.5</v>
      </c>
      <c r="T11">
        <f t="shared" si="9"/>
        <v>27.5</v>
      </c>
      <c r="AC11">
        <f t="shared" si="10"/>
        <v>16.5</v>
      </c>
      <c r="AD11">
        <f t="shared" si="11"/>
        <v>11</v>
      </c>
    </row>
    <row r="12" spans="1:32" x14ac:dyDescent="0.3">
      <c r="B12">
        <v>83</v>
      </c>
      <c r="C12">
        <v>17</v>
      </c>
      <c r="D12">
        <v>36</v>
      </c>
      <c r="E12">
        <v>64</v>
      </c>
      <c r="G12">
        <v>88</v>
      </c>
      <c r="H12">
        <v>12</v>
      </c>
      <c r="I12">
        <v>9</v>
      </c>
      <c r="J12">
        <v>91</v>
      </c>
      <c r="L12">
        <v>81</v>
      </c>
      <c r="M12">
        <v>19</v>
      </c>
      <c r="N12">
        <v>59</v>
      </c>
      <c r="O12">
        <v>41</v>
      </c>
      <c r="Q12">
        <f t="shared" si="6"/>
        <v>26.5</v>
      </c>
      <c r="R12">
        <f t="shared" si="7"/>
        <v>10.5</v>
      </c>
      <c r="S12">
        <f t="shared" si="8"/>
        <v>39</v>
      </c>
      <c r="T12">
        <f t="shared" si="9"/>
        <v>25.333333333333332</v>
      </c>
      <c r="AC12">
        <f t="shared" si="10"/>
        <v>10.5</v>
      </c>
      <c r="AD12">
        <f t="shared" si="11"/>
        <v>14.833333333333332</v>
      </c>
    </row>
    <row r="13" spans="1:32" x14ac:dyDescent="0.3">
      <c r="B13">
        <v>88</v>
      </c>
      <c r="C13">
        <v>12</v>
      </c>
      <c r="D13">
        <v>44</v>
      </c>
      <c r="E13">
        <v>56</v>
      </c>
      <c r="G13">
        <v>81</v>
      </c>
      <c r="H13">
        <v>19</v>
      </c>
      <c r="I13">
        <v>17</v>
      </c>
      <c r="J13">
        <v>83</v>
      </c>
      <c r="L13">
        <v>82</v>
      </c>
      <c r="M13">
        <v>18</v>
      </c>
      <c r="N13">
        <v>54</v>
      </c>
      <c r="O13">
        <v>46</v>
      </c>
      <c r="Q13">
        <f t="shared" si="6"/>
        <v>28</v>
      </c>
      <c r="R13">
        <f t="shared" si="7"/>
        <v>18</v>
      </c>
      <c r="S13">
        <f t="shared" si="8"/>
        <v>36</v>
      </c>
      <c r="T13">
        <f t="shared" si="9"/>
        <v>27.333333333333332</v>
      </c>
      <c r="AC13">
        <f t="shared" si="10"/>
        <v>18</v>
      </c>
      <c r="AD13">
        <f t="shared" si="11"/>
        <v>9.3333333333333321</v>
      </c>
    </row>
  </sheetData>
  <pageMargins left="0.7" right="0.7" top="0.75" bottom="0.75" header="0.3" footer="0.3"/>
</worksheet>
</file>

<file path=xl/worksheets/sheet1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6F82D8A-1A23-4CF3-9872-DA5B576CDAF9}">
  <dimension ref="A1:AR36"/>
  <sheetViews>
    <sheetView topLeftCell="O1" workbookViewId="0">
      <selection activeCell="W3" sqref="W3:AF3"/>
    </sheetView>
  </sheetViews>
  <sheetFormatPr defaultRowHeight="14.4" x14ac:dyDescent="0.3"/>
  <cols>
    <col min="34" max="34" width="26.88671875" customWidth="1"/>
    <col min="38" max="38" width="20.88671875" customWidth="1"/>
  </cols>
  <sheetData>
    <row r="1" spans="1:44" x14ac:dyDescent="0.3">
      <c r="A1" t="s">
        <v>67</v>
      </c>
    </row>
    <row r="2" spans="1:44" x14ac:dyDescent="0.3">
      <c r="A2" t="s">
        <v>24</v>
      </c>
      <c r="F2" t="s">
        <v>25</v>
      </c>
      <c r="K2" t="s">
        <v>26</v>
      </c>
      <c r="Q2" t="s">
        <v>36</v>
      </c>
      <c r="R2" t="s">
        <v>37</v>
      </c>
      <c r="S2" t="s">
        <v>38</v>
      </c>
      <c r="T2" t="s">
        <v>17</v>
      </c>
      <c r="U2" t="s">
        <v>19</v>
      </c>
      <c r="V2" t="s">
        <v>16</v>
      </c>
      <c r="W2" t="s">
        <v>6</v>
      </c>
      <c r="X2" t="s">
        <v>45</v>
      </c>
      <c r="Y2" t="s">
        <v>8</v>
      </c>
      <c r="Z2" t="s">
        <v>46</v>
      </c>
      <c r="AA2" t="s">
        <v>10</v>
      </c>
      <c r="AB2" t="s">
        <v>47</v>
      </c>
      <c r="AC2" t="s">
        <v>1</v>
      </c>
      <c r="AD2" t="s">
        <v>18</v>
      </c>
      <c r="AE2" t="s">
        <v>20</v>
      </c>
      <c r="AF2" t="s">
        <v>21</v>
      </c>
      <c r="AH2" t="s">
        <v>39</v>
      </c>
      <c r="AI2" t="s">
        <v>1</v>
      </c>
      <c r="AJ2" t="s">
        <v>20</v>
      </c>
      <c r="AL2" t="s">
        <v>40</v>
      </c>
      <c r="AM2" t="s">
        <v>1</v>
      </c>
      <c r="AN2" t="s">
        <v>20</v>
      </c>
    </row>
    <row r="3" spans="1:44" x14ac:dyDescent="0.3">
      <c r="B3">
        <v>89</v>
      </c>
      <c r="C3">
        <v>11</v>
      </c>
      <c r="D3">
        <v>26</v>
      </c>
      <c r="E3">
        <v>74</v>
      </c>
      <c r="G3">
        <v>85</v>
      </c>
      <c r="H3">
        <v>15</v>
      </c>
      <c r="I3">
        <v>14</v>
      </c>
      <c r="J3">
        <v>86</v>
      </c>
      <c r="L3">
        <v>71</v>
      </c>
      <c r="M3">
        <v>29</v>
      </c>
      <c r="N3">
        <v>49</v>
      </c>
      <c r="O3">
        <v>51</v>
      </c>
      <c r="Q3">
        <f>AVERAGE(C3,D3)</f>
        <v>18.5</v>
      </c>
      <c r="R3">
        <f>AVERAGE(H3,I3)</f>
        <v>14.5</v>
      </c>
      <c r="S3">
        <f>AVERAGE(M3,N3)</f>
        <v>39</v>
      </c>
      <c r="T3">
        <f>AVERAGE(Q3:S3)</f>
        <v>24</v>
      </c>
      <c r="U3">
        <f>MIN(Q3:S3)</f>
        <v>14.5</v>
      </c>
      <c r="V3">
        <f>(T3-U3)</f>
        <v>9.5</v>
      </c>
      <c r="W3">
        <f>AVERAGE(Q3:Q4)</f>
        <v>23.25</v>
      </c>
      <c r="X3">
        <f>_xlfn.STDEV.S(Q3:Q4)</f>
        <v>6.7175144212722016</v>
      </c>
      <c r="Y3">
        <f>AVERAGE(R3:R4)</f>
        <v>15.25</v>
      </c>
      <c r="Z3">
        <f>_xlfn.STDEV.S(R3:R4)</f>
        <v>1.0606601717798212</v>
      </c>
      <c r="AA3">
        <f>AVERAGE(S3:S4)</f>
        <v>39.25</v>
      </c>
      <c r="AB3">
        <f>_xlfn.STDEV.S(S3:S4)</f>
        <v>0.35355339059327379</v>
      </c>
      <c r="AC3">
        <f>AVERAGE(T3:T6)</f>
        <v>25.916666666666664</v>
      </c>
      <c r="AD3">
        <f>_xlfn.STDEV.S(T3:T6)</f>
        <v>2.7105759945484316</v>
      </c>
      <c r="AE3">
        <f>AVERAGE(V3:V6)</f>
        <v>10.666666666666666</v>
      </c>
      <c r="AF3">
        <f>_xlfn.STDEV.S(V3:V6)</f>
        <v>1.6499158227686042</v>
      </c>
      <c r="AH3" t="s">
        <v>41</v>
      </c>
      <c r="AL3" t="s">
        <v>42</v>
      </c>
    </row>
    <row r="4" spans="1:44" x14ac:dyDescent="0.3">
      <c r="B4">
        <v>78</v>
      </c>
      <c r="C4">
        <v>22</v>
      </c>
      <c r="D4">
        <v>34</v>
      </c>
      <c r="E4">
        <v>66</v>
      </c>
      <c r="G4">
        <v>76</v>
      </c>
      <c r="H4">
        <v>24</v>
      </c>
      <c r="I4">
        <v>8</v>
      </c>
      <c r="J4">
        <v>92</v>
      </c>
      <c r="L4">
        <v>79</v>
      </c>
      <c r="M4">
        <v>21</v>
      </c>
      <c r="N4">
        <v>58</v>
      </c>
      <c r="O4">
        <v>42</v>
      </c>
      <c r="Q4">
        <f t="shared" ref="Q4:Q27" si="0">AVERAGE(C4,D4)</f>
        <v>28</v>
      </c>
      <c r="R4">
        <f t="shared" ref="R4:R27" si="1">AVERAGE(H4,I4)</f>
        <v>16</v>
      </c>
      <c r="S4">
        <f t="shared" ref="S4:S27" si="2">AVERAGE(M4,N4)</f>
        <v>39.5</v>
      </c>
      <c r="T4">
        <f t="shared" ref="T4:T27" si="3">AVERAGE(Q4:S4)</f>
        <v>27.833333333333332</v>
      </c>
      <c r="U4">
        <f t="shared" ref="U4:U27" si="4">MIN(Q4:S4)</f>
        <v>16</v>
      </c>
      <c r="V4">
        <f>(T4-U4)</f>
        <v>11.833333333333332</v>
      </c>
      <c r="AH4" t="s">
        <v>43</v>
      </c>
      <c r="AI4">
        <v>28.041666666666668</v>
      </c>
      <c r="AJ4">
        <v>2.5972222222222219</v>
      </c>
      <c r="AL4" t="s">
        <v>43</v>
      </c>
      <c r="AM4">
        <v>28.041666666666668</v>
      </c>
      <c r="AN4">
        <v>2.5972222222222219</v>
      </c>
    </row>
    <row r="6" spans="1:44" x14ac:dyDescent="0.3">
      <c r="A6" t="s">
        <v>68</v>
      </c>
      <c r="AI6" t="s">
        <v>6</v>
      </c>
      <c r="AJ6" t="s">
        <v>45</v>
      </c>
      <c r="AK6" t="s">
        <v>8</v>
      </c>
      <c r="AL6" t="s">
        <v>46</v>
      </c>
      <c r="AM6" t="s">
        <v>10</v>
      </c>
      <c r="AN6" t="s">
        <v>47</v>
      </c>
      <c r="AO6" t="s">
        <v>1</v>
      </c>
      <c r="AP6" t="s">
        <v>18</v>
      </c>
      <c r="AQ6" t="s">
        <v>20</v>
      </c>
      <c r="AR6" t="s">
        <v>21</v>
      </c>
    </row>
    <row r="7" spans="1:44" x14ac:dyDescent="0.3">
      <c r="B7">
        <v>77</v>
      </c>
      <c r="C7">
        <v>23</v>
      </c>
      <c r="D7">
        <v>33</v>
      </c>
      <c r="E7">
        <v>67</v>
      </c>
      <c r="G7">
        <v>82</v>
      </c>
      <c r="H7">
        <v>18</v>
      </c>
      <c r="I7">
        <v>10</v>
      </c>
      <c r="J7">
        <v>90</v>
      </c>
      <c r="L7">
        <v>59</v>
      </c>
      <c r="M7">
        <v>41</v>
      </c>
      <c r="N7">
        <v>61</v>
      </c>
      <c r="O7">
        <v>39</v>
      </c>
      <c r="Q7">
        <f t="shared" ref="Q7:Q10" si="5">AVERAGE(C7,D7)</f>
        <v>28</v>
      </c>
      <c r="R7">
        <f t="shared" ref="R7:R10" si="6">AVERAGE(H7,I7)</f>
        <v>14</v>
      </c>
      <c r="S7">
        <f t="shared" ref="S7:S10" si="7">AVERAGE(M7,N7)</f>
        <v>51</v>
      </c>
      <c r="T7">
        <f t="shared" ref="T7:T10" si="8">AVERAGE(Q7:S7)</f>
        <v>31</v>
      </c>
      <c r="U7">
        <f t="shared" ref="U7:U10" si="9">MIN(Q7:S7)</f>
        <v>14</v>
      </c>
      <c r="V7">
        <f>(T7-U7)</f>
        <v>17</v>
      </c>
      <c r="W7">
        <f>AVERAGE(Q7:Q10)</f>
        <v>27.125</v>
      </c>
      <c r="X7">
        <f>_xlfn.STDEV.S(Q7:Q10)</f>
        <v>3.0103986446980739</v>
      </c>
      <c r="Y7">
        <f>AVERAGE(R7:R10)</f>
        <v>11.875</v>
      </c>
      <c r="Z7">
        <f>_xlfn.STDEV.S(R7:R10)</f>
        <v>1.6520189667999174</v>
      </c>
      <c r="AA7">
        <f>AVERAGE(S7:S10)</f>
        <v>42.5</v>
      </c>
      <c r="AB7">
        <f>_xlfn.STDEV.S(S7:S10)</f>
        <v>5.9581876439064922</v>
      </c>
      <c r="AC7">
        <f>AVERAGE(T7:T10)</f>
        <v>27.166666666666668</v>
      </c>
      <c r="AD7">
        <f>_xlfn.STDEV.S(T7:T10)</f>
        <v>2.8771127502720115</v>
      </c>
      <c r="AE7">
        <f>AVERAGE(V7:V10)</f>
        <v>15.291666666666668</v>
      </c>
      <c r="AF7">
        <f>_xlfn.STDEV.S(V7:V10)</f>
        <v>2.381934321326062</v>
      </c>
      <c r="AH7" t="s">
        <v>43</v>
      </c>
      <c r="AI7" t="e">
        <f>AVERAGE(Q17:Q20)</f>
        <v>#DIV/0!</v>
      </c>
      <c r="AJ7" t="e">
        <f>_xlfn.STDEV.S(Q17:Q20)</f>
        <v>#DIV/0!</v>
      </c>
      <c r="AK7" t="e">
        <f>AVERAGE(R17:R20)</f>
        <v>#DIV/0!</v>
      </c>
      <c r="AL7" t="e">
        <f>_xlfn.STDEV.S(R17:R20)</f>
        <v>#DIV/0!</v>
      </c>
      <c r="AM7" t="e">
        <f>AVERAGE(S17:S20)</f>
        <v>#DIV/0!</v>
      </c>
      <c r="AN7" t="e">
        <f>_xlfn.STDEV.S(S17:S20)</f>
        <v>#DIV/0!</v>
      </c>
      <c r="AO7">
        <v>28.041666666666668</v>
      </c>
      <c r="AP7">
        <v>3.0103986446980731</v>
      </c>
      <c r="AQ7">
        <v>2.5972222222222219</v>
      </c>
      <c r="AR7">
        <v>0.62915286960589489</v>
      </c>
    </row>
    <row r="8" spans="1:44" x14ac:dyDescent="0.3">
      <c r="B8">
        <v>76</v>
      </c>
      <c r="C8">
        <v>24</v>
      </c>
      <c r="D8">
        <v>26</v>
      </c>
      <c r="E8">
        <v>74</v>
      </c>
      <c r="G8">
        <v>83</v>
      </c>
      <c r="H8">
        <v>17</v>
      </c>
      <c r="I8">
        <v>7</v>
      </c>
      <c r="J8">
        <v>93</v>
      </c>
      <c r="L8">
        <v>64</v>
      </c>
      <c r="M8">
        <v>36</v>
      </c>
      <c r="N8">
        <v>43</v>
      </c>
      <c r="O8">
        <v>57</v>
      </c>
      <c r="Q8">
        <f t="shared" si="5"/>
        <v>25</v>
      </c>
      <c r="R8">
        <f t="shared" si="6"/>
        <v>12</v>
      </c>
      <c r="S8">
        <f t="shared" si="7"/>
        <v>39.5</v>
      </c>
      <c r="T8">
        <f t="shared" si="8"/>
        <v>25.5</v>
      </c>
      <c r="U8">
        <f t="shared" si="9"/>
        <v>12</v>
      </c>
      <c r="V8">
        <f t="shared" ref="V8:V15" si="10">(T8-U8)</f>
        <v>13.5</v>
      </c>
    </row>
    <row r="9" spans="1:44" x14ac:dyDescent="0.3">
      <c r="B9">
        <v>75</v>
      </c>
      <c r="C9">
        <v>25</v>
      </c>
      <c r="D9">
        <v>37</v>
      </c>
      <c r="E9">
        <v>63</v>
      </c>
      <c r="G9">
        <v>86</v>
      </c>
      <c r="H9">
        <v>14</v>
      </c>
      <c r="I9">
        <v>6</v>
      </c>
      <c r="J9">
        <v>94</v>
      </c>
      <c r="L9">
        <v>72</v>
      </c>
      <c r="M9">
        <v>28</v>
      </c>
      <c r="N9">
        <v>56</v>
      </c>
      <c r="O9">
        <v>44</v>
      </c>
      <c r="Q9">
        <f t="shared" si="5"/>
        <v>31</v>
      </c>
      <c r="R9">
        <f t="shared" si="6"/>
        <v>10</v>
      </c>
      <c r="S9">
        <f t="shared" si="7"/>
        <v>42</v>
      </c>
      <c r="T9">
        <f t="shared" si="8"/>
        <v>27.666666666666668</v>
      </c>
      <c r="U9">
        <f t="shared" si="9"/>
        <v>10</v>
      </c>
      <c r="V9">
        <f t="shared" si="10"/>
        <v>17.666666666666668</v>
      </c>
    </row>
    <row r="10" spans="1:44" x14ac:dyDescent="0.3">
      <c r="B10">
        <v>81</v>
      </c>
      <c r="C10">
        <v>19</v>
      </c>
      <c r="D10">
        <v>30</v>
      </c>
      <c r="E10">
        <v>70</v>
      </c>
      <c r="G10">
        <v>84</v>
      </c>
      <c r="H10">
        <v>16</v>
      </c>
      <c r="I10">
        <v>7</v>
      </c>
      <c r="J10">
        <v>93</v>
      </c>
      <c r="L10">
        <v>77</v>
      </c>
      <c r="M10">
        <v>23</v>
      </c>
      <c r="N10">
        <v>52</v>
      </c>
      <c r="O10">
        <v>48</v>
      </c>
      <c r="Q10">
        <f t="shared" si="5"/>
        <v>24.5</v>
      </c>
      <c r="R10">
        <f t="shared" si="6"/>
        <v>11.5</v>
      </c>
      <c r="S10">
        <f t="shared" si="7"/>
        <v>37.5</v>
      </c>
      <c r="T10">
        <f t="shared" si="8"/>
        <v>24.5</v>
      </c>
      <c r="U10">
        <f t="shared" si="9"/>
        <v>11.5</v>
      </c>
      <c r="V10">
        <f t="shared" si="10"/>
        <v>13</v>
      </c>
    </row>
    <row r="11" spans="1:44" x14ac:dyDescent="0.3">
      <c r="A11" t="s">
        <v>69</v>
      </c>
    </row>
    <row r="12" spans="1:44" x14ac:dyDescent="0.3">
      <c r="B12">
        <v>80</v>
      </c>
      <c r="C12">
        <v>20</v>
      </c>
      <c r="D12">
        <v>39</v>
      </c>
      <c r="E12">
        <v>61</v>
      </c>
      <c r="G12">
        <v>89</v>
      </c>
      <c r="H12">
        <v>11</v>
      </c>
      <c r="I12">
        <v>7</v>
      </c>
      <c r="J12">
        <v>93</v>
      </c>
      <c r="L12">
        <v>71</v>
      </c>
      <c r="M12">
        <v>29</v>
      </c>
      <c r="N12">
        <v>59</v>
      </c>
      <c r="O12">
        <v>41</v>
      </c>
      <c r="Q12">
        <f t="shared" ref="Q12:Q15" si="11">AVERAGE(C12,D12)</f>
        <v>29.5</v>
      </c>
      <c r="R12">
        <f t="shared" ref="R12:R15" si="12">AVERAGE(H12,I12)</f>
        <v>9</v>
      </c>
      <c r="S12">
        <f t="shared" ref="S12:S15" si="13">AVERAGE(M12,N12)</f>
        <v>44</v>
      </c>
      <c r="T12">
        <f t="shared" ref="T12:T15" si="14">AVERAGE(Q12:S12)</f>
        <v>27.5</v>
      </c>
      <c r="U12">
        <f t="shared" ref="U12:U15" si="15">MIN(Q12:S12)</f>
        <v>9</v>
      </c>
      <c r="V12">
        <f t="shared" si="10"/>
        <v>18.5</v>
      </c>
      <c r="W12">
        <f>AVERAGE(Q12:Q15)</f>
        <v>26.625</v>
      </c>
      <c r="X12">
        <f>_xlfn.STDEV.S(Q12:Q15)</f>
        <v>2.2867371223353739</v>
      </c>
      <c r="Y12">
        <f>AVERAGE(R12:R15)</f>
        <v>13</v>
      </c>
      <c r="Z12">
        <f>_xlfn.STDEV.S(R12:R15)</f>
        <v>3.1622776601683795</v>
      </c>
      <c r="AA12">
        <f>AVERAGE(S12:S15)</f>
        <v>41.125</v>
      </c>
      <c r="AB12">
        <f>_xlfn.STDEV.S(S12:S15)</f>
        <v>3.966001344763598</v>
      </c>
      <c r="AC12">
        <f>AVERAGE(T12:T15)</f>
        <v>26.916666666666668</v>
      </c>
      <c r="AD12">
        <f>_xlfn.STDEV.S(T12:T15)</f>
        <v>1.4813657362192647</v>
      </c>
      <c r="AE12">
        <f>AVERAGE(V12:V15)</f>
        <v>13.916666666666668</v>
      </c>
      <c r="AF12">
        <f>_xlfn.STDEV.S(V12:V15)</f>
        <v>3.2956199888808611</v>
      </c>
    </row>
    <row r="13" spans="1:44" x14ac:dyDescent="0.3">
      <c r="B13">
        <v>81</v>
      </c>
      <c r="C13">
        <v>19</v>
      </c>
      <c r="D13">
        <v>33</v>
      </c>
      <c r="E13">
        <v>67</v>
      </c>
      <c r="G13">
        <v>79</v>
      </c>
      <c r="H13">
        <v>21</v>
      </c>
      <c r="I13">
        <v>9</v>
      </c>
      <c r="J13">
        <v>91</v>
      </c>
      <c r="L13">
        <v>66</v>
      </c>
      <c r="M13">
        <v>34</v>
      </c>
      <c r="N13">
        <v>55</v>
      </c>
      <c r="O13">
        <v>45</v>
      </c>
      <c r="Q13">
        <f t="shared" si="11"/>
        <v>26</v>
      </c>
      <c r="R13">
        <f t="shared" si="12"/>
        <v>15</v>
      </c>
      <c r="S13">
        <f t="shared" si="13"/>
        <v>44.5</v>
      </c>
      <c r="T13">
        <f t="shared" si="14"/>
        <v>28.5</v>
      </c>
      <c r="U13">
        <f t="shared" si="15"/>
        <v>15</v>
      </c>
      <c r="V13">
        <f t="shared" si="10"/>
        <v>13.5</v>
      </c>
    </row>
    <row r="14" spans="1:44" x14ac:dyDescent="0.3">
      <c r="B14">
        <v>77</v>
      </c>
      <c r="C14">
        <v>23</v>
      </c>
      <c r="D14">
        <v>25</v>
      </c>
      <c r="E14">
        <v>75</v>
      </c>
      <c r="G14">
        <v>79</v>
      </c>
      <c r="H14">
        <v>21</v>
      </c>
      <c r="I14">
        <v>11</v>
      </c>
      <c r="J14">
        <v>89</v>
      </c>
      <c r="L14">
        <v>63</v>
      </c>
      <c r="M14">
        <v>37</v>
      </c>
      <c r="N14">
        <v>43</v>
      </c>
      <c r="O14">
        <v>57</v>
      </c>
      <c r="Q14">
        <f t="shared" si="11"/>
        <v>24</v>
      </c>
      <c r="R14">
        <f t="shared" si="12"/>
        <v>16</v>
      </c>
      <c r="S14">
        <f t="shared" si="13"/>
        <v>40</v>
      </c>
      <c r="T14">
        <f t="shared" si="14"/>
        <v>26.666666666666668</v>
      </c>
      <c r="U14">
        <f t="shared" si="15"/>
        <v>16</v>
      </c>
      <c r="V14">
        <f t="shared" si="10"/>
        <v>10.666666666666668</v>
      </c>
    </row>
    <row r="15" spans="1:44" x14ac:dyDescent="0.3">
      <c r="B15">
        <v>88</v>
      </c>
      <c r="C15">
        <v>12</v>
      </c>
      <c r="D15">
        <v>42</v>
      </c>
      <c r="E15">
        <v>58</v>
      </c>
      <c r="G15">
        <v>85</v>
      </c>
      <c r="H15">
        <v>15</v>
      </c>
      <c r="I15">
        <v>9</v>
      </c>
      <c r="J15">
        <v>91</v>
      </c>
      <c r="L15">
        <v>71</v>
      </c>
      <c r="M15">
        <v>29</v>
      </c>
      <c r="N15">
        <v>43</v>
      </c>
      <c r="O15">
        <v>57</v>
      </c>
      <c r="Q15">
        <f t="shared" si="11"/>
        <v>27</v>
      </c>
      <c r="R15">
        <f t="shared" si="12"/>
        <v>12</v>
      </c>
      <c r="S15">
        <f t="shared" si="13"/>
        <v>36</v>
      </c>
      <c r="T15">
        <f t="shared" si="14"/>
        <v>25</v>
      </c>
      <c r="U15">
        <f t="shared" si="15"/>
        <v>12</v>
      </c>
      <c r="V15">
        <f t="shared" si="10"/>
        <v>13</v>
      </c>
    </row>
    <row r="24" spans="17:32" x14ac:dyDescent="0.3">
      <c r="Q24" t="e">
        <f t="shared" si="0"/>
        <v>#DIV/0!</v>
      </c>
      <c r="R24" t="e">
        <f t="shared" si="1"/>
        <v>#DIV/0!</v>
      </c>
      <c r="S24" t="e">
        <f t="shared" si="2"/>
        <v>#DIV/0!</v>
      </c>
      <c r="T24" t="e">
        <f t="shared" si="3"/>
        <v>#DIV/0!</v>
      </c>
      <c r="U24" t="e">
        <f t="shared" si="4"/>
        <v>#DIV/0!</v>
      </c>
      <c r="V24" t="e">
        <f>(1/3)*(T24-U24)</f>
        <v>#DIV/0!</v>
      </c>
      <c r="AC24" t="e">
        <f>AVERAGE(T24:T27)</f>
        <v>#DIV/0!</v>
      </c>
      <c r="AD24" t="e">
        <f>_xlfn.STDEV.S(T24:T27)</f>
        <v>#DIV/0!</v>
      </c>
      <c r="AE24" t="e">
        <f>AVERAGE(V24:V27)</f>
        <v>#DIV/0!</v>
      </c>
      <c r="AF24" t="e">
        <f>_xlfn.STDEV.S(V24:V27)</f>
        <v>#DIV/0!</v>
      </c>
    </row>
    <row r="25" spans="17:32" x14ac:dyDescent="0.3">
      <c r="Q25" t="e">
        <f t="shared" si="0"/>
        <v>#DIV/0!</v>
      </c>
      <c r="R25" t="e">
        <f t="shared" si="1"/>
        <v>#DIV/0!</v>
      </c>
      <c r="S25" t="e">
        <f t="shared" si="2"/>
        <v>#DIV/0!</v>
      </c>
      <c r="T25" t="e">
        <f t="shared" si="3"/>
        <v>#DIV/0!</v>
      </c>
      <c r="U25" t="e">
        <f t="shared" si="4"/>
        <v>#DIV/0!</v>
      </c>
      <c r="V25" t="e">
        <f>(1/3)*(T25-U25)</f>
        <v>#DIV/0!</v>
      </c>
    </row>
    <row r="26" spans="17:32" x14ac:dyDescent="0.3">
      <c r="Q26" t="e">
        <f t="shared" si="0"/>
        <v>#DIV/0!</v>
      </c>
      <c r="R26" t="e">
        <f t="shared" si="1"/>
        <v>#DIV/0!</v>
      </c>
      <c r="S26" t="e">
        <f t="shared" si="2"/>
        <v>#DIV/0!</v>
      </c>
      <c r="T26" t="e">
        <f t="shared" si="3"/>
        <v>#DIV/0!</v>
      </c>
      <c r="U26" t="e">
        <f t="shared" si="4"/>
        <v>#DIV/0!</v>
      </c>
      <c r="V26" t="e">
        <f>(1/3)*(T26-U26)</f>
        <v>#DIV/0!</v>
      </c>
    </row>
    <row r="27" spans="17:32" x14ac:dyDescent="0.3">
      <c r="Q27" t="e">
        <f t="shared" si="0"/>
        <v>#DIV/0!</v>
      </c>
      <c r="R27" t="e">
        <f t="shared" si="1"/>
        <v>#DIV/0!</v>
      </c>
      <c r="S27" t="e">
        <f t="shared" si="2"/>
        <v>#DIV/0!</v>
      </c>
      <c r="T27" t="e">
        <f t="shared" si="3"/>
        <v>#DIV/0!</v>
      </c>
      <c r="U27" t="e">
        <f t="shared" si="4"/>
        <v>#DIV/0!</v>
      </c>
      <c r="V27" t="e">
        <f>(1/3)*(T27-U27)</f>
        <v>#DIV/0!</v>
      </c>
    </row>
    <row r="31" spans="17:32" x14ac:dyDescent="0.3">
      <c r="Q31" t="e">
        <f t="shared" ref="Q31:Q36" si="16">AVERAGE(C31,D31)</f>
        <v>#DIV/0!</v>
      </c>
      <c r="R31" t="e">
        <f t="shared" ref="R31:R36" si="17">AVERAGE(H31,I31)</f>
        <v>#DIV/0!</v>
      </c>
      <c r="S31" t="e">
        <f t="shared" ref="S31:S36" si="18">AVERAGE(M31,N31)</f>
        <v>#DIV/0!</v>
      </c>
      <c r="T31" t="e">
        <f t="shared" ref="T31:T36" si="19">AVERAGE(Q31:S31)</f>
        <v>#DIV/0!</v>
      </c>
      <c r="U31" t="e">
        <f t="shared" ref="U31:U36" si="20">MIN(Q31:S31)</f>
        <v>#DIV/0!</v>
      </c>
      <c r="V31" t="e">
        <f t="shared" ref="V31:V36" si="21">(1/3)*(T31-U31)</f>
        <v>#DIV/0!</v>
      </c>
      <c r="AC31" t="e">
        <f>AVERAGE(T31:T36)</f>
        <v>#DIV/0!</v>
      </c>
      <c r="AD31" t="e">
        <f>_xlfn.STDEV.S(T31:T36)</f>
        <v>#DIV/0!</v>
      </c>
      <c r="AE31" t="e">
        <f>AVERAGE(V31:V36)</f>
        <v>#DIV/0!</v>
      </c>
      <c r="AF31" t="e">
        <f>_xlfn.STDEV.S(V31:V36)</f>
        <v>#DIV/0!</v>
      </c>
    </row>
    <row r="32" spans="17:32" x14ac:dyDescent="0.3">
      <c r="Q32" t="e">
        <f t="shared" si="16"/>
        <v>#DIV/0!</v>
      </c>
      <c r="R32" t="e">
        <f t="shared" si="17"/>
        <v>#DIV/0!</v>
      </c>
      <c r="S32" t="e">
        <f t="shared" si="18"/>
        <v>#DIV/0!</v>
      </c>
      <c r="T32" t="e">
        <f t="shared" si="19"/>
        <v>#DIV/0!</v>
      </c>
      <c r="U32" t="e">
        <f t="shared" si="20"/>
        <v>#DIV/0!</v>
      </c>
      <c r="V32" t="e">
        <f t="shared" si="21"/>
        <v>#DIV/0!</v>
      </c>
    </row>
    <row r="33" spans="17:22" x14ac:dyDescent="0.3">
      <c r="Q33" t="e">
        <f t="shared" si="16"/>
        <v>#DIV/0!</v>
      </c>
      <c r="R33" t="e">
        <f t="shared" si="17"/>
        <v>#DIV/0!</v>
      </c>
      <c r="S33" t="e">
        <f t="shared" si="18"/>
        <v>#DIV/0!</v>
      </c>
      <c r="T33" t="e">
        <f t="shared" si="19"/>
        <v>#DIV/0!</v>
      </c>
      <c r="U33" t="e">
        <f t="shared" si="20"/>
        <v>#DIV/0!</v>
      </c>
      <c r="V33" t="e">
        <f t="shared" si="21"/>
        <v>#DIV/0!</v>
      </c>
    </row>
    <row r="34" spans="17:22" x14ac:dyDescent="0.3">
      <c r="Q34" t="e">
        <f t="shared" si="16"/>
        <v>#DIV/0!</v>
      </c>
      <c r="R34" t="e">
        <f t="shared" si="17"/>
        <v>#DIV/0!</v>
      </c>
      <c r="S34" t="e">
        <f t="shared" si="18"/>
        <v>#DIV/0!</v>
      </c>
      <c r="T34" t="e">
        <f t="shared" si="19"/>
        <v>#DIV/0!</v>
      </c>
      <c r="U34" t="e">
        <f t="shared" si="20"/>
        <v>#DIV/0!</v>
      </c>
      <c r="V34" t="e">
        <f t="shared" si="21"/>
        <v>#DIV/0!</v>
      </c>
    </row>
    <row r="35" spans="17:22" x14ac:dyDescent="0.3">
      <c r="Q35" t="e">
        <f t="shared" si="16"/>
        <v>#DIV/0!</v>
      </c>
      <c r="R35" t="e">
        <f t="shared" si="17"/>
        <v>#DIV/0!</v>
      </c>
      <c r="S35" t="e">
        <f t="shared" si="18"/>
        <v>#DIV/0!</v>
      </c>
      <c r="T35" t="e">
        <f t="shared" si="19"/>
        <v>#DIV/0!</v>
      </c>
      <c r="U35" t="e">
        <f t="shared" si="20"/>
        <v>#DIV/0!</v>
      </c>
      <c r="V35" t="e">
        <f t="shared" si="21"/>
        <v>#DIV/0!</v>
      </c>
    </row>
    <row r="36" spans="17:22" x14ac:dyDescent="0.3">
      <c r="Q36" t="e">
        <f t="shared" si="16"/>
        <v>#DIV/0!</v>
      </c>
      <c r="R36" t="e">
        <f t="shared" si="17"/>
        <v>#DIV/0!</v>
      </c>
      <c r="S36" t="e">
        <f t="shared" si="18"/>
        <v>#DIV/0!</v>
      </c>
      <c r="T36" t="e">
        <f t="shared" si="19"/>
        <v>#DIV/0!</v>
      </c>
      <c r="U36" t="e">
        <f t="shared" si="20"/>
        <v>#DIV/0!</v>
      </c>
      <c r="V36" t="e">
        <f t="shared" si="21"/>
        <v>#DIV/0!</v>
      </c>
    </row>
  </sheetData>
  <pageMargins left="0.7" right="0.7" top="0.75" bottom="0.75" header="0.3" footer="0.3"/>
</worksheet>
</file>

<file path=xl/worksheets/sheet1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214124B-224B-4F9B-B528-181D112DB9C5}">
  <dimension ref="A1:AR36"/>
  <sheetViews>
    <sheetView topLeftCell="M1" workbookViewId="0">
      <selection activeCell="W7" sqref="W7:AF7"/>
    </sheetView>
  </sheetViews>
  <sheetFormatPr defaultRowHeight="14.4" x14ac:dyDescent="0.3"/>
  <cols>
    <col min="34" max="34" width="26.88671875" customWidth="1"/>
    <col min="38" max="38" width="20.88671875" customWidth="1"/>
  </cols>
  <sheetData>
    <row r="1" spans="1:44" x14ac:dyDescent="0.3">
      <c r="A1" t="s">
        <v>67</v>
      </c>
    </row>
    <row r="2" spans="1:44" x14ac:dyDescent="0.3">
      <c r="A2" t="s">
        <v>24</v>
      </c>
      <c r="F2" t="s">
        <v>25</v>
      </c>
      <c r="K2" t="s">
        <v>26</v>
      </c>
      <c r="Q2" t="s">
        <v>36</v>
      </c>
      <c r="R2" t="s">
        <v>37</v>
      </c>
      <c r="S2" t="s">
        <v>38</v>
      </c>
      <c r="T2" t="s">
        <v>17</v>
      </c>
      <c r="U2" t="s">
        <v>19</v>
      </c>
      <c r="V2" t="s">
        <v>16</v>
      </c>
      <c r="W2" t="s">
        <v>6</v>
      </c>
      <c r="X2" t="s">
        <v>45</v>
      </c>
      <c r="Y2" t="s">
        <v>8</v>
      </c>
      <c r="Z2" t="s">
        <v>46</v>
      </c>
      <c r="AA2" t="s">
        <v>10</v>
      </c>
      <c r="AB2" t="s">
        <v>47</v>
      </c>
      <c r="AC2" t="s">
        <v>1</v>
      </c>
      <c r="AD2" t="s">
        <v>18</v>
      </c>
      <c r="AE2" t="s">
        <v>20</v>
      </c>
      <c r="AF2" t="s">
        <v>21</v>
      </c>
      <c r="AH2" t="s">
        <v>39</v>
      </c>
      <c r="AI2" t="s">
        <v>1</v>
      </c>
      <c r="AJ2" t="s">
        <v>20</v>
      </c>
      <c r="AL2" t="s">
        <v>40</v>
      </c>
      <c r="AM2" t="s">
        <v>1</v>
      </c>
      <c r="AN2" t="s">
        <v>20</v>
      </c>
    </row>
    <row r="3" spans="1:44" x14ac:dyDescent="0.3">
      <c r="B3">
        <v>84</v>
      </c>
      <c r="C3">
        <v>16</v>
      </c>
      <c r="D3">
        <v>44</v>
      </c>
      <c r="E3">
        <v>56</v>
      </c>
      <c r="G3">
        <v>79</v>
      </c>
      <c r="H3">
        <v>21</v>
      </c>
      <c r="I3">
        <v>8</v>
      </c>
      <c r="J3">
        <v>92</v>
      </c>
      <c r="L3">
        <v>74</v>
      </c>
      <c r="M3">
        <v>26</v>
      </c>
      <c r="N3">
        <v>56</v>
      </c>
      <c r="O3">
        <v>44</v>
      </c>
      <c r="Q3">
        <f>AVERAGE(C3,D3)</f>
        <v>30</v>
      </c>
      <c r="R3">
        <f>AVERAGE(H3,I3)</f>
        <v>14.5</v>
      </c>
      <c r="S3">
        <f>AVERAGE(M3,N3)</f>
        <v>41</v>
      </c>
      <c r="T3">
        <f>AVERAGE(Q3:S3)</f>
        <v>28.5</v>
      </c>
      <c r="U3">
        <f>MIN(Q3:S3)</f>
        <v>14.5</v>
      </c>
      <c r="V3">
        <f>(T3-U3)</f>
        <v>14</v>
      </c>
      <c r="W3">
        <f>AVERAGE(Q3:Q4)</f>
        <v>29</v>
      </c>
      <c r="X3">
        <f>_xlfn.STDEV.S(Q3:Q4)</f>
        <v>1.4142135623730951</v>
      </c>
      <c r="Y3">
        <f>AVERAGE(R3:R4)</f>
        <v>15.25</v>
      </c>
      <c r="Z3">
        <f>_xlfn.STDEV.S(R3:R4)</f>
        <v>1.0606601717798212</v>
      </c>
      <c r="AA3">
        <f>AVERAGE(S3:S4)</f>
        <v>41.75</v>
      </c>
      <c r="AB3">
        <f>_xlfn.STDEV.S(S3:S4)</f>
        <v>1.0606601717798212</v>
      </c>
      <c r="AC3">
        <f>AVERAGE(T3:T6)</f>
        <v>28.666666666666664</v>
      </c>
      <c r="AD3">
        <f>_xlfn.STDEV.S(T3:T6)</f>
        <v>0.23570226039551501</v>
      </c>
      <c r="AE3">
        <f>AVERAGE(V3:V6)</f>
        <v>13.416666666666666</v>
      </c>
      <c r="AF3">
        <f>_xlfn.STDEV.S(V3:V6)</f>
        <v>0.8249579113843063</v>
      </c>
      <c r="AH3" t="s">
        <v>41</v>
      </c>
      <c r="AL3" t="s">
        <v>42</v>
      </c>
    </row>
    <row r="4" spans="1:44" x14ac:dyDescent="0.3">
      <c r="B4">
        <v>84</v>
      </c>
      <c r="C4">
        <v>16</v>
      </c>
      <c r="D4">
        <v>40</v>
      </c>
      <c r="E4">
        <v>60</v>
      </c>
      <c r="G4">
        <v>82</v>
      </c>
      <c r="H4">
        <v>18</v>
      </c>
      <c r="I4">
        <v>14</v>
      </c>
      <c r="J4">
        <v>86</v>
      </c>
      <c r="L4">
        <v>62</v>
      </c>
      <c r="M4">
        <v>38</v>
      </c>
      <c r="N4">
        <v>47</v>
      </c>
      <c r="O4">
        <v>53</v>
      </c>
      <c r="Q4">
        <f t="shared" ref="Q4:Q27" si="0">AVERAGE(C4,D4)</f>
        <v>28</v>
      </c>
      <c r="R4">
        <f t="shared" ref="R4:R27" si="1">AVERAGE(H4,I4)</f>
        <v>16</v>
      </c>
      <c r="S4">
        <f t="shared" ref="S4:S27" si="2">AVERAGE(M4,N4)</f>
        <v>42.5</v>
      </c>
      <c r="T4">
        <f t="shared" ref="T4:T27" si="3">AVERAGE(Q4:S4)</f>
        <v>28.833333333333332</v>
      </c>
      <c r="U4">
        <f t="shared" ref="U4:U27" si="4">MIN(Q4:S4)</f>
        <v>16</v>
      </c>
      <c r="V4">
        <f>(T4-U4)</f>
        <v>12.833333333333332</v>
      </c>
      <c r="AH4" t="s">
        <v>43</v>
      </c>
      <c r="AI4">
        <v>28.041666666666668</v>
      </c>
      <c r="AJ4">
        <v>2.5972222222222219</v>
      </c>
      <c r="AL4" t="s">
        <v>43</v>
      </c>
      <c r="AM4">
        <v>28.041666666666668</v>
      </c>
      <c r="AN4">
        <v>2.5972222222222219</v>
      </c>
    </row>
    <row r="6" spans="1:44" x14ac:dyDescent="0.3">
      <c r="A6" t="s">
        <v>68</v>
      </c>
      <c r="AI6" t="s">
        <v>6</v>
      </c>
      <c r="AJ6" t="s">
        <v>45</v>
      </c>
      <c r="AK6" t="s">
        <v>8</v>
      </c>
      <c r="AL6" t="s">
        <v>46</v>
      </c>
      <c r="AM6" t="s">
        <v>10</v>
      </c>
      <c r="AN6" t="s">
        <v>47</v>
      </c>
      <c r="AO6" t="s">
        <v>1</v>
      </c>
      <c r="AP6" t="s">
        <v>18</v>
      </c>
      <c r="AQ6" t="s">
        <v>20</v>
      </c>
      <c r="AR6" t="s">
        <v>21</v>
      </c>
    </row>
    <row r="7" spans="1:44" x14ac:dyDescent="0.3">
      <c r="B7">
        <v>84</v>
      </c>
      <c r="C7">
        <v>16</v>
      </c>
      <c r="D7">
        <v>45</v>
      </c>
      <c r="E7">
        <v>55</v>
      </c>
      <c r="G7">
        <v>88</v>
      </c>
      <c r="H7">
        <v>12</v>
      </c>
      <c r="I7">
        <v>13</v>
      </c>
      <c r="J7">
        <v>87</v>
      </c>
      <c r="L7">
        <v>75</v>
      </c>
      <c r="M7">
        <v>25</v>
      </c>
      <c r="N7">
        <v>47</v>
      </c>
      <c r="O7">
        <v>53</v>
      </c>
      <c r="Q7">
        <f t="shared" ref="Q7" si="5">AVERAGE(C7,D7)</f>
        <v>30.5</v>
      </c>
      <c r="R7">
        <f t="shared" ref="R7" si="6">AVERAGE(H7,I7)</f>
        <v>12.5</v>
      </c>
      <c r="S7">
        <f t="shared" ref="S7" si="7">AVERAGE(M7,N7)</f>
        <v>36</v>
      </c>
      <c r="T7">
        <f t="shared" ref="T7" si="8">AVERAGE(Q7:S7)</f>
        <v>26.333333333333332</v>
      </c>
      <c r="U7">
        <f t="shared" ref="U7" si="9">MIN(Q7:S7)</f>
        <v>12.5</v>
      </c>
      <c r="V7">
        <f t="shared" ref="V7:V15" si="10">(T7-U7)</f>
        <v>13.833333333333332</v>
      </c>
      <c r="W7">
        <f>AVERAGE(Q7:Q10)</f>
        <v>26.625</v>
      </c>
      <c r="X7">
        <f>_xlfn.STDEV.S(Q7:Q10)</f>
        <v>3.1721443851123801</v>
      </c>
      <c r="Y7">
        <f>AVERAGE(R7:R10)</f>
        <v>11.625</v>
      </c>
      <c r="Z7">
        <f>_xlfn.STDEV.S(R7:R10)</f>
        <v>2.7801378862687129</v>
      </c>
      <c r="AA7">
        <f>AVERAGE(S7:S10)</f>
        <v>38.375</v>
      </c>
      <c r="AB7">
        <f>_xlfn.STDEV.S(S7:S10)</f>
        <v>1.8874586088176875</v>
      </c>
      <c r="AC7">
        <f>AVERAGE(T7:T10)</f>
        <v>25.541666666666668</v>
      </c>
      <c r="AD7">
        <f>_xlfn.STDEV.S(T7:T10)</f>
        <v>1.8327019114674095</v>
      </c>
      <c r="AE7">
        <f>AVERAGE(V7:V10)</f>
        <v>13.916666666666668</v>
      </c>
      <c r="AF7">
        <f>_xlfn.STDEV.S(V7:V10)</f>
        <v>0.9670497325294003</v>
      </c>
      <c r="AH7" t="s">
        <v>43</v>
      </c>
      <c r="AI7" t="e">
        <f>AVERAGE(Q17:Q20)</f>
        <v>#DIV/0!</v>
      </c>
      <c r="AJ7" t="e">
        <f>_xlfn.STDEV.S(Q17:Q20)</f>
        <v>#DIV/0!</v>
      </c>
      <c r="AK7" t="e">
        <f>AVERAGE(R17:R20)</f>
        <v>#DIV/0!</v>
      </c>
      <c r="AL7" t="e">
        <f>_xlfn.STDEV.S(R17:R20)</f>
        <v>#DIV/0!</v>
      </c>
      <c r="AM7" t="e">
        <f>AVERAGE(S17:S20)</f>
        <v>#DIV/0!</v>
      </c>
      <c r="AN7" t="e">
        <f>_xlfn.STDEV.S(S17:S20)</f>
        <v>#DIV/0!</v>
      </c>
      <c r="AO7">
        <v>28.041666666666668</v>
      </c>
      <c r="AP7">
        <v>3.0103986446980731</v>
      </c>
      <c r="AQ7">
        <v>2.5972222222222219</v>
      </c>
      <c r="AR7">
        <v>0.62915286960589489</v>
      </c>
    </row>
    <row r="8" spans="1:44" x14ac:dyDescent="0.3">
      <c r="B8">
        <v>73</v>
      </c>
      <c r="C8">
        <v>27</v>
      </c>
      <c r="D8">
        <v>28</v>
      </c>
      <c r="E8">
        <v>72</v>
      </c>
      <c r="G8">
        <v>80</v>
      </c>
      <c r="H8">
        <v>20</v>
      </c>
      <c r="I8">
        <v>10</v>
      </c>
      <c r="J8">
        <v>90</v>
      </c>
      <c r="L8">
        <v>69</v>
      </c>
      <c r="M8">
        <v>31</v>
      </c>
      <c r="N8">
        <v>50</v>
      </c>
      <c r="O8">
        <v>50</v>
      </c>
      <c r="Q8">
        <f t="shared" ref="Q8:Q10" si="11">AVERAGE(C8,D8)</f>
        <v>27.5</v>
      </c>
      <c r="R8">
        <f t="shared" ref="R8:R10" si="12">AVERAGE(H8,I8)</f>
        <v>15</v>
      </c>
      <c r="S8">
        <f t="shared" ref="S8:S10" si="13">AVERAGE(M8,N8)</f>
        <v>40.5</v>
      </c>
      <c r="T8">
        <f t="shared" ref="T8:T10" si="14">AVERAGE(Q8:S8)</f>
        <v>27.666666666666668</v>
      </c>
      <c r="U8">
        <f t="shared" ref="U8:U10" si="15">MIN(Q8:S8)</f>
        <v>15</v>
      </c>
      <c r="V8">
        <f t="shared" si="10"/>
        <v>12.666666666666668</v>
      </c>
    </row>
    <row r="9" spans="1:44" x14ac:dyDescent="0.3">
      <c r="B9">
        <v>85</v>
      </c>
      <c r="C9">
        <v>15</v>
      </c>
      <c r="D9">
        <v>31</v>
      </c>
      <c r="E9">
        <v>69</v>
      </c>
      <c r="G9">
        <v>87</v>
      </c>
      <c r="H9">
        <v>13</v>
      </c>
      <c r="I9">
        <v>4</v>
      </c>
      <c r="J9">
        <v>96</v>
      </c>
      <c r="L9">
        <v>71</v>
      </c>
      <c r="M9">
        <v>29</v>
      </c>
      <c r="N9">
        <v>49</v>
      </c>
      <c r="O9">
        <v>51</v>
      </c>
      <c r="Q9">
        <f t="shared" si="11"/>
        <v>23</v>
      </c>
      <c r="R9">
        <f t="shared" si="12"/>
        <v>8.5</v>
      </c>
      <c r="S9">
        <f t="shared" si="13"/>
        <v>39</v>
      </c>
      <c r="T9">
        <f t="shared" si="14"/>
        <v>23.5</v>
      </c>
      <c r="U9">
        <f t="shared" si="15"/>
        <v>8.5</v>
      </c>
      <c r="V9">
        <f t="shared" si="10"/>
        <v>15</v>
      </c>
    </row>
    <row r="10" spans="1:44" x14ac:dyDescent="0.3">
      <c r="B10">
        <v>84</v>
      </c>
      <c r="C10">
        <v>16</v>
      </c>
      <c r="D10">
        <v>35</v>
      </c>
      <c r="E10">
        <v>65</v>
      </c>
      <c r="G10">
        <v>88</v>
      </c>
      <c r="H10">
        <v>12</v>
      </c>
      <c r="I10">
        <v>9</v>
      </c>
      <c r="J10">
        <v>91</v>
      </c>
      <c r="L10">
        <v>71</v>
      </c>
      <c r="M10">
        <v>29</v>
      </c>
      <c r="N10">
        <v>47</v>
      </c>
      <c r="O10">
        <v>53</v>
      </c>
      <c r="Q10">
        <f t="shared" si="11"/>
        <v>25.5</v>
      </c>
      <c r="R10">
        <f t="shared" si="12"/>
        <v>10.5</v>
      </c>
      <c r="S10">
        <f t="shared" si="13"/>
        <v>38</v>
      </c>
      <c r="T10">
        <f t="shared" si="14"/>
        <v>24.666666666666668</v>
      </c>
      <c r="U10">
        <f t="shared" si="15"/>
        <v>10.5</v>
      </c>
      <c r="V10">
        <f t="shared" si="10"/>
        <v>14.166666666666668</v>
      </c>
    </row>
    <row r="11" spans="1:44" x14ac:dyDescent="0.3">
      <c r="A11" t="s">
        <v>69</v>
      </c>
    </row>
    <row r="12" spans="1:44" x14ac:dyDescent="0.3">
      <c r="B12">
        <v>79</v>
      </c>
      <c r="C12">
        <v>21</v>
      </c>
      <c r="D12">
        <v>30</v>
      </c>
      <c r="E12">
        <v>70</v>
      </c>
      <c r="G12">
        <v>78</v>
      </c>
      <c r="H12">
        <v>22</v>
      </c>
      <c r="I12">
        <v>8</v>
      </c>
      <c r="J12">
        <v>92</v>
      </c>
      <c r="L12">
        <v>69</v>
      </c>
      <c r="M12">
        <v>31</v>
      </c>
      <c r="N12">
        <v>38</v>
      </c>
      <c r="O12">
        <v>62</v>
      </c>
      <c r="Q12">
        <f t="shared" ref="Q12" si="16">AVERAGE(C12,D12)</f>
        <v>25.5</v>
      </c>
      <c r="R12">
        <f t="shared" ref="R12" si="17">AVERAGE(H12,I12)</f>
        <v>15</v>
      </c>
      <c r="S12">
        <f t="shared" ref="S12" si="18">AVERAGE(M12,N12)</f>
        <v>34.5</v>
      </c>
      <c r="T12">
        <f t="shared" ref="T12" si="19">AVERAGE(Q12:S12)</f>
        <v>25</v>
      </c>
      <c r="U12">
        <f t="shared" ref="U12" si="20">MIN(Q12:S12)</f>
        <v>15</v>
      </c>
      <c r="V12">
        <f t="shared" si="10"/>
        <v>10</v>
      </c>
      <c r="AC12">
        <f>AVERAGE(T12:T15)</f>
        <v>26.5</v>
      </c>
      <c r="AE12">
        <f>AVERAGE(V12:V15)</f>
        <v>11.625</v>
      </c>
    </row>
    <row r="13" spans="1:44" x14ac:dyDescent="0.3">
      <c r="B13">
        <v>79</v>
      </c>
      <c r="C13">
        <v>21</v>
      </c>
      <c r="D13">
        <v>28</v>
      </c>
      <c r="E13">
        <v>72</v>
      </c>
      <c r="G13">
        <v>85</v>
      </c>
      <c r="H13">
        <v>15</v>
      </c>
      <c r="I13">
        <v>14</v>
      </c>
      <c r="J13">
        <v>86</v>
      </c>
      <c r="L13">
        <v>65</v>
      </c>
      <c r="M13">
        <v>35</v>
      </c>
      <c r="N13">
        <v>47</v>
      </c>
      <c r="O13">
        <v>53</v>
      </c>
      <c r="Q13">
        <f t="shared" ref="Q13:Q15" si="21">AVERAGE(C13,D13)</f>
        <v>24.5</v>
      </c>
      <c r="R13">
        <f t="shared" ref="R13:R15" si="22">AVERAGE(H13,I13)</f>
        <v>14.5</v>
      </c>
      <c r="S13">
        <f t="shared" ref="S13:S15" si="23">AVERAGE(M13,N13)</f>
        <v>41</v>
      </c>
      <c r="T13">
        <f t="shared" ref="T13:T15" si="24">AVERAGE(Q13:S13)</f>
        <v>26.666666666666668</v>
      </c>
      <c r="U13">
        <f t="shared" ref="U13:U15" si="25">MIN(Q13:S13)</f>
        <v>14.5</v>
      </c>
      <c r="V13">
        <f t="shared" si="10"/>
        <v>12.166666666666668</v>
      </c>
    </row>
    <row r="14" spans="1:44" x14ac:dyDescent="0.3">
      <c r="B14">
        <v>73</v>
      </c>
      <c r="C14">
        <v>27</v>
      </c>
      <c r="D14">
        <v>31</v>
      </c>
      <c r="E14">
        <v>69</v>
      </c>
      <c r="G14">
        <v>77</v>
      </c>
      <c r="H14">
        <v>23</v>
      </c>
      <c r="I14">
        <v>14</v>
      </c>
      <c r="J14">
        <v>86</v>
      </c>
      <c r="L14">
        <v>65</v>
      </c>
      <c r="M14">
        <v>35</v>
      </c>
      <c r="N14">
        <v>46</v>
      </c>
      <c r="O14">
        <v>54</v>
      </c>
      <c r="Q14">
        <f t="shared" si="21"/>
        <v>29</v>
      </c>
      <c r="R14">
        <f t="shared" si="22"/>
        <v>18.5</v>
      </c>
      <c r="S14">
        <f t="shared" si="23"/>
        <v>40.5</v>
      </c>
      <c r="T14">
        <f t="shared" si="24"/>
        <v>29.333333333333332</v>
      </c>
      <c r="U14">
        <f t="shared" si="25"/>
        <v>18.5</v>
      </c>
      <c r="V14">
        <f t="shared" si="10"/>
        <v>10.833333333333332</v>
      </c>
    </row>
    <row r="15" spans="1:44" x14ac:dyDescent="0.3">
      <c r="B15">
        <v>77</v>
      </c>
      <c r="C15">
        <v>23</v>
      </c>
      <c r="D15">
        <v>29</v>
      </c>
      <c r="E15">
        <v>71</v>
      </c>
      <c r="G15">
        <v>84</v>
      </c>
      <c r="H15">
        <v>16</v>
      </c>
      <c r="I15">
        <v>7</v>
      </c>
      <c r="J15">
        <v>93</v>
      </c>
      <c r="L15">
        <v>68</v>
      </c>
      <c r="M15">
        <v>32</v>
      </c>
      <c r="N15">
        <v>43</v>
      </c>
      <c r="O15">
        <v>57</v>
      </c>
      <c r="Q15">
        <f t="shared" si="21"/>
        <v>26</v>
      </c>
      <c r="R15">
        <f t="shared" si="22"/>
        <v>11.5</v>
      </c>
      <c r="S15">
        <f t="shared" si="23"/>
        <v>37.5</v>
      </c>
      <c r="T15">
        <f t="shared" si="24"/>
        <v>25</v>
      </c>
      <c r="U15">
        <f t="shared" si="25"/>
        <v>11.5</v>
      </c>
      <c r="V15">
        <f t="shared" si="10"/>
        <v>13.5</v>
      </c>
    </row>
    <row r="24" spans="17:32" x14ac:dyDescent="0.3">
      <c r="Q24" t="e">
        <f t="shared" si="0"/>
        <v>#DIV/0!</v>
      </c>
      <c r="R24" t="e">
        <f t="shared" si="1"/>
        <v>#DIV/0!</v>
      </c>
      <c r="S24" t="e">
        <f t="shared" si="2"/>
        <v>#DIV/0!</v>
      </c>
      <c r="T24" t="e">
        <f t="shared" si="3"/>
        <v>#DIV/0!</v>
      </c>
      <c r="U24" t="e">
        <f t="shared" si="4"/>
        <v>#DIV/0!</v>
      </c>
      <c r="V24" t="e">
        <f>(1/3)*(T24-U24)</f>
        <v>#DIV/0!</v>
      </c>
      <c r="AC24" t="e">
        <f>AVERAGE(T24:T27)</f>
        <v>#DIV/0!</v>
      </c>
      <c r="AD24" t="e">
        <f>_xlfn.STDEV.S(T24:T27)</f>
        <v>#DIV/0!</v>
      </c>
      <c r="AE24" t="e">
        <f>AVERAGE(V24:V27)</f>
        <v>#DIV/0!</v>
      </c>
      <c r="AF24" t="e">
        <f>_xlfn.STDEV.S(V24:V27)</f>
        <v>#DIV/0!</v>
      </c>
    </row>
    <row r="25" spans="17:32" x14ac:dyDescent="0.3">
      <c r="Q25" t="e">
        <f t="shared" si="0"/>
        <v>#DIV/0!</v>
      </c>
      <c r="R25" t="e">
        <f t="shared" si="1"/>
        <v>#DIV/0!</v>
      </c>
      <c r="S25" t="e">
        <f t="shared" si="2"/>
        <v>#DIV/0!</v>
      </c>
      <c r="T25" t="e">
        <f t="shared" si="3"/>
        <v>#DIV/0!</v>
      </c>
      <c r="U25" t="e">
        <f t="shared" si="4"/>
        <v>#DIV/0!</v>
      </c>
      <c r="V25" t="e">
        <f>(1/3)*(T25-U25)</f>
        <v>#DIV/0!</v>
      </c>
    </row>
    <row r="26" spans="17:32" x14ac:dyDescent="0.3">
      <c r="Q26" t="e">
        <f t="shared" si="0"/>
        <v>#DIV/0!</v>
      </c>
      <c r="R26" t="e">
        <f t="shared" si="1"/>
        <v>#DIV/0!</v>
      </c>
      <c r="S26" t="e">
        <f t="shared" si="2"/>
        <v>#DIV/0!</v>
      </c>
      <c r="T26" t="e">
        <f t="shared" si="3"/>
        <v>#DIV/0!</v>
      </c>
      <c r="U26" t="e">
        <f t="shared" si="4"/>
        <v>#DIV/0!</v>
      </c>
      <c r="V26" t="e">
        <f>(1/3)*(T26-U26)</f>
        <v>#DIV/0!</v>
      </c>
    </row>
    <row r="27" spans="17:32" x14ac:dyDescent="0.3">
      <c r="Q27" t="e">
        <f t="shared" si="0"/>
        <v>#DIV/0!</v>
      </c>
      <c r="R27" t="e">
        <f t="shared" si="1"/>
        <v>#DIV/0!</v>
      </c>
      <c r="S27" t="e">
        <f t="shared" si="2"/>
        <v>#DIV/0!</v>
      </c>
      <c r="T27" t="e">
        <f t="shared" si="3"/>
        <v>#DIV/0!</v>
      </c>
      <c r="U27" t="e">
        <f t="shared" si="4"/>
        <v>#DIV/0!</v>
      </c>
      <c r="V27" t="e">
        <f>(1/3)*(T27-U27)</f>
        <v>#DIV/0!</v>
      </c>
    </row>
    <row r="31" spans="17:32" x14ac:dyDescent="0.3">
      <c r="Q31" t="e">
        <f t="shared" ref="Q31:Q36" si="26">AVERAGE(C31,D31)</f>
        <v>#DIV/0!</v>
      </c>
      <c r="R31" t="e">
        <f t="shared" ref="R31:R36" si="27">AVERAGE(H31,I31)</f>
        <v>#DIV/0!</v>
      </c>
      <c r="S31" t="e">
        <f t="shared" ref="S31:S36" si="28">AVERAGE(M31,N31)</f>
        <v>#DIV/0!</v>
      </c>
      <c r="T31" t="e">
        <f t="shared" ref="T31:T36" si="29">AVERAGE(Q31:S31)</f>
        <v>#DIV/0!</v>
      </c>
      <c r="U31" t="e">
        <f t="shared" ref="U31:U36" si="30">MIN(Q31:S31)</f>
        <v>#DIV/0!</v>
      </c>
      <c r="V31" t="e">
        <f t="shared" ref="V31:V36" si="31">(1/3)*(T31-U31)</f>
        <v>#DIV/0!</v>
      </c>
      <c r="AC31" t="e">
        <f>AVERAGE(T31:T36)</f>
        <v>#DIV/0!</v>
      </c>
      <c r="AD31" t="e">
        <f>_xlfn.STDEV.S(T31:T36)</f>
        <v>#DIV/0!</v>
      </c>
      <c r="AE31" t="e">
        <f>AVERAGE(V31:V36)</f>
        <v>#DIV/0!</v>
      </c>
      <c r="AF31" t="e">
        <f>_xlfn.STDEV.S(V31:V36)</f>
        <v>#DIV/0!</v>
      </c>
    </row>
    <row r="32" spans="17:32" x14ac:dyDescent="0.3">
      <c r="Q32" t="e">
        <f t="shared" si="26"/>
        <v>#DIV/0!</v>
      </c>
      <c r="R32" t="e">
        <f t="shared" si="27"/>
        <v>#DIV/0!</v>
      </c>
      <c r="S32" t="e">
        <f t="shared" si="28"/>
        <v>#DIV/0!</v>
      </c>
      <c r="T32" t="e">
        <f t="shared" si="29"/>
        <v>#DIV/0!</v>
      </c>
      <c r="U32" t="e">
        <f t="shared" si="30"/>
        <v>#DIV/0!</v>
      </c>
      <c r="V32" t="e">
        <f t="shared" si="31"/>
        <v>#DIV/0!</v>
      </c>
    </row>
    <row r="33" spans="17:22" x14ac:dyDescent="0.3">
      <c r="Q33" t="e">
        <f t="shared" si="26"/>
        <v>#DIV/0!</v>
      </c>
      <c r="R33" t="e">
        <f t="shared" si="27"/>
        <v>#DIV/0!</v>
      </c>
      <c r="S33" t="e">
        <f t="shared" si="28"/>
        <v>#DIV/0!</v>
      </c>
      <c r="T33" t="e">
        <f t="shared" si="29"/>
        <v>#DIV/0!</v>
      </c>
      <c r="U33" t="e">
        <f t="shared" si="30"/>
        <v>#DIV/0!</v>
      </c>
      <c r="V33" t="e">
        <f t="shared" si="31"/>
        <v>#DIV/0!</v>
      </c>
    </row>
    <row r="34" spans="17:22" x14ac:dyDescent="0.3">
      <c r="Q34" t="e">
        <f t="shared" si="26"/>
        <v>#DIV/0!</v>
      </c>
      <c r="R34" t="e">
        <f t="shared" si="27"/>
        <v>#DIV/0!</v>
      </c>
      <c r="S34" t="e">
        <f t="shared" si="28"/>
        <v>#DIV/0!</v>
      </c>
      <c r="T34" t="e">
        <f t="shared" si="29"/>
        <v>#DIV/0!</v>
      </c>
      <c r="U34" t="e">
        <f t="shared" si="30"/>
        <v>#DIV/0!</v>
      </c>
      <c r="V34" t="e">
        <f t="shared" si="31"/>
        <v>#DIV/0!</v>
      </c>
    </row>
    <row r="35" spans="17:22" x14ac:dyDescent="0.3">
      <c r="Q35" t="e">
        <f t="shared" si="26"/>
        <v>#DIV/0!</v>
      </c>
      <c r="R35" t="e">
        <f t="shared" si="27"/>
        <v>#DIV/0!</v>
      </c>
      <c r="S35" t="e">
        <f t="shared" si="28"/>
        <v>#DIV/0!</v>
      </c>
      <c r="T35" t="e">
        <f t="shared" si="29"/>
        <v>#DIV/0!</v>
      </c>
      <c r="U35" t="e">
        <f t="shared" si="30"/>
        <v>#DIV/0!</v>
      </c>
      <c r="V35" t="e">
        <f t="shared" si="31"/>
        <v>#DIV/0!</v>
      </c>
    </row>
    <row r="36" spans="17:22" x14ac:dyDescent="0.3">
      <c r="Q36" t="e">
        <f t="shared" si="26"/>
        <v>#DIV/0!</v>
      </c>
      <c r="R36" t="e">
        <f t="shared" si="27"/>
        <v>#DIV/0!</v>
      </c>
      <c r="S36" t="e">
        <f t="shared" si="28"/>
        <v>#DIV/0!</v>
      </c>
      <c r="T36" t="e">
        <f t="shared" si="29"/>
        <v>#DIV/0!</v>
      </c>
      <c r="U36" t="e">
        <f t="shared" si="30"/>
        <v>#DIV/0!</v>
      </c>
      <c r="V36" t="e">
        <f t="shared" si="31"/>
        <v>#DIV/0!</v>
      </c>
    </row>
  </sheetData>
  <pageMargins left="0.7" right="0.7" top="0.75" bottom="0.75" header="0.3" footer="0.3"/>
  <pageSetup paperSize="9" orientation="portrait" r:id="rId1"/>
</worksheet>
</file>

<file path=xl/worksheets/sheet1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3D9506E-E2C3-4105-A101-2ED902EAE848}">
  <dimension ref="A1:AF109"/>
  <sheetViews>
    <sheetView workbookViewId="0">
      <selection activeCell="AF16" activeCellId="2" sqref="U16:AB16 AE16 AF16"/>
    </sheetView>
  </sheetViews>
  <sheetFormatPr defaultRowHeight="14.4" x14ac:dyDescent="0.3"/>
  <cols>
    <col min="21" max="21" width="11.44140625" customWidth="1"/>
    <col min="28" max="28" width="9.109375" customWidth="1"/>
    <col min="32" max="32" width="20.88671875" customWidth="1"/>
  </cols>
  <sheetData>
    <row r="1" spans="1:32" x14ac:dyDescent="0.3">
      <c r="A1" t="s">
        <v>23</v>
      </c>
    </row>
    <row r="2" spans="1:32" x14ac:dyDescent="0.3">
      <c r="A2" t="s">
        <v>24</v>
      </c>
      <c r="F2" t="s">
        <v>25</v>
      </c>
      <c r="K2" t="s">
        <v>26</v>
      </c>
      <c r="Q2" t="s">
        <v>13</v>
      </c>
      <c r="R2" t="s">
        <v>14</v>
      </c>
      <c r="S2" t="s">
        <v>15</v>
      </c>
      <c r="T2" t="s">
        <v>17</v>
      </c>
      <c r="U2" t="s">
        <v>52</v>
      </c>
      <c r="V2" t="s">
        <v>45</v>
      </c>
      <c r="W2" t="s">
        <v>53</v>
      </c>
      <c r="X2" t="s">
        <v>46</v>
      </c>
      <c r="Y2" t="s">
        <v>54</v>
      </c>
      <c r="Z2" t="s">
        <v>47</v>
      </c>
      <c r="AA2" t="s">
        <v>1</v>
      </c>
      <c r="AB2" t="s">
        <v>18</v>
      </c>
      <c r="AC2" t="s">
        <v>19</v>
      </c>
      <c r="AD2" t="s">
        <v>16</v>
      </c>
      <c r="AE2" t="s">
        <v>20</v>
      </c>
      <c r="AF2" t="s">
        <v>21</v>
      </c>
    </row>
    <row r="14" spans="1:32" x14ac:dyDescent="0.3">
      <c r="A14" t="s">
        <v>22</v>
      </c>
    </row>
    <row r="15" spans="1:32" x14ac:dyDescent="0.3">
      <c r="A15" t="s">
        <v>24</v>
      </c>
    </row>
    <row r="16" spans="1:32" x14ac:dyDescent="0.3">
      <c r="B16">
        <v>72</v>
      </c>
      <c r="C16">
        <v>28</v>
      </c>
      <c r="D16">
        <v>34</v>
      </c>
      <c r="E16">
        <v>66</v>
      </c>
      <c r="G16">
        <v>86</v>
      </c>
      <c r="H16">
        <v>14</v>
      </c>
      <c r="I16">
        <v>7</v>
      </c>
      <c r="J16">
        <v>93</v>
      </c>
      <c r="L16">
        <v>64</v>
      </c>
      <c r="M16">
        <v>36</v>
      </c>
      <c r="N16">
        <v>30</v>
      </c>
      <c r="O16">
        <v>70</v>
      </c>
      <c r="Q16">
        <f>AVERAGE(C16:D16)</f>
        <v>31</v>
      </c>
      <c r="R16">
        <f>AVERAGE(H16:I16)</f>
        <v>10.5</v>
      </c>
      <c r="S16">
        <f>AVERAGE(M16:N16)</f>
        <v>33</v>
      </c>
      <c r="T16">
        <f>AVERAGE(Q16:S16)</f>
        <v>24.833333333333332</v>
      </c>
      <c r="U16">
        <f>AVERAGE(Q16:Q18)</f>
        <v>29.5</v>
      </c>
      <c r="V16">
        <f>_xlfn.STDEV.S(Q16:Q18)</f>
        <v>1.5</v>
      </c>
      <c r="W16">
        <f>AVERAGE(R16:R18)</f>
        <v>10.5</v>
      </c>
      <c r="X16">
        <f>_xlfn.STDEV.S(R16:R18)</f>
        <v>0.5</v>
      </c>
      <c r="Y16">
        <f>AVERAGE(S16:S18)</f>
        <v>34.333333333333336</v>
      </c>
      <c r="Z16">
        <f>_xlfn.STDEV.S(S16:S18)</f>
        <v>1.2583057392117916</v>
      </c>
      <c r="AA16">
        <f>AVERAGE(T16:T18)</f>
        <v>24.777777777777775</v>
      </c>
      <c r="AB16">
        <f>_xlfn.STDEV.S(S16:S18)</f>
        <v>1.2583057392117916</v>
      </c>
      <c r="AC16">
        <f>MIN(Q16:S16)</f>
        <v>10.5</v>
      </c>
      <c r="AD16">
        <f>T16-AC16</f>
        <v>14.333333333333332</v>
      </c>
      <c r="AE16">
        <f>AVERAGE(AD16:AD18)</f>
        <v>14.277777777777777</v>
      </c>
      <c r="AF16">
        <f>_xlfn.STDEV.S(AD16:AD18)</f>
        <v>9.6225044864936257E-2</v>
      </c>
    </row>
    <row r="17" spans="1:30" x14ac:dyDescent="0.3">
      <c r="B17">
        <v>77</v>
      </c>
      <c r="C17">
        <v>23</v>
      </c>
      <c r="D17">
        <v>36</v>
      </c>
      <c r="E17">
        <v>64</v>
      </c>
      <c r="G17">
        <v>86</v>
      </c>
      <c r="H17">
        <v>14</v>
      </c>
      <c r="I17">
        <v>8</v>
      </c>
      <c r="J17">
        <v>92</v>
      </c>
      <c r="L17">
        <v>64</v>
      </c>
      <c r="M17">
        <v>36</v>
      </c>
      <c r="N17">
        <v>35</v>
      </c>
      <c r="O17">
        <v>65</v>
      </c>
      <c r="Q17">
        <f t="shared" ref="Q17:Q18" si="0">AVERAGE(C17:D17)</f>
        <v>29.5</v>
      </c>
      <c r="R17">
        <f t="shared" ref="R17:R18" si="1">AVERAGE(H17:I17)</f>
        <v>11</v>
      </c>
      <c r="S17">
        <f t="shared" ref="S17:S18" si="2">AVERAGE(M17:N17)</f>
        <v>35.5</v>
      </c>
      <c r="T17">
        <f t="shared" ref="T17:T18" si="3">AVERAGE(Q17:S17)</f>
        <v>25.333333333333332</v>
      </c>
      <c r="AC17">
        <f t="shared" ref="AC17:AC18" si="4">MIN(Q17:S17)</f>
        <v>11</v>
      </c>
      <c r="AD17">
        <f t="shared" ref="AD17:AD18" si="5">T17-AC17</f>
        <v>14.333333333333332</v>
      </c>
    </row>
    <row r="18" spans="1:30" x14ac:dyDescent="0.3">
      <c r="B18">
        <v>81</v>
      </c>
      <c r="C18">
        <v>19</v>
      </c>
      <c r="D18">
        <v>37</v>
      </c>
      <c r="E18">
        <v>63</v>
      </c>
      <c r="G18">
        <v>91</v>
      </c>
      <c r="H18">
        <v>9</v>
      </c>
      <c r="I18">
        <v>11</v>
      </c>
      <c r="J18">
        <v>89</v>
      </c>
      <c r="L18">
        <v>84</v>
      </c>
      <c r="M18">
        <v>16</v>
      </c>
      <c r="N18">
        <v>53</v>
      </c>
      <c r="O18">
        <v>47</v>
      </c>
      <c r="Q18">
        <f t="shared" si="0"/>
        <v>28</v>
      </c>
      <c r="R18">
        <f t="shared" si="1"/>
        <v>10</v>
      </c>
      <c r="S18">
        <f t="shared" si="2"/>
        <v>34.5</v>
      </c>
      <c r="T18">
        <f t="shared" si="3"/>
        <v>24.166666666666668</v>
      </c>
      <c r="AC18">
        <f t="shared" si="4"/>
        <v>10</v>
      </c>
      <c r="AD18">
        <f t="shared" si="5"/>
        <v>14.166666666666668</v>
      </c>
    </row>
    <row r="26" spans="1:30" x14ac:dyDescent="0.3">
      <c r="A26" t="s">
        <v>27</v>
      </c>
    </row>
    <row r="27" spans="1:30" x14ac:dyDescent="0.3">
      <c r="A27" t="s">
        <v>24</v>
      </c>
    </row>
    <row r="28" spans="1:30" x14ac:dyDescent="0.3">
      <c r="Q28" t="e">
        <f t="shared" ref="Q28:Q67" si="6">AVERAGE(C28,D28)</f>
        <v>#DIV/0!</v>
      </c>
      <c r="R28" t="e">
        <f t="shared" ref="R28:R67" si="7">AVERAGE(H28:I28)</f>
        <v>#DIV/0!</v>
      </c>
      <c r="S28" t="e">
        <f t="shared" ref="S28:S67" si="8">AVERAGE(M28,N28)</f>
        <v>#DIV/0!</v>
      </c>
      <c r="T28" t="e">
        <f t="shared" ref="T28:T67" si="9">AVERAGE(Q28:S28)</f>
        <v>#DIV/0!</v>
      </c>
      <c r="U28" t="e">
        <f t="shared" ref="U28:U67" si="10">MIN(Q28:S28)</f>
        <v>#DIV/0!</v>
      </c>
      <c r="V28" t="e">
        <f t="shared" ref="V28:V67" si="11">(1/3)*(T28-U28)</f>
        <v>#DIV/0!</v>
      </c>
      <c r="W28" t="e">
        <f>AVERAGE(T28:T30)</f>
        <v>#DIV/0!</v>
      </c>
      <c r="X28" t="e">
        <f>_xlfn.STDEV.S(T28:T30)</f>
        <v>#DIV/0!</v>
      </c>
      <c r="Y28" t="e">
        <f>AVERAGE(V28:V30)</f>
        <v>#DIV/0!</v>
      </c>
      <c r="Z28" t="e">
        <f>_xlfn.STDEV.S(V28:V30)</f>
        <v>#DIV/0!</v>
      </c>
    </row>
    <row r="29" spans="1:30" x14ac:dyDescent="0.3">
      <c r="Q29" t="e">
        <f t="shared" si="6"/>
        <v>#DIV/0!</v>
      </c>
      <c r="R29" t="e">
        <f t="shared" si="7"/>
        <v>#DIV/0!</v>
      </c>
      <c r="S29" t="e">
        <f t="shared" si="8"/>
        <v>#DIV/0!</v>
      </c>
      <c r="T29" t="e">
        <f t="shared" si="9"/>
        <v>#DIV/0!</v>
      </c>
      <c r="U29" t="e">
        <f t="shared" si="10"/>
        <v>#DIV/0!</v>
      </c>
      <c r="V29" t="e">
        <f t="shared" si="11"/>
        <v>#DIV/0!</v>
      </c>
    </row>
    <row r="30" spans="1:30" x14ac:dyDescent="0.3">
      <c r="Q30" t="e">
        <f t="shared" si="6"/>
        <v>#DIV/0!</v>
      </c>
      <c r="R30" t="e">
        <f t="shared" si="7"/>
        <v>#DIV/0!</v>
      </c>
      <c r="S30" t="e">
        <f t="shared" si="8"/>
        <v>#DIV/0!</v>
      </c>
      <c r="T30" t="e">
        <f t="shared" si="9"/>
        <v>#DIV/0!</v>
      </c>
      <c r="U30" t="e">
        <f t="shared" si="10"/>
        <v>#DIV/0!</v>
      </c>
      <c r="V30" t="e">
        <f t="shared" si="11"/>
        <v>#DIV/0!</v>
      </c>
    </row>
    <row r="32" spans="1:30" x14ac:dyDescent="0.3">
      <c r="A32" t="s">
        <v>28</v>
      </c>
    </row>
    <row r="33" spans="1:26" x14ac:dyDescent="0.3">
      <c r="A33" t="s">
        <v>24</v>
      </c>
    </row>
    <row r="34" spans="1:26" x14ac:dyDescent="0.3">
      <c r="Q34" t="e">
        <f t="shared" si="6"/>
        <v>#DIV/0!</v>
      </c>
      <c r="R34" t="e">
        <f t="shared" si="7"/>
        <v>#DIV/0!</v>
      </c>
      <c r="S34" t="e">
        <f t="shared" si="8"/>
        <v>#DIV/0!</v>
      </c>
      <c r="T34" t="e">
        <f t="shared" si="9"/>
        <v>#DIV/0!</v>
      </c>
      <c r="U34" t="e">
        <f t="shared" si="10"/>
        <v>#DIV/0!</v>
      </c>
      <c r="V34" t="e">
        <f t="shared" si="11"/>
        <v>#DIV/0!</v>
      </c>
      <c r="W34" t="e">
        <f>AVERAGE(T34:T42)</f>
        <v>#DIV/0!</v>
      </c>
      <c r="X34" t="e">
        <f>_xlfn.STDEV.S(T34:T42)</f>
        <v>#DIV/0!</v>
      </c>
      <c r="Y34" t="e">
        <f>AVERAGE(V34:V42)</f>
        <v>#DIV/0!</v>
      </c>
      <c r="Z34" t="e">
        <f>_xlfn.STDEV.S(V34:V42)</f>
        <v>#DIV/0!</v>
      </c>
    </row>
    <row r="35" spans="1:26" x14ac:dyDescent="0.3">
      <c r="Q35" t="e">
        <f t="shared" si="6"/>
        <v>#DIV/0!</v>
      </c>
      <c r="R35" t="e">
        <f t="shared" si="7"/>
        <v>#DIV/0!</v>
      </c>
      <c r="S35" t="e">
        <f t="shared" si="8"/>
        <v>#DIV/0!</v>
      </c>
      <c r="T35" t="e">
        <f t="shared" si="9"/>
        <v>#DIV/0!</v>
      </c>
      <c r="U35" t="e">
        <f t="shared" si="10"/>
        <v>#DIV/0!</v>
      </c>
      <c r="V35" t="e">
        <f t="shared" si="11"/>
        <v>#DIV/0!</v>
      </c>
    </row>
    <row r="36" spans="1:26" x14ac:dyDescent="0.3">
      <c r="Q36" t="e">
        <f t="shared" si="6"/>
        <v>#DIV/0!</v>
      </c>
      <c r="R36" t="e">
        <f t="shared" si="7"/>
        <v>#DIV/0!</v>
      </c>
      <c r="S36" t="e">
        <f t="shared" si="8"/>
        <v>#DIV/0!</v>
      </c>
      <c r="T36" t="e">
        <f t="shared" si="9"/>
        <v>#DIV/0!</v>
      </c>
      <c r="U36" t="e">
        <f t="shared" si="10"/>
        <v>#DIV/0!</v>
      </c>
      <c r="V36" t="e">
        <f t="shared" si="11"/>
        <v>#DIV/0!</v>
      </c>
    </row>
    <row r="37" spans="1:26" x14ac:dyDescent="0.3">
      <c r="Q37" t="e">
        <f t="shared" si="6"/>
        <v>#DIV/0!</v>
      </c>
      <c r="R37" t="e">
        <f t="shared" si="7"/>
        <v>#DIV/0!</v>
      </c>
      <c r="S37" t="e">
        <f t="shared" si="8"/>
        <v>#DIV/0!</v>
      </c>
      <c r="T37" t="e">
        <f t="shared" si="9"/>
        <v>#DIV/0!</v>
      </c>
      <c r="U37" t="e">
        <f t="shared" si="10"/>
        <v>#DIV/0!</v>
      </c>
      <c r="V37" t="e">
        <f t="shared" si="11"/>
        <v>#DIV/0!</v>
      </c>
    </row>
    <row r="38" spans="1:26" x14ac:dyDescent="0.3">
      <c r="Q38" t="e">
        <f t="shared" si="6"/>
        <v>#DIV/0!</v>
      </c>
      <c r="R38" t="e">
        <f t="shared" si="7"/>
        <v>#DIV/0!</v>
      </c>
      <c r="S38" t="e">
        <f t="shared" si="8"/>
        <v>#DIV/0!</v>
      </c>
      <c r="T38" t="e">
        <f t="shared" si="9"/>
        <v>#DIV/0!</v>
      </c>
      <c r="U38" t="e">
        <f t="shared" si="10"/>
        <v>#DIV/0!</v>
      </c>
      <c r="V38" t="e">
        <f t="shared" si="11"/>
        <v>#DIV/0!</v>
      </c>
    </row>
    <row r="39" spans="1:26" x14ac:dyDescent="0.3">
      <c r="Q39" t="e">
        <f t="shared" si="6"/>
        <v>#DIV/0!</v>
      </c>
      <c r="R39" t="e">
        <f t="shared" si="7"/>
        <v>#DIV/0!</v>
      </c>
      <c r="S39" t="e">
        <f t="shared" si="8"/>
        <v>#DIV/0!</v>
      </c>
      <c r="T39" t="e">
        <f t="shared" si="9"/>
        <v>#DIV/0!</v>
      </c>
      <c r="U39" t="e">
        <f t="shared" si="10"/>
        <v>#DIV/0!</v>
      </c>
      <c r="V39" t="e">
        <f t="shared" si="11"/>
        <v>#DIV/0!</v>
      </c>
    </row>
    <row r="40" spans="1:26" x14ac:dyDescent="0.3">
      <c r="Q40" t="e">
        <f t="shared" si="6"/>
        <v>#DIV/0!</v>
      </c>
      <c r="R40" t="e">
        <f t="shared" si="7"/>
        <v>#DIV/0!</v>
      </c>
      <c r="S40" t="e">
        <f t="shared" si="8"/>
        <v>#DIV/0!</v>
      </c>
      <c r="T40" t="e">
        <f t="shared" si="9"/>
        <v>#DIV/0!</v>
      </c>
      <c r="U40" t="e">
        <f t="shared" si="10"/>
        <v>#DIV/0!</v>
      </c>
      <c r="V40" t="e">
        <f t="shared" si="11"/>
        <v>#DIV/0!</v>
      </c>
    </row>
    <row r="41" spans="1:26" x14ac:dyDescent="0.3">
      <c r="Q41" t="e">
        <f t="shared" si="6"/>
        <v>#DIV/0!</v>
      </c>
      <c r="R41" t="e">
        <f t="shared" si="7"/>
        <v>#DIV/0!</v>
      </c>
      <c r="S41" t="e">
        <f t="shared" si="8"/>
        <v>#DIV/0!</v>
      </c>
      <c r="T41" t="e">
        <f t="shared" si="9"/>
        <v>#DIV/0!</v>
      </c>
      <c r="U41" t="e">
        <f t="shared" si="10"/>
        <v>#DIV/0!</v>
      </c>
      <c r="V41" t="e">
        <f t="shared" si="11"/>
        <v>#DIV/0!</v>
      </c>
    </row>
    <row r="42" spans="1:26" x14ac:dyDescent="0.3">
      <c r="Q42" t="e">
        <f t="shared" si="6"/>
        <v>#DIV/0!</v>
      </c>
      <c r="R42" t="e">
        <f t="shared" si="7"/>
        <v>#DIV/0!</v>
      </c>
      <c r="S42" t="e">
        <f t="shared" si="8"/>
        <v>#DIV/0!</v>
      </c>
      <c r="T42" t="e">
        <f t="shared" si="9"/>
        <v>#DIV/0!</v>
      </c>
      <c r="U42" t="e">
        <f t="shared" si="10"/>
        <v>#DIV/0!</v>
      </c>
      <c r="V42" t="e">
        <f t="shared" si="11"/>
        <v>#DIV/0!</v>
      </c>
    </row>
    <row r="44" spans="1:26" x14ac:dyDescent="0.3">
      <c r="A44" t="s">
        <v>29</v>
      </c>
    </row>
    <row r="45" spans="1:26" x14ac:dyDescent="0.3">
      <c r="A45" t="s">
        <v>24</v>
      </c>
    </row>
    <row r="46" spans="1:26" x14ac:dyDescent="0.3">
      <c r="Q46" t="e">
        <f t="shared" si="6"/>
        <v>#DIV/0!</v>
      </c>
      <c r="R46" t="e">
        <f t="shared" si="7"/>
        <v>#DIV/0!</v>
      </c>
      <c r="S46" t="e">
        <f t="shared" si="8"/>
        <v>#DIV/0!</v>
      </c>
      <c r="T46" t="e">
        <f t="shared" si="9"/>
        <v>#DIV/0!</v>
      </c>
      <c r="U46" t="e">
        <f t="shared" si="10"/>
        <v>#DIV/0!</v>
      </c>
      <c r="V46" t="e">
        <f t="shared" si="11"/>
        <v>#DIV/0!</v>
      </c>
      <c r="W46" t="e">
        <f>AVERAGE(T46:T54)</f>
        <v>#DIV/0!</v>
      </c>
      <c r="X46" t="e">
        <f>_xlfn.STDEV.S(T46:T54)</f>
        <v>#DIV/0!</v>
      </c>
      <c r="Y46" t="e">
        <f>AVERAGE(V46:V54)</f>
        <v>#DIV/0!</v>
      </c>
      <c r="Z46" t="e">
        <f>_xlfn.STDEV.S(V46:V54)</f>
        <v>#DIV/0!</v>
      </c>
    </row>
    <row r="47" spans="1:26" x14ac:dyDescent="0.3">
      <c r="Q47" t="e">
        <f t="shared" si="6"/>
        <v>#DIV/0!</v>
      </c>
      <c r="R47" t="e">
        <f t="shared" si="7"/>
        <v>#DIV/0!</v>
      </c>
      <c r="S47" t="e">
        <f t="shared" si="8"/>
        <v>#DIV/0!</v>
      </c>
      <c r="T47" t="e">
        <f t="shared" si="9"/>
        <v>#DIV/0!</v>
      </c>
      <c r="U47" t="e">
        <f t="shared" si="10"/>
        <v>#DIV/0!</v>
      </c>
      <c r="V47" t="e">
        <f t="shared" si="11"/>
        <v>#DIV/0!</v>
      </c>
    </row>
    <row r="48" spans="1:26" x14ac:dyDescent="0.3">
      <c r="Q48" t="e">
        <f t="shared" si="6"/>
        <v>#DIV/0!</v>
      </c>
      <c r="R48" t="e">
        <f t="shared" si="7"/>
        <v>#DIV/0!</v>
      </c>
      <c r="S48" t="e">
        <f t="shared" si="8"/>
        <v>#DIV/0!</v>
      </c>
      <c r="T48" t="e">
        <f t="shared" si="9"/>
        <v>#DIV/0!</v>
      </c>
      <c r="U48" t="e">
        <f t="shared" si="10"/>
        <v>#DIV/0!</v>
      </c>
      <c r="V48" t="e">
        <f t="shared" si="11"/>
        <v>#DIV/0!</v>
      </c>
    </row>
    <row r="49" spans="1:26" x14ac:dyDescent="0.3">
      <c r="Q49" t="e">
        <f t="shared" si="6"/>
        <v>#DIV/0!</v>
      </c>
      <c r="R49" t="e">
        <f t="shared" si="7"/>
        <v>#DIV/0!</v>
      </c>
      <c r="S49" t="e">
        <f t="shared" si="8"/>
        <v>#DIV/0!</v>
      </c>
      <c r="T49" t="e">
        <f t="shared" si="9"/>
        <v>#DIV/0!</v>
      </c>
      <c r="U49" t="e">
        <f t="shared" si="10"/>
        <v>#DIV/0!</v>
      </c>
      <c r="V49" t="e">
        <f t="shared" si="11"/>
        <v>#DIV/0!</v>
      </c>
    </row>
    <row r="50" spans="1:26" x14ac:dyDescent="0.3">
      <c r="Q50" t="e">
        <f t="shared" si="6"/>
        <v>#DIV/0!</v>
      </c>
      <c r="R50" t="e">
        <f t="shared" si="7"/>
        <v>#DIV/0!</v>
      </c>
      <c r="S50" t="e">
        <f t="shared" si="8"/>
        <v>#DIV/0!</v>
      </c>
      <c r="T50" t="e">
        <f t="shared" si="9"/>
        <v>#DIV/0!</v>
      </c>
      <c r="U50" t="e">
        <f t="shared" si="10"/>
        <v>#DIV/0!</v>
      </c>
      <c r="V50" t="e">
        <f t="shared" si="11"/>
        <v>#DIV/0!</v>
      </c>
    </row>
    <row r="51" spans="1:26" x14ac:dyDescent="0.3">
      <c r="Q51" t="e">
        <f t="shared" si="6"/>
        <v>#DIV/0!</v>
      </c>
      <c r="R51" t="e">
        <f t="shared" si="7"/>
        <v>#DIV/0!</v>
      </c>
      <c r="S51" t="e">
        <f t="shared" si="8"/>
        <v>#DIV/0!</v>
      </c>
      <c r="T51" t="e">
        <f t="shared" si="9"/>
        <v>#DIV/0!</v>
      </c>
      <c r="U51" t="e">
        <f t="shared" si="10"/>
        <v>#DIV/0!</v>
      </c>
      <c r="V51" t="e">
        <f t="shared" si="11"/>
        <v>#DIV/0!</v>
      </c>
    </row>
    <row r="52" spans="1:26" x14ac:dyDescent="0.3">
      <c r="Q52" t="e">
        <f t="shared" si="6"/>
        <v>#DIV/0!</v>
      </c>
      <c r="R52" t="e">
        <f t="shared" si="7"/>
        <v>#DIV/0!</v>
      </c>
      <c r="S52" t="e">
        <f t="shared" si="8"/>
        <v>#DIV/0!</v>
      </c>
      <c r="T52" t="e">
        <f t="shared" si="9"/>
        <v>#DIV/0!</v>
      </c>
      <c r="U52" t="e">
        <f t="shared" si="10"/>
        <v>#DIV/0!</v>
      </c>
      <c r="V52" t="e">
        <f t="shared" si="11"/>
        <v>#DIV/0!</v>
      </c>
    </row>
    <row r="53" spans="1:26" x14ac:dyDescent="0.3">
      <c r="Q53" t="e">
        <f t="shared" si="6"/>
        <v>#DIV/0!</v>
      </c>
      <c r="R53" t="e">
        <f t="shared" si="7"/>
        <v>#DIV/0!</v>
      </c>
      <c r="S53" t="e">
        <f t="shared" si="8"/>
        <v>#DIV/0!</v>
      </c>
      <c r="T53" t="e">
        <f t="shared" si="9"/>
        <v>#DIV/0!</v>
      </c>
      <c r="U53" t="e">
        <f t="shared" si="10"/>
        <v>#DIV/0!</v>
      </c>
      <c r="V53" t="e">
        <f t="shared" si="11"/>
        <v>#DIV/0!</v>
      </c>
    </row>
    <row r="54" spans="1:26" x14ac:dyDescent="0.3">
      <c r="Q54" t="e">
        <f t="shared" si="6"/>
        <v>#DIV/0!</v>
      </c>
      <c r="R54" t="e">
        <f t="shared" si="7"/>
        <v>#DIV/0!</v>
      </c>
      <c r="S54" t="e">
        <f t="shared" si="8"/>
        <v>#DIV/0!</v>
      </c>
      <c r="T54" t="e">
        <f t="shared" si="9"/>
        <v>#DIV/0!</v>
      </c>
      <c r="U54" t="e">
        <f t="shared" si="10"/>
        <v>#DIV/0!</v>
      </c>
      <c r="V54" t="e">
        <f t="shared" si="11"/>
        <v>#DIV/0!</v>
      </c>
    </row>
    <row r="56" spans="1:26" x14ac:dyDescent="0.3">
      <c r="A56" t="s">
        <v>30</v>
      </c>
    </row>
    <row r="57" spans="1:26" x14ac:dyDescent="0.3">
      <c r="A57" t="s">
        <v>24</v>
      </c>
    </row>
    <row r="58" spans="1:26" x14ac:dyDescent="0.3">
      <c r="Q58" t="e">
        <f t="shared" si="6"/>
        <v>#DIV/0!</v>
      </c>
      <c r="R58" t="e">
        <f t="shared" si="7"/>
        <v>#DIV/0!</v>
      </c>
      <c r="S58" t="e">
        <f t="shared" si="8"/>
        <v>#DIV/0!</v>
      </c>
      <c r="T58" t="e">
        <f t="shared" si="9"/>
        <v>#DIV/0!</v>
      </c>
      <c r="U58" t="e">
        <f t="shared" si="10"/>
        <v>#DIV/0!</v>
      </c>
      <c r="V58" t="e">
        <f t="shared" si="11"/>
        <v>#DIV/0!</v>
      </c>
      <c r="W58" t="e">
        <f>AVERAGE(T58,T59)</f>
        <v>#DIV/0!</v>
      </c>
      <c r="X58" t="e">
        <f>_xlfn.STDEV.S(T58:T59)</f>
        <v>#DIV/0!</v>
      </c>
      <c r="Y58" t="e">
        <f>AVERAGE(V58,V59)</f>
        <v>#DIV/0!</v>
      </c>
      <c r="Z58" t="e">
        <f>_xlfn.STDEV.S(V58,V59)</f>
        <v>#DIV/0!</v>
      </c>
    </row>
    <row r="59" spans="1:26" x14ac:dyDescent="0.3">
      <c r="Q59" t="e">
        <f t="shared" si="6"/>
        <v>#DIV/0!</v>
      </c>
      <c r="R59" t="e">
        <f t="shared" si="7"/>
        <v>#DIV/0!</v>
      </c>
      <c r="S59" t="e">
        <f t="shared" si="8"/>
        <v>#DIV/0!</v>
      </c>
      <c r="T59" t="e">
        <f t="shared" si="9"/>
        <v>#DIV/0!</v>
      </c>
      <c r="U59" t="e">
        <f t="shared" si="10"/>
        <v>#DIV/0!</v>
      </c>
      <c r="V59" t="e">
        <f t="shared" si="11"/>
        <v>#DIV/0!</v>
      </c>
    </row>
    <row r="61" spans="1:26" x14ac:dyDescent="0.3">
      <c r="A61" t="s">
        <v>31</v>
      </c>
    </row>
    <row r="62" spans="1:26" x14ac:dyDescent="0.3">
      <c r="A62" t="s">
        <v>24</v>
      </c>
    </row>
    <row r="63" spans="1:26" x14ac:dyDescent="0.3">
      <c r="Q63" t="e">
        <f t="shared" si="6"/>
        <v>#DIV/0!</v>
      </c>
      <c r="R63" t="e">
        <f t="shared" si="7"/>
        <v>#DIV/0!</v>
      </c>
      <c r="S63" t="e">
        <f t="shared" si="8"/>
        <v>#DIV/0!</v>
      </c>
      <c r="T63" t="e">
        <f t="shared" si="9"/>
        <v>#DIV/0!</v>
      </c>
      <c r="U63" t="e">
        <f t="shared" si="10"/>
        <v>#DIV/0!</v>
      </c>
      <c r="V63" t="e">
        <f t="shared" si="11"/>
        <v>#DIV/0!</v>
      </c>
      <c r="W63" t="e">
        <f>AVERAGE(T63:T69)</f>
        <v>#DIV/0!</v>
      </c>
      <c r="X63" t="e">
        <f>_xlfn.STDEV.S(T63:T69)</f>
        <v>#DIV/0!</v>
      </c>
      <c r="Y63" t="e">
        <f>AVERAGE(V63:V69)</f>
        <v>#DIV/0!</v>
      </c>
      <c r="Z63" t="e">
        <f>_xlfn.STDEV.S(V63:V69)</f>
        <v>#DIV/0!</v>
      </c>
    </row>
    <row r="64" spans="1:26" x14ac:dyDescent="0.3">
      <c r="Q64" t="e">
        <f t="shared" si="6"/>
        <v>#DIV/0!</v>
      </c>
      <c r="R64" t="e">
        <f t="shared" si="7"/>
        <v>#DIV/0!</v>
      </c>
      <c r="S64" t="e">
        <f t="shared" si="8"/>
        <v>#DIV/0!</v>
      </c>
      <c r="T64" t="e">
        <f t="shared" si="9"/>
        <v>#DIV/0!</v>
      </c>
      <c r="U64" t="e">
        <f t="shared" si="10"/>
        <v>#DIV/0!</v>
      </c>
      <c r="V64" t="e">
        <f t="shared" si="11"/>
        <v>#DIV/0!</v>
      </c>
    </row>
    <row r="65" spans="1:26" x14ac:dyDescent="0.3">
      <c r="Q65" t="e">
        <f t="shared" si="6"/>
        <v>#DIV/0!</v>
      </c>
      <c r="R65" t="e">
        <f t="shared" si="7"/>
        <v>#DIV/0!</v>
      </c>
      <c r="S65" t="e">
        <f t="shared" si="8"/>
        <v>#DIV/0!</v>
      </c>
      <c r="T65" t="e">
        <f t="shared" si="9"/>
        <v>#DIV/0!</v>
      </c>
      <c r="U65" t="e">
        <f t="shared" si="10"/>
        <v>#DIV/0!</v>
      </c>
      <c r="V65" t="e">
        <f t="shared" si="11"/>
        <v>#DIV/0!</v>
      </c>
    </row>
    <row r="66" spans="1:26" x14ac:dyDescent="0.3">
      <c r="Q66" t="e">
        <f t="shared" si="6"/>
        <v>#DIV/0!</v>
      </c>
      <c r="R66" t="e">
        <f t="shared" si="7"/>
        <v>#DIV/0!</v>
      </c>
      <c r="S66" t="e">
        <f t="shared" si="8"/>
        <v>#DIV/0!</v>
      </c>
      <c r="T66" t="e">
        <f t="shared" si="9"/>
        <v>#DIV/0!</v>
      </c>
      <c r="U66" t="e">
        <f t="shared" si="10"/>
        <v>#DIV/0!</v>
      </c>
      <c r="V66" t="e">
        <f t="shared" si="11"/>
        <v>#DIV/0!</v>
      </c>
    </row>
    <row r="67" spans="1:26" x14ac:dyDescent="0.3">
      <c r="Q67" t="e">
        <f t="shared" si="6"/>
        <v>#DIV/0!</v>
      </c>
      <c r="R67" t="e">
        <f t="shared" si="7"/>
        <v>#DIV/0!</v>
      </c>
      <c r="S67" t="e">
        <f t="shared" si="8"/>
        <v>#DIV/0!</v>
      </c>
      <c r="T67" t="e">
        <f t="shared" si="9"/>
        <v>#DIV/0!</v>
      </c>
      <c r="U67" t="e">
        <f t="shared" si="10"/>
        <v>#DIV/0!</v>
      </c>
      <c r="V67" t="e">
        <f t="shared" si="11"/>
        <v>#DIV/0!</v>
      </c>
    </row>
    <row r="68" spans="1:26" x14ac:dyDescent="0.3">
      <c r="Q68" t="e">
        <f t="shared" ref="Q68:Q109" si="12">AVERAGE(C68,D68)</f>
        <v>#DIV/0!</v>
      </c>
      <c r="R68" t="e">
        <f t="shared" ref="R68:R109" si="13">AVERAGE(H68:I68)</f>
        <v>#DIV/0!</v>
      </c>
      <c r="S68" t="e">
        <f t="shared" ref="S68:S109" si="14">AVERAGE(M68,N68)</f>
        <v>#DIV/0!</v>
      </c>
      <c r="T68" t="e">
        <f t="shared" ref="T68:T109" si="15">AVERAGE(Q68:S68)</f>
        <v>#DIV/0!</v>
      </c>
      <c r="U68" t="e">
        <f t="shared" ref="U68:U109" si="16">MIN(Q68:S68)</f>
        <v>#DIV/0!</v>
      </c>
      <c r="V68" t="e">
        <f t="shared" ref="V68:V109" si="17">(1/3)*(T68-U68)</f>
        <v>#DIV/0!</v>
      </c>
    </row>
    <row r="69" spans="1:26" x14ac:dyDescent="0.3">
      <c r="Q69" t="e">
        <f t="shared" si="12"/>
        <v>#DIV/0!</v>
      </c>
      <c r="R69" t="e">
        <f t="shared" si="13"/>
        <v>#DIV/0!</v>
      </c>
      <c r="S69" t="e">
        <f t="shared" si="14"/>
        <v>#DIV/0!</v>
      </c>
      <c r="T69" t="e">
        <f t="shared" si="15"/>
        <v>#DIV/0!</v>
      </c>
      <c r="U69" t="e">
        <f t="shared" si="16"/>
        <v>#DIV/0!</v>
      </c>
      <c r="V69" t="e">
        <f t="shared" si="17"/>
        <v>#DIV/0!</v>
      </c>
    </row>
    <row r="71" spans="1:26" x14ac:dyDescent="0.3">
      <c r="A71" t="s">
        <v>32</v>
      </c>
    </row>
    <row r="72" spans="1:26" x14ac:dyDescent="0.3">
      <c r="A72" t="s">
        <v>24</v>
      </c>
    </row>
    <row r="73" spans="1:26" x14ac:dyDescent="0.3">
      <c r="Q73" t="e">
        <f t="shared" si="12"/>
        <v>#DIV/0!</v>
      </c>
      <c r="R73" t="e">
        <f t="shared" si="13"/>
        <v>#DIV/0!</v>
      </c>
      <c r="S73" t="e">
        <f t="shared" si="14"/>
        <v>#DIV/0!</v>
      </c>
      <c r="T73" t="e">
        <f t="shared" si="15"/>
        <v>#DIV/0!</v>
      </c>
      <c r="U73" t="e">
        <f t="shared" si="16"/>
        <v>#DIV/0!</v>
      </c>
      <c r="V73" t="e">
        <f t="shared" si="17"/>
        <v>#DIV/0!</v>
      </c>
      <c r="W73" t="e">
        <f>AVERAGE(T73:T75)</f>
        <v>#DIV/0!</v>
      </c>
      <c r="X73" t="e">
        <f>_xlfn.STDEV.S(T73:T75)</f>
        <v>#DIV/0!</v>
      </c>
      <c r="Y73" t="e">
        <f>AVERAGE(V73:V75)</f>
        <v>#DIV/0!</v>
      </c>
      <c r="Z73" t="e">
        <f>_xlfn.STDEV.S(V73:V75)</f>
        <v>#DIV/0!</v>
      </c>
    </row>
    <row r="74" spans="1:26" x14ac:dyDescent="0.3">
      <c r="Q74" t="e">
        <f t="shared" si="12"/>
        <v>#DIV/0!</v>
      </c>
      <c r="R74" t="e">
        <f t="shared" si="13"/>
        <v>#DIV/0!</v>
      </c>
      <c r="S74" t="e">
        <f t="shared" si="14"/>
        <v>#DIV/0!</v>
      </c>
      <c r="T74" t="e">
        <f t="shared" si="15"/>
        <v>#DIV/0!</v>
      </c>
      <c r="U74" t="e">
        <f t="shared" si="16"/>
        <v>#DIV/0!</v>
      </c>
      <c r="V74" t="e">
        <f t="shared" si="17"/>
        <v>#DIV/0!</v>
      </c>
    </row>
    <row r="75" spans="1:26" x14ac:dyDescent="0.3">
      <c r="Q75" t="e">
        <f t="shared" si="12"/>
        <v>#DIV/0!</v>
      </c>
      <c r="R75" t="e">
        <f t="shared" si="13"/>
        <v>#DIV/0!</v>
      </c>
      <c r="S75" t="e">
        <f t="shared" si="14"/>
        <v>#DIV/0!</v>
      </c>
      <c r="T75" t="e">
        <f t="shared" si="15"/>
        <v>#DIV/0!</v>
      </c>
      <c r="U75" t="e">
        <f t="shared" si="16"/>
        <v>#DIV/0!</v>
      </c>
      <c r="V75" t="e">
        <f t="shared" si="17"/>
        <v>#DIV/0!</v>
      </c>
    </row>
    <row r="77" spans="1:26" x14ac:dyDescent="0.3">
      <c r="A77" t="s">
        <v>33</v>
      </c>
    </row>
    <row r="78" spans="1:26" x14ac:dyDescent="0.3">
      <c r="A78" t="s">
        <v>24</v>
      </c>
    </row>
    <row r="79" spans="1:26" x14ac:dyDescent="0.3">
      <c r="Q79" t="e">
        <f t="shared" si="12"/>
        <v>#DIV/0!</v>
      </c>
      <c r="R79" t="e">
        <f t="shared" si="13"/>
        <v>#DIV/0!</v>
      </c>
      <c r="S79" t="e">
        <f t="shared" si="14"/>
        <v>#DIV/0!</v>
      </c>
      <c r="T79" t="e">
        <f t="shared" si="15"/>
        <v>#DIV/0!</v>
      </c>
      <c r="U79" t="e">
        <f t="shared" si="16"/>
        <v>#DIV/0!</v>
      </c>
      <c r="V79" t="e">
        <f t="shared" si="17"/>
        <v>#DIV/0!</v>
      </c>
      <c r="W79" t="e">
        <f>AVERAGE(T79:T88)</f>
        <v>#DIV/0!</v>
      </c>
      <c r="X79" t="e">
        <f>_xlfn.STDEV.S(T79:T88)</f>
        <v>#DIV/0!</v>
      </c>
      <c r="Y79" t="e">
        <f>AVERAGE(V79:V88)</f>
        <v>#DIV/0!</v>
      </c>
      <c r="Z79" t="e">
        <f>_xlfn.STDEV.S(V79:V88)</f>
        <v>#DIV/0!</v>
      </c>
    </row>
    <row r="80" spans="1:26" x14ac:dyDescent="0.3">
      <c r="Q80" t="e">
        <f t="shared" si="12"/>
        <v>#DIV/0!</v>
      </c>
      <c r="R80" t="e">
        <f t="shared" si="13"/>
        <v>#DIV/0!</v>
      </c>
      <c r="S80" t="e">
        <f t="shared" si="14"/>
        <v>#DIV/0!</v>
      </c>
      <c r="T80" t="e">
        <f t="shared" si="15"/>
        <v>#DIV/0!</v>
      </c>
      <c r="U80" t="e">
        <f t="shared" si="16"/>
        <v>#DIV/0!</v>
      </c>
      <c r="V80" t="e">
        <f t="shared" si="17"/>
        <v>#DIV/0!</v>
      </c>
    </row>
    <row r="81" spans="1:26" x14ac:dyDescent="0.3">
      <c r="Q81" t="e">
        <f t="shared" si="12"/>
        <v>#DIV/0!</v>
      </c>
      <c r="R81" t="e">
        <f t="shared" si="13"/>
        <v>#DIV/0!</v>
      </c>
      <c r="S81" t="e">
        <f t="shared" si="14"/>
        <v>#DIV/0!</v>
      </c>
      <c r="T81" t="e">
        <f t="shared" si="15"/>
        <v>#DIV/0!</v>
      </c>
      <c r="U81" t="e">
        <f t="shared" si="16"/>
        <v>#DIV/0!</v>
      </c>
      <c r="V81" t="e">
        <f t="shared" si="17"/>
        <v>#DIV/0!</v>
      </c>
    </row>
    <row r="82" spans="1:26" x14ac:dyDescent="0.3">
      <c r="Q82" t="e">
        <f t="shared" si="12"/>
        <v>#DIV/0!</v>
      </c>
      <c r="R82" t="e">
        <f t="shared" si="13"/>
        <v>#DIV/0!</v>
      </c>
      <c r="S82" t="e">
        <f t="shared" si="14"/>
        <v>#DIV/0!</v>
      </c>
      <c r="T82" t="e">
        <f t="shared" si="15"/>
        <v>#DIV/0!</v>
      </c>
      <c r="U82" t="e">
        <f t="shared" si="16"/>
        <v>#DIV/0!</v>
      </c>
      <c r="V82" t="e">
        <f t="shared" si="17"/>
        <v>#DIV/0!</v>
      </c>
    </row>
    <row r="83" spans="1:26" x14ac:dyDescent="0.3">
      <c r="Q83" t="e">
        <f t="shared" si="12"/>
        <v>#DIV/0!</v>
      </c>
      <c r="R83" t="e">
        <f t="shared" si="13"/>
        <v>#DIV/0!</v>
      </c>
      <c r="S83" t="e">
        <f t="shared" si="14"/>
        <v>#DIV/0!</v>
      </c>
      <c r="T83" t="e">
        <f t="shared" si="15"/>
        <v>#DIV/0!</v>
      </c>
      <c r="U83" t="e">
        <f t="shared" si="16"/>
        <v>#DIV/0!</v>
      </c>
      <c r="V83" t="e">
        <f t="shared" si="17"/>
        <v>#DIV/0!</v>
      </c>
    </row>
    <row r="84" spans="1:26" x14ac:dyDescent="0.3">
      <c r="Q84" t="e">
        <f t="shared" si="12"/>
        <v>#DIV/0!</v>
      </c>
      <c r="R84" t="e">
        <f t="shared" si="13"/>
        <v>#DIV/0!</v>
      </c>
      <c r="S84" t="e">
        <f t="shared" si="14"/>
        <v>#DIV/0!</v>
      </c>
      <c r="T84" t="e">
        <f t="shared" si="15"/>
        <v>#DIV/0!</v>
      </c>
      <c r="U84" t="e">
        <f t="shared" si="16"/>
        <v>#DIV/0!</v>
      </c>
      <c r="V84" t="e">
        <f t="shared" si="17"/>
        <v>#DIV/0!</v>
      </c>
    </row>
    <row r="85" spans="1:26" x14ac:dyDescent="0.3">
      <c r="Q85" t="e">
        <f t="shared" si="12"/>
        <v>#DIV/0!</v>
      </c>
      <c r="R85" t="e">
        <f t="shared" si="13"/>
        <v>#DIV/0!</v>
      </c>
      <c r="S85" t="e">
        <f t="shared" si="14"/>
        <v>#DIV/0!</v>
      </c>
      <c r="T85" t="e">
        <f t="shared" si="15"/>
        <v>#DIV/0!</v>
      </c>
      <c r="U85" t="e">
        <f t="shared" si="16"/>
        <v>#DIV/0!</v>
      </c>
      <c r="V85" t="e">
        <f t="shared" si="17"/>
        <v>#DIV/0!</v>
      </c>
    </row>
    <row r="86" spans="1:26" x14ac:dyDescent="0.3">
      <c r="Q86" t="e">
        <f t="shared" si="12"/>
        <v>#DIV/0!</v>
      </c>
      <c r="R86" t="e">
        <f t="shared" si="13"/>
        <v>#DIV/0!</v>
      </c>
      <c r="S86" t="e">
        <f t="shared" si="14"/>
        <v>#DIV/0!</v>
      </c>
      <c r="T86" t="e">
        <f t="shared" si="15"/>
        <v>#DIV/0!</v>
      </c>
      <c r="U86" t="e">
        <f t="shared" si="16"/>
        <v>#DIV/0!</v>
      </c>
      <c r="V86" t="e">
        <f t="shared" si="17"/>
        <v>#DIV/0!</v>
      </c>
    </row>
    <row r="87" spans="1:26" x14ac:dyDescent="0.3">
      <c r="Q87" t="e">
        <f t="shared" si="12"/>
        <v>#DIV/0!</v>
      </c>
      <c r="R87" t="e">
        <f t="shared" si="13"/>
        <v>#DIV/0!</v>
      </c>
      <c r="S87" t="e">
        <f t="shared" si="14"/>
        <v>#DIV/0!</v>
      </c>
      <c r="T87" t="e">
        <f t="shared" si="15"/>
        <v>#DIV/0!</v>
      </c>
      <c r="U87" t="e">
        <f t="shared" si="16"/>
        <v>#DIV/0!</v>
      </c>
      <c r="V87" t="e">
        <f t="shared" si="17"/>
        <v>#DIV/0!</v>
      </c>
    </row>
    <row r="88" spans="1:26" x14ac:dyDescent="0.3">
      <c r="Q88" t="e">
        <f t="shared" si="12"/>
        <v>#DIV/0!</v>
      </c>
      <c r="R88" t="e">
        <f t="shared" si="13"/>
        <v>#DIV/0!</v>
      </c>
      <c r="S88" t="e">
        <f t="shared" si="14"/>
        <v>#DIV/0!</v>
      </c>
      <c r="T88" t="e">
        <f t="shared" si="15"/>
        <v>#DIV/0!</v>
      </c>
      <c r="U88" t="e">
        <f t="shared" si="16"/>
        <v>#DIV/0!</v>
      </c>
      <c r="V88" t="e">
        <f t="shared" si="17"/>
        <v>#DIV/0!</v>
      </c>
    </row>
    <row r="90" spans="1:26" x14ac:dyDescent="0.3">
      <c r="A90" t="s">
        <v>34</v>
      </c>
    </row>
    <row r="91" spans="1:26" x14ac:dyDescent="0.3">
      <c r="A91" t="s">
        <v>24</v>
      </c>
    </row>
    <row r="92" spans="1:26" x14ac:dyDescent="0.3">
      <c r="Q92" t="e">
        <f t="shared" si="12"/>
        <v>#DIV/0!</v>
      </c>
      <c r="R92" t="e">
        <f t="shared" si="13"/>
        <v>#DIV/0!</v>
      </c>
      <c r="S92" t="e">
        <f t="shared" si="14"/>
        <v>#DIV/0!</v>
      </c>
      <c r="T92" t="e">
        <f t="shared" si="15"/>
        <v>#DIV/0!</v>
      </c>
      <c r="U92" t="e">
        <f t="shared" si="16"/>
        <v>#DIV/0!</v>
      </c>
      <c r="V92" t="e">
        <f t="shared" si="17"/>
        <v>#DIV/0!</v>
      </c>
      <c r="W92" t="e">
        <f>AVERAGE(T92:T97)</f>
        <v>#DIV/0!</v>
      </c>
      <c r="X92" t="e">
        <f>_xlfn.STDEV.S(T92:T97)</f>
        <v>#DIV/0!</v>
      </c>
      <c r="Y92" t="e">
        <f>AVERAGE(V92:V97)</f>
        <v>#DIV/0!</v>
      </c>
      <c r="Z92" t="e">
        <f>_xlfn.STDEV.S(V92:V97)</f>
        <v>#DIV/0!</v>
      </c>
    </row>
    <row r="93" spans="1:26" x14ac:dyDescent="0.3">
      <c r="Q93" t="e">
        <f t="shared" si="12"/>
        <v>#DIV/0!</v>
      </c>
      <c r="R93" t="e">
        <f t="shared" si="13"/>
        <v>#DIV/0!</v>
      </c>
      <c r="S93" t="e">
        <f t="shared" si="14"/>
        <v>#DIV/0!</v>
      </c>
      <c r="T93" t="e">
        <f t="shared" si="15"/>
        <v>#DIV/0!</v>
      </c>
      <c r="U93" t="e">
        <f t="shared" si="16"/>
        <v>#DIV/0!</v>
      </c>
      <c r="V93" t="e">
        <f t="shared" si="17"/>
        <v>#DIV/0!</v>
      </c>
    </row>
    <row r="94" spans="1:26" x14ac:dyDescent="0.3">
      <c r="Q94" t="e">
        <f t="shared" si="12"/>
        <v>#DIV/0!</v>
      </c>
      <c r="R94" t="e">
        <f t="shared" si="13"/>
        <v>#DIV/0!</v>
      </c>
      <c r="S94" t="e">
        <f t="shared" si="14"/>
        <v>#DIV/0!</v>
      </c>
      <c r="T94" t="e">
        <f t="shared" si="15"/>
        <v>#DIV/0!</v>
      </c>
      <c r="U94" t="e">
        <f t="shared" si="16"/>
        <v>#DIV/0!</v>
      </c>
      <c r="V94" t="e">
        <f t="shared" si="17"/>
        <v>#DIV/0!</v>
      </c>
    </row>
    <row r="95" spans="1:26" x14ac:dyDescent="0.3">
      <c r="Q95" t="e">
        <f t="shared" si="12"/>
        <v>#DIV/0!</v>
      </c>
      <c r="R95" t="e">
        <f t="shared" si="13"/>
        <v>#DIV/0!</v>
      </c>
      <c r="S95" t="e">
        <f t="shared" si="14"/>
        <v>#DIV/0!</v>
      </c>
      <c r="T95" t="e">
        <f t="shared" si="15"/>
        <v>#DIV/0!</v>
      </c>
      <c r="U95" t="e">
        <f t="shared" si="16"/>
        <v>#DIV/0!</v>
      </c>
      <c r="V95" t="e">
        <f t="shared" si="17"/>
        <v>#DIV/0!</v>
      </c>
    </row>
    <row r="96" spans="1:26" x14ac:dyDescent="0.3">
      <c r="Q96" t="e">
        <f t="shared" si="12"/>
        <v>#DIV/0!</v>
      </c>
      <c r="R96" t="e">
        <f t="shared" si="13"/>
        <v>#DIV/0!</v>
      </c>
      <c r="S96" t="e">
        <f t="shared" si="14"/>
        <v>#DIV/0!</v>
      </c>
      <c r="T96" t="e">
        <f t="shared" si="15"/>
        <v>#DIV/0!</v>
      </c>
      <c r="U96" t="e">
        <f t="shared" si="16"/>
        <v>#DIV/0!</v>
      </c>
      <c r="V96" t="e">
        <f t="shared" si="17"/>
        <v>#DIV/0!</v>
      </c>
    </row>
    <row r="97" spans="1:26" x14ac:dyDescent="0.3">
      <c r="Q97" t="e">
        <f t="shared" si="12"/>
        <v>#DIV/0!</v>
      </c>
      <c r="R97" t="e">
        <f t="shared" si="13"/>
        <v>#DIV/0!</v>
      </c>
      <c r="S97" t="e">
        <f t="shared" si="14"/>
        <v>#DIV/0!</v>
      </c>
      <c r="T97" t="e">
        <f t="shared" si="15"/>
        <v>#DIV/0!</v>
      </c>
      <c r="U97" t="e">
        <f t="shared" si="16"/>
        <v>#DIV/0!</v>
      </c>
      <c r="V97" t="e">
        <f t="shared" si="17"/>
        <v>#DIV/0!</v>
      </c>
    </row>
    <row r="99" spans="1:26" x14ac:dyDescent="0.3">
      <c r="A99" t="s">
        <v>35</v>
      </c>
    </row>
    <row r="100" spans="1:26" x14ac:dyDescent="0.3">
      <c r="A100" t="s">
        <v>24</v>
      </c>
    </row>
    <row r="101" spans="1:26" x14ac:dyDescent="0.3">
      <c r="Q101" t="e">
        <f t="shared" si="12"/>
        <v>#DIV/0!</v>
      </c>
      <c r="R101" t="e">
        <f t="shared" si="13"/>
        <v>#DIV/0!</v>
      </c>
      <c r="S101" t="e">
        <f t="shared" si="14"/>
        <v>#DIV/0!</v>
      </c>
      <c r="T101" t="e">
        <f t="shared" si="15"/>
        <v>#DIV/0!</v>
      </c>
      <c r="U101" t="e">
        <f t="shared" si="16"/>
        <v>#DIV/0!</v>
      </c>
      <c r="V101" t="e">
        <f t="shared" si="17"/>
        <v>#DIV/0!</v>
      </c>
      <c r="W101" t="e">
        <f>AVERAGE(T101:T109)</f>
        <v>#DIV/0!</v>
      </c>
      <c r="X101" t="e">
        <f>_xlfn.STDEV.S(T101:T109)</f>
        <v>#DIV/0!</v>
      </c>
      <c r="Y101" t="e">
        <f>AVERAGE(V101:V109)</f>
        <v>#DIV/0!</v>
      </c>
      <c r="Z101" t="e">
        <f>_xlfn.STDEV.S(V101:V109)</f>
        <v>#DIV/0!</v>
      </c>
    </row>
    <row r="102" spans="1:26" x14ac:dyDescent="0.3">
      <c r="Q102" t="e">
        <f t="shared" si="12"/>
        <v>#DIV/0!</v>
      </c>
      <c r="R102" t="e">
        <f t="shared" si="13"/>
        <v>#DIV/0!</v>
      </c>
      <c r="S102" t="e">
        <f t="shared" si="14"/>
        <v>#DIV/0!</v>
      </c>
      <c r="T102" t="e">
        <f t="shared" si="15"/>
        <v>#DIV/0!</v>
      </c>
      <c r="U102" t="e">
        <f t="shared" si="16"/>
        <v>#DIV/0!</v>
      </c>
      <c r="V102" t="e">
        <f t="shared" si="17"/>
        <v>#DIV/0!</v>
      </c>
    </row>
    <row r="103" spans="1:26" x14ac:dyDescent="0.3">
      <c r="Q103" t="e">
        <f t="shared" si="12"/>
        <v>#DIV/0!</v>
      </c>
      <c r="R103" t="e">
        <f t="shared" si="13"/>
        <v>#DIV/0!</v>
      </c>
      <c r="S103" t="e">
        <f t="shared" si="14"/>
        <v>#DIV/0!</v>
      </c>
      <c r="T103" t="e">
        <f t="shared" si="15"/>
        <v>#DIV/0!</v>
      </c>
      <c r="U103" t="e">
        <f t="shared" si="16"/>
        <v>#DIV/0!</v>
      </c>
      <c r="V103" t="e">
        <f t="shared" si="17"/>
        <v>#DIV/0!</v>
      </c>
    </row>
    <row r="104" spans="1:26" x14ac:dyDescent="0.3">
      <c r="Q104" t="e">
        <f t="shared" si="12"/>
        <v>#DIV/0!</v>
      </c>
      <c r="R104" t="e">
        <f t="shared" si="13"/>
        <v>#DIV/0!</v>
      </c>
      <c r="S104" t="e">
        <f t="shared" si="14"/>
        <v>#DIV/0!</v>
      </c>
      <c r="T104" t="e">
        <f t="shared" si="15"/>
        <v>#DIV/0!</v>
      </c>
      <c r="U104" t="e">
        <f t="shared" si="16"/>
        <v>#DIV/0!</v>
      </c>
      <c r="V104" t="e">
        <f t="shared" si="17"/>
        <v>#DIV/0!</v>
      </c>
    </row>
    <row r="105" spans="1:26" x14ac:dyDescent="0.3">
      <c r="Q105" t="e">
        <f t="shared" si="12"/>
        <v>#DIV/0!</v>
      </c>
      <c r="R105" t="e">
        <f t="shared" si="13"/>
        <v>#DIV/0!</v>
      </c>
      <c r="S105" t="e">
        <f t="shared" si="14"/>
        <v>#DIV/0!</v>
      </c>
      <c r="T105" t="e">
        <f t="shared" si="15"/>
        <v>#DIV/0!</v>
      </c>
      <c r="U105" t="e">
        <f t="shared" si="16"/>
        <v>#DIV/0!</v>
      </c>
      <c r="V105" t="e">
        <f t="shared" si="17"/>
        <v>#DIV/0!</v>
      </c>
    </row>
    <row r="106" spans="1:26" x14ac:dyDescent="0.3">
      <c r="Q106" t="e">
        <f t="shared" si="12"/>
        <v>#DIV/0!</v>
      </c>
      <c r="R106" t="e">
        <f t="shared" si="13"/>
        <v>#DIV/0!</v>
      </c>
      <c r="S106" t="e">
        <f t="shared" si="14"/>
        <v>#DIV/0!</v>
      </c>
      <c r="T106" t="e">
        <f t="shared" si="15"/>
        <v>#DIV/0!</v>
      </c>
      <c r="U106" t="e">
        <f t="shared" si="16"/>
        <v>#DIV/0!</v>
      </c>
      <c r="V106" t="e">
        <f t="shared" si="17"/>
        <v>#DIV/0!</v>
      </c>
    </row>
    <row r="107" spans="1:26" x14ac:dyDescent="0.3">
      <c r="Q107" t="e">
        <f t="shared" si="12"/>
        <v>#DIV/0!</v>
      </c>
      <c r="R107" t="e">
        <f t="shared" si="13"/>
        <v>#DIV/0!</v>
      </c>
      <c r="S107" t="e">
        <f t="shared" si="14"/>
        <v>#DIV/0!</v>
      </c>
      <c r="T107" t="e">
        <f t="shared" si="15"/>
        <v>#DIV/0!</v>
      </c>
      <c r="U107" t="e">
        <f t="shared" si="16"/>
        <v>#DIV/0!</v>
      </c>
      <c r="V107" t="e">
        <f t="shared" si="17"/>
        <v>#DIV/0!</v>
      </c>
    </row>
    <row r="108" spans="1:26" x14ac:dyDescent="0.3">
      <c r="Q108" t="e">
        <f t="shared" si="12"/>
        <v>#DIV/0!</v>
      </c>
      <c r="R108" t="e">
        <f t="shared" si="13"/>
        <v>#DIV/0!</v>
      </c>
      <c r="S108" t="e">
        <f t="shared" si="14"/>
        <v>#DIV/0!</v>
      </c>
      <c r="T108" t="e">
        <f t="shared" si="15"/>
        <v>#DIV/0!</v>
      </c>
      <c r="U108" t="e">
        <f t="shared" si="16"/>
        <v>#DIV/0!</v>
      </c>
      <c r="V108" t="e">
        <f t="shared" si="17"/>
        <v>#DIV/0!</v>
      </c>
    </row>
    <row r="109" spans="1:26" x14ac:dyDescent="0.3">
      <c r="Q109" t="e">
        <f t="shared" si="12"/>
        <v>#DIV/0!</v>
      </c>
      <c r="R109" t="e">
        <f t="shared" si="13"/>
        <v>#DIV/0!</v>
      </c>
      <c r="S109" t="e">
        <f t="shared" si="14"/>
        <v>#DIV/0!</v>
      </c>
      <c r="T109" t="e">
        <f t="shared" si="15"/>
        <v>#DIV/0!</v>
      </c>
      <c r="U109" t="e">
        <f t="shared" si="16"/>
        <v>#DIV/0!</v>
      </c>
      <c r="V109" t="e">
        <f t="shared" si="17"/>
        <v>#DIV/0!</v>
      </c>
    </row>
  </sheetData>
  <pageMargins left="0.7" right="0.7" top="0.75" bottom="0.75" header="0.3" footer="0.3"/>
</worksheet>
</file>

<file path=xl/worksheets/sheet1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80BAE23-A740-4698-B840-F018E78CD098}">
  <dimension ref="A1:AE5"/>
  <sheetViews>
    <sheetView topLeftCell="L1" workbookViewId="0">
      <selection activeCell="AE3" activeCellId="2" sqref="T3:AA3 AD3 AE3"/>
    </sheetView>
  </sheetViews>
  <sheetFormatPr defaultRowHeight="14.4" x14ac:dyDescent="0.3"/>
  <cols>
    <col min="22" max="22" width="13.109375" customWidth="1"/>
  </cols>
  <sheetData>
    <row r="1" spans="1:31" x14ac:dyDescent="0.3">
      <c r="A1" t="s">
        <v>0</v>
      </c>
      <c r="P1" t="s">
        <v>12</v>
      </c>
    </row>
    <row r="2" spans="1:31" x14ac:dyDescent="0.3">
      <c r="A2" t="s">
        <v>5</v>
      </c>
      <c r="P2" t="s">
        <v>13</v>
      </c>
      <c r="Q2" t="s">
        <v>14</v>
      </c>
      <c r="R2" t="s">
        <v>15</v>
      </c>
      <c r="S2" t="s">
        <v>17</v>
      </c>
      <c r="T2" t="s">
        <v>52</v>
      </c>
      <c r="U2" t="s">
        <v>45</v>
      </c>
      <c r="V2" t="s">
        <v>53</v>
      </c>
      <c r="W2" t="s">
        <v>46</v>
      </c>
      <c r="X2" t="s">
        <v>54</v>
      </c>
      <c r="Y2" t="s">
        <v>47</v>
      </c>
      <c r="Z2" t="s">
        <v>1</v>
      </c>
      <c r="AA2" t="s">
        <v>18</v>
      </c>
      <c r="AB2" t="s">
        <v>19</v>
      </c>
      <c r="AC2" t="s">
        <v>16</v>
      </c>
      <c r="AD2" t="s">
        <v>20</v>
      </c>
      <c r="AE2" t="s">
        <v>21</v>
      </c>
    </row>
    <row r="3" spans="1:31" x14ac:dyDescent="0.3">
      <c r="A3">
        <v>74</v>
      </c>
      <c r="B3">
        <v>26</v>
      </c>
      <c r="C3">
        <v>28</v>
      </c>
      <c r="D3">
        <v>72</v>
      </c>
      <c r="F3">
        <v>84</v>
      </c>
      <c r="G3">
        <v>16</v>
      </c>
      <c r="H3">
        <v>9</v>
      </c>
      <c r="I3">
        <v>91</v>
      </c>
      <c r="K3">
        <v>75</v>
      </c>
      <c r="L3">
        <v>25</v>
      </c>
      <c r="M3">
        <v>52</v>
      </c>
      <c r="N3">
        <v>48</v>
      </c>
      <c r="P3">
        <f>AVERAGE(B3:C3)</f>
        <v>27</v>
      </c>
      <c r="Q3">
        <f>AVERAGE(G3:H3)</f>
        <v>12.5</v>
      </c>
      <c r="R3">
        <f>AVERAGE(L3:M3)</f>
        <v>38.5</v>
      </c>
      <c r="S3">
        <f>AVERAGE(P3:R3)</f>
        <v>26</v>
      </c>
      <c r="T3">
        <f>AVERAGE(P3:P5)</f>
        <v>27</v>
      </c>
      <c r="U3">
        <f>_xlfn.STDEV.S(P3:P5)</f>
        <v>0.5</v>
      </c>
      <c r="V3">
        <f>AVERAGE(Q3:Q5)</f>
        <v>13</v>
      </c>
      <c r="W3">
        <f>_xlfn.STDEV.S(Q3:Q5)</f>
        <v>0.5</v>
      </c>
      <c r="X3">
        <f>AVERAGE(R3:R5)</f>
        <v>40.5</v>
      </c>
      <c r="Y3">
        <f>_xlfn.STDEV.S(R3:R5)</f>
        <v>3.4641016151377544</v>
      </c>
      <c r="Z3">
        <f>AVERAGE(S3:S5)</f>
        <v>26.833333333333332</v>
      </c>
      <c r="AA3">
        <f>_xlfn.STDEV.S(S3:S5)</f>
        <v>1.0408329997330663</v>
      </c>
      <c r="AB3">
        <f>MIN(P3:R3)</f>
        <v>12.5</v>
      </c>
      <c r="AC3">
        <f>S3-AB3</f>
        <v>13.5</v>
      </c>
      <c r="AD3">
        <f>AVERAGE(AC3:AC5)</f>
        <v>13.833333333333334</v>
      </c>
      <c r="AE3">
        <f>_xlfn.STDEV.S(AC3:AC5)</f>
        <v>1.0408329997330665</v>
      </c>
    </row>
    <row r="4" spans="1:31" x14ac:dyDescent="0.3">
      <c r="A4">
        <v>79</v>
      </c>
      <c r="B4">
        <v>21</v>
      </c>
      <c r="C4">
        <v>34</v>
      </c>
      <c r="D4">
        <v>66</v>
      </c>
      <c r="F4">
        <v>81</v>
      </c>
      <c r="G4">
        <v>19</v>
      </c>
      <c r="H4">
        <v>8</v>
      </c>
      <c r="I4">
        <v>92</v>
      </c>
      <c r="K4">
        <v>68</v>
      </c>
      <c r="L4">
        <v>32</v>
      </c>
      <c r="M4">
        <v>45</v>
      </c>
      <c r="N4">
        <v>55</v>
      </c>
      <c r="P4">
        <f t="shared" ref="P4:P5" si="0">AVERAGE(B4:C4)</f>
        <v>27.5</v>
      </c>
      <c r="Q4">
        <f t="shared" ref="Q4:Q5" si="1">AVERAGE(G4:H4)</f>
        <v>13.5</v>
      </c>
      <c r="R4">
        <f t="shared" ref="R4:R5" si="2">AVERAGE(L4:M4)</f>
        <v>38.5</v>
      </c>
      <c r="S4">
        <f t="shared" ref="S4:S5" si="3">AVERAGE(P4:R4)</f>
        <v>26.5</v>
      </c>
      <c r="AB4">
        <f t="shared" ref="AB4:AB5" si="4">MIN(P4:R4)</f>
        <v>13.5</v>
      </c>
      <c r="AC4">
        <f t="shared" ref="AC4:AC5" si="5">S4-AB4</f>
        <v>13</v>
      </c>
    </row>
    <row r="5" spans="1:31" x14ac:dyDescent="0.3">
      <c r="A5">
        <v>82</v>
      </c>
      <c r="B5">
        <v>18</v>
      </c>
      <c r="C5">
        <v>35</v>
      </c>
      <c r="D5">
        <v>65</v>
      </c>
      <c r="F5">
        <v>81</v>
      </c>
      <c r="G5">
        <v>19</v>
      </c>
      <c r="H5">
        <v>7</v>
      </c>
      <c r="I5">
        <v>93</v>
      </c>
      <c r="K5">
        <v>67</v>
      </c>
      <c r="L5">
        <v>33</v>
      </c>
      <c r="M5">
        <v>56</v>
      </c>
      <c r="N5">
        <v>44</v>
      </c>
      <c r="P5">
        <f t="shared" si="0"/>
        <v>26.5</v>
      </c>
      <c r="Q5">
        <f t="shared" si="1"/>
        <v>13</v>
      </c>
      <c r="R5">
        <f t="shared" si="2"/>
        <v>44.5</v>
      </c>
      <c r="S5">
        <f t="shared" si="3"/>
        <v>28</v>
      </c>
      <c r="AB5">
        <f t="shared" si="4"/>
        <v>13</v>
      </c>
      <c r="AC5">
        <f t="shared" si="5"/>
        <v>15</v>
      </c>
    </row>
  </sheetData>
  <pageMargins left="0.7" right="0.7" top="0.75" bottom="0.75" header="0.3" footer="0.3"/>
  <pageSetup paperSize="9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Fogli di lavoro</vt:lpstr>
      </vt:variant>
      <vt:variant>
        <vt:i4>18</vt:i4>
      </vt:variant>
    </vt:vector>
  </HeadingPairs>
  <TitlesOfParts>
    <vt:vector size="18" baseType="lpstr">
      <vt:lpstr>Foglio1</vt:lpstr>
      <vt:lpstr>DIFF_ONLYMIN</vt:lpstr>
      <vt:lpstr>MIT_DIFF_ONLYMIN_STDAUG</vt:lpstr>
      <vt:lpstr>MIT_DIFF_ONLYMIN_NOAUG</vt:lpstr>
      <vt:lpstr>MIT_PARBS_DIFF_ONLYMIN_STDAUG</vt:lpstr>
      <vt:lpstr>MIT_DIFF_STDAUG</vt:lpstr>
      <vt:lpstr>MIT_PARBS_STDAUG</vt:lpstr>
      <vt:lpstr>MIT_DIFF_NOAUG</vt:lpstr>
      <vt:lpstr>MIT_PARBS_NOAUG</vt:lpstr>
      <vt:lpstr>MIT_NOAUG</vt:lpstr>
      <vt:lpstr>MIT_STDAUG</vt:lpstr>
      <vt:lpstr>STD_IMB_AUG</vt:lpstr>
      <vt:lpstr>STD_IMB_NOAUG</vt:lpstr>
      <vt:lpstr>DIFF</vt:lpstr>
      <vt:lpstr>STD_BAL_ADV_NOCLSDIV</vt:lpstr>
      <vt:lpstr>STD_BAL_ADV_CLSDIV</vt:lpstr>
      <vt:lpstr>STD_BAL_STDAUG</vt:lpstr>
      <vt:lpstr>STD_BAL_NOAUG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enzo petrocco</dc:creator>
  <cp:lastModifiedBy>Enzo Ubaldo Petrocco</cp:lastModifiedBy>
  <dcterms:created xsi:type="dcterms:W3CDTF">2015-06-05T18:19:34Z</dcterms:created>
  <dcterms:modified xsi:type="dcterms:W3CDTF">2026-02-03T22:11:15Z</dcterms:modified>
</cp:coreProperties>
</file>